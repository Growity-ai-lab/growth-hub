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TLCK-NDIR-202508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TLC KLİMA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TLC KLİMA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İndirim Kampanyası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Beyaz Eşya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İklimlendirme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Klima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2025-08-01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2025-08-31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0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2910199.61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TLCK-NDIR-202508</t>
        </is>
      </c>
      <c r="C3" s="56" t="inlineStr">
        <is>
          <t>2025-08-01</t>
        </is>
      </c>
      <c r="D3" s="56" t="inlineStr">
        <is>
          <t>2025-08-31</t>
        </is>
      </c>
      <c r="E3" s="55" t="inlineStr">
        <is>
          <t>Siteye trafik</t>
        </is>
      </c>
      <c r="F3" s="55" t="inlineStr">
        <is>
          <t>Google</t>
        </is>
      </c>
      <c r="G3" s="55" t="inlineStr">
        <is>
          <t>Google</t>
        </is>
      </c>
      <c r="H3" s="55" t="inlineStr">
        <is>
          <t>Google</t>
        </is>
      </c>
      <c r="I3" s="55" t="inlineStr">
        <is>
          <t>Google</t>
        </is>
      </c>
      <c r="J3" s="55" t="inlineStr">
        <is>
          <t>Desktop / Mobile</t>
        </is>
      </c>
      <c r="K3" s="55" t="inlineStr">
        <is>
          <t>Search</t>
        </is>
      </c>
      <c r="L3" s="55" t="inlineStr">
        <is>
          <t>Hedeflemeli Yayın</t>
        </is>
      </c>
      <c r="M3" s="55" t="n"/>
      <c r="N3" s="55" t="inlineStr">
        <is>
          <t>CPC</t>
        </is>
      </c>
      <c r="O3" s="57" t="n">
        <v>8</v>
      </c>
      <c r="P3" s="58" t="n">
        <v>22500</v>
      </c>
      <c r="Q3" s="59">
        <f>IF(OR($N3="",$P3=""),0,IF($N3="CPM",$O3*$P3/1000,IF($N3="Sabit",$O3,$O3*$P3)))</f>
        <v/>
      </c>
      <c r="R3" s="60" t="n">
        <v>27029</v>
      </c>
      <c r="S3" s="60" t="n">
        <v>27021</v>
      </c>
      <c r="T3" s="61" t="n"/>
      <c r="U3" s="62" t="n"/>
      <c r="V3" s="55" t="inlineStr">
        <is>
          <t>Platform Raporu</t>
        </is>
      </c>
      <c r="W3" s="57" t="n">
        <v>71257.84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>
        <is>
          <t>tarih kampanya döneminden türetildi</t>
        </is>
      </c>
    </row>
    <row r="4" ht="15" customHeight="1" s="39">
      <c r="A4" s="54" t="inlineStr">
        <is>
          <t>S002</t>
        </is>
      </c>
      <c r="B4" s="55" t="inlineStr">
        <is>
          <t>TLCK-NDIR-202508</t>
        </is>
      </c>
      <c r="C4" s="56" t="inlineStr">
        <is>
          <t>2025-08-01</t>
        </is>
      </c>
      <c r="D4" s="56" t="inlineStr">
        <is>
          <t>2025-08-31</t>
        </is>
      </c>
      <c r="E4" s="55" t="inlineStr">
        <is>
          <t>Video izletmek</t>
        </is>
      </c>
      <c r="F4" s="55" t="inlineStr">
        <is>
          <t>Google</t>
        </is>
      </c>
      <c r="G4" s="55" t="inlineStr">
        <is>
          <t>Google</t>
        </is>
      </c>
      <c r="H4" s="55" t="inlineStr">
        <is>
          <t>Youtube</t>
        </is>
      </c>
      <c r="I4" s="55" t="inlineStr">
        <is>
          <t>Youtube</t>
        </is>
      </c>
      <c r="J4" s="55" t="inlineStr">
        <is>
          <t>Desktop / Mobile</t>
        </is>
      </c>
      <c r="K4" s="55" t="inlineStr">
        <is>
          <t>Non-skippable</t>
        </is>
      </c>
      <c r="L4" s="55" t="inlineStr">
        <is>
          <t>Hedeflemeli Yayın</t>
        </is>
      </c>
      <c r="M4" s="55" t="n"/>
      <c r="N4" s="55" t="inlineStr">
        <is>
          <t>CPM</t>
        </is>
      </c>
      <c r="O4" s="57" t="n">
        <v>70</v>
      </c>
      <c r="P4" s="58" t="n">
        <v>10714285.71428571</v>
      </c>
      <c r="Q4" s="59">
        <f>IF(OR($N4="",$P4=""),0,IF($N4="CPM",$O4*$P4/1000,IF($N4="Sabit",$O4,$O4*$P4)))</f>
        <v/>
      </c>
      <c r="R4" s="60" t="n">
        <v>1744866</v>
      </c>
      <c r="S4" s="60" t="n">
        <v>1715</v>
      </c>
      <c r="T4" s="61" t="n"/>
      <c r="U4" s="62" t="n"/>
      <c r="V4" s="55" t="inlineStr">
        <is>
          <t>Platform Raporu</t>
        </is>
      </c>
      <c r="W4" s="57" t="n">
        <v>384036.81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Yayınlandı</t>
        </is>
      </c>
      <c r="AJ4" s="55" t="inlineStr">
        <is>
          <t>tarih kampanya döneminden türetildi</t>
        </is>
      </c>
    </row>
    <row r="5" ht="15" customHeight="1" s="39">
      <c r="A5" s="54" t="inlineStr">
        <is>
          <t>S003</t>
        </is>
      </c>
      <c r="B5" s="55" t="inlineStr">
        <is>
          <t>TLCK-NDIR-202508</t>
        </is>
      </c>
      <c r="C5" s="56" t="inlineStr">
        <is>
          <t>2025-08-01</t>
        </is>
      </c>
      <c r="D5" s="56" t="inlineStr">
        <is>
          <t>2025-08-31</t>
        </is>
      </c>
      <c r="E5" s="55" t="inlineStr">
        <is>
          <t>Video izletmek</t>
        </is>
      </c>
      <c r="F5" s="55" t="inlineStr">
        <is>
          <t>Google</t>
        </is>
      </c>
      <c r="G5" s="55" t="inlineStr">
        <is>
          <t>Google</t>
        </is>
      </c>
      <c r="H5" s="55" t="inlineStr">
        <is>
          <t>Youtube</t>
        </is>
      </c>
      <c r="I5" s="55" t="inlineStr">
        <is>
          <t>Youtube</t>
        </is>
      </c>
      <c r="J5" s="55" t="inlineStr">
        <is>
          <t>Desktop / Mobile</t>
        </is>
      </c>
      <c r="K5" s="55" t="inlineStr">
        <is>
          <t>Connected Tv</t>
        </is>
      </c>
      <c r="L5" s="55" t="inlineStr">
        <is>
          <t>Hedeflemeli Yayın</t>
        </is>
      </c>
      <c r="M5" s="55" t="n"/>
      <c r="N5" s="55" t="inlineStr">
        <is>
          <t>CPM</t>
        </is>
      </c>
      <c r="O5" s="57" t="n">
        <v>100</v>
      </c>
      <c r="P5" s="58" t="n">
        <v>1500000</v>
      </c>
      <c r="Q5" s="59">
        <f>IF(OR($N5="",$P5=""),0,IF($N5="CPM",$O5*$P5/1000,IF($N5="Sabit",$O5,$O5*$P5)))</f>
        <v/>
      </c>
      <c r="R5" s="60" t="n">
        <v>325568</v>
      </c>
      <c r="S5" s="60" t="n">
        <v>75</v>
      </c>
      <c r="T5" s="61" t="n"/>
      <c r="U5" s="62" t="n"/>
      <c r="V5" s="55" t="inlineStr">
        <is>
          <t>Platform Raporu</t>
        </is>
      </c>
      <c r="W5" s="57" t="n">
        <v>64847.45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Yayınlandı</t>
        </is>
      </c>
      <c r="AJ5" s="55" t="inlineStr">
        <is>
          <t>tarih kampanya döneminden türetildi</t>
        </is>
      </c>
    </row>
    <row r="6" ht="15" customHeight="1" s="39">
      <c r="A6" s="54" t="inlineStr">
        <is>
          <t>S004</t>
        </is>
      </c>
      <c r="B6" s="55" t="inlineStr">
        <is>
          <t>TLCK-NDIR-202508</t>
        </is>
      </c>
      <c r="C6" s="56" t="inlineStr">
        <is>
          <t>2025-08-01</t>
        </is>
      </c>
      <c r="D6" s="56" t="inlineStr">
        <is>
          <t>2025-08-31</t>
        </is>
      </c>
      <c r="E6" s="55" t="inlineStr">
        <is>
          <t>Video izletmek</t>
        </is>
      </c>
      <c r="F6" s="55" t="inlineStr">
        <is>
          <t>Meta</t>
        </is>
      </c>
      <c r="G6" s="55" t="inlineStr">
        <is>
          <t>Meta</t>
        </is>
      </c>
      <c r="H6" s="55" t="inlineStr">
        <is>
          <t>IG -FB (Reels &amp; Story)</t>
        </is>
      </c>
      <c r="I6" s="55" t="inlineStr">
        <is>
          <t>IG -FB (Reels &amp; Story)</t>
        </is>
      </c>
      <c r="J6" s="55" t="inlineStr">
        <is>
          <t>Desktop / Mobile</t>
        </is>
      </c>
      <c r="K6" s="55" t="inlineStr">
        <is>
          <t>Video Views</t>
        </is>
      </c>
      <c r="L6" s="55" t="inlineStr">
        <is>
          <t>Hedeflemeli Yayın</t>
        </is>
      </c>
      <c r="M6" s="55" t="n"/>
      <c r="N6" s="55" t="inlineStr">
        <is>
          <t>CPV</t>
        </is>
      </c>
      <c r="O6" s="57" t="n">
        <v>0.25</v>
      </c>
      <c r="P6" s="58" t="n">
        <v>320000</v>
      </c>
      <c r="Q6" s="59">
        <f>IF(OR($N6="",$P6=""),0,IF($N6="CPM",$O6*$P6/1000,IF($N6="Sabit",$O6,$O6*$P6)))</f>
        <v/>
      </c>
      <c r="R6" s="60" t="n">
        <v>228357</v>
      </c>
      <c r="S6" s="60" t="n">
        <v>1669</v>
      </c>
      <c r="T6" s="61" t="n"/>
      <c r="U6" s="62" t="n"/>
      <c r="V6" s="55" t="inlineStr">
        <is>
          <t>Platform Raporu</t>
        </is>
      </c>
      <c r="W6" s="57" t="n">
        <v>30674.86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>
        <is>
          <t>tarih kampanya döneminden türetildi</t>
        </is>
      </c>
    </row>
    <row r="7" ht="15" customHeight="1" s="39">
      <c r="A7" s="54" t="inlineStr">
        <is>
          <t>S005</t>
        </is>
      </c>
      <c r="B7" s="55" t="inlineStr">
        <is>
          <t>TLCK-NDIR-202508</t>
        </is>
      </c>
      <c r="C7" s="56" t="inlineStr">
        <is>
          <t>2025-08-01</t>
        </is>
      </c>
      <c r="D7" s="56" t="inlineStr">
        <is>
          <t>2025-08-31</t>
        </is>
      </c>
      <c r="E7" s="55" t="inlineStr">
        <is>
          <t>Siteye trafik</t>
        </is>
      </c>
      <c r="F7" s="55" t="inlineStr">
        <is>
          <t>Meta</t>
        </is>
      </c>
      <c r="G7" s="55" t="inlineStr">
        <is>
          <t>Meta</t>
        </is>
      </c>
      <c r="H7" s="55" t="inlineStr">
        <is>
          <t>IG -FB (Reels &amp; Story)</t>
        </is>
      </c>
      <c r="I7" s="55" t="inlineStr">
        <is>
          <t>IG -FB (Reels &amp; Story)</t>
        </is>
      </c>
      <c r="J7" s="55" t="inlineStr">
        <is>
          <t>Desktop / Mobile</t>
        </is>
      </c>
      <c r="K7" s="55" t="inlineStr">
        <is>
          <t>Traffic</t>
        </is>
      </c>
      <c r="L7" s="55" t="inlineStr">
        <is>
          <t>Hedeflemeli Yayın</t>
        </is>
      </c>
      <c r="M7" s="55" t="n"/>
      <c r="N7" s="55" t="inlineStr">
        <is>
          <t>CPC</t>
        </is>
      </c>
      <c r="O7" s="57" t="n">
        <v>4.5</v>
      </c>
      <c r="P7" s="58" t="n">
        <v>33333.33333333334</v>
      </c>
      <c r="Q7" s="59">
        <f>IF(OR($N7="",$P7=""),0,IF($N7="CPM",$O7*$P7/1000,IF($N7="Sabit",$O7,$O7*$P7)))</f>
        <v/>
      </c>
      <c r="R7" s="60" t="n">
        <v>35588</v>
      </c>
      <c r="S7" s="60" t="n">
        <v>35588</v>
      </c>
      <c r="T7" s="61" t="n"/>
      <c r="U7" s="62" t="n"/>
      <c r="V7" s="55" t="inlineStr">
        <is>
          <t>Platform Raporu</t>
        </is>
      </c>
      <c r="W7" s="57" t="n">
        <v>121388.56</v>
      </c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Yayınlandı</t>
        </is>
      </c>
      <c r="AJ7" s="55" t="inlineStr">
        <is>
          <t>tarih kampanya döneminden türetildi</t>
        </is>
      </c>
    </row>
    <row r="8" ht="15" customHeight="1" s="39">
      <c r="A8" s="54" t="inlineStr">
        <is>
          <t>S006</t>
        </is>
      </c>
      <c r="B8" s="55" t="inlineStr">
        <is>
          <t>TLCK-NDIR-202508</t>
        </is>
      </c>
      <c r="C8" s="56" t="inlineStr">
        <is>
          <t>2025-08-01</t>
        </is>
      </c>
      <c r="D8" s="56" t="inlineStr">
        <is>
          <t>2025-08-31</t>
        </is>
      </c>
      <c r="E8" s="55" t="inlineStr">
        <is>
          <t>Siteye trafik</t>
        </is>
      </c>
      <c r="F8" s="55" t="inlineStr">
        <is>
          <t>TikTok</t>
        </is>
      </c>
      <c r="G8" s="55" t="inlineStr">
        <is>
          <t>TikTok</t>
        </is>
      </c>
      <c r="H8" s="55" t="inlineStr">
        <is>
          <t>TikTok</t>
        </is>
      </c>
      <c r="I8" s="55" t="inlineStr">
        <is>
          <t>TikTok</t>
        </is>
      </c>
      <c r="J8" s="55" t="inlineStr">
        <is>
          <t>Desktop / Mobile</t>
        </is>
      </c>
      <c r="K8" s="55" t="inlineStr">
        <is>
          <t>Traffc</t>
        </is>
      </c>
      <c r="L8" s="55" t="inlineStr">
        <is>
          <t>Hedeflemeli Yayın</t>
        </is>
      </c>
      <c r="M8" s="55" t="n"/>
      <c r="N8" s="55" t="inlineStr">
        <is>
          <t>CPC</t>
        </is>
      </c>
      <c r="O8" s="57" t="n">
        <v>5.6</v>
      </c>
      <c r="P8" s="58" t="n">
        <v>17857.14285714286</v>
      </c>
      <c r="Q8" s="59">
        <f>IF(OR($N8="",$P8=""),0,IF($N8="CPM",$O8*$P8/1000,IF($N8="Sabit",$O8,$O8*$P8)))</f>
        <v/>
      </c>
      <c r="R8" s="60" t="n">
        <v>392948</v>
      </c>
      <c r="S8" s="60" t="n">
        <v>392948</v>
      </c>
      <c r="T8" s="61" t="n"/>
      <c r="U8" s="62" t="n"/>
      <c r="V8" s="55" t="inlineStr">
        <is>
          <t>Platform Raporu</t>
        </is>
      </c>
      <c r="W8" s="57" t="n">
        <v>39334.29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>
        <is>
          <t>tarih kampanya döneminden türetildi</t>
        </is>
      </c>
    </row>
    <row r="9" ht="15" customHeight="1" s="39">
      <c r="A9" s="54" t="inlineStr">
        <is>
          <t>S007</t>
        </is>
      </c>
      <c r="B9" s="55" t="inlineStr">
        <is>
          <t>TLCK-NDIR-202508</t>
        </is>
      </c>
      <c r="C9" s="56" t="inlineStr">
        <is>
          <t>2025-08-01</t>
        </is>
      </c>
      <c r="D9" s="56" t="inlineStr">
        <is>
          <t>2025-08-31</t>
        </is>
      </c>
      <c r="E9" s="55" t="inlineStr">
        <is>
          <t>Video izletmek</t>
        </is>
      </c>
      <c r="F9" s="55" t="inlineStr">
        <is>
          <t>Pinterest</t>
        </is>
      </c>
      <c r="G9" s="55" t="inlineStr">
        <is>
          <t>Pinterest</t>
        </is>
      </c>
      <c r="H9" s="55" t="inlineStr">
        <is>
          <t>Pinterest</t>
        </is>
      </c>
      <c r="I9" s="55" t="inlineStr">
        <is>
          <t>Pinterest</t>
        </is>
      </c>
      <c r="J9" s="55" t="inlineStr">
        <is>
          <t>Desktop / Mobile</t>
        </is>
      </c>
      <c r="K9" s="55" t="inlineStr">
        <is>
          <t>Video View</t>
        </is>
      </c>
      <c r="L9" s="55" t="inlineStr">
        <is>
          <t>Hefelemeli Yayın</t>
        </is>
      </c>
      <c r="M9" s="55" t="n"/>
      <c r="N9" s="55" t="inlineStr">
        <is>
          <t>CPV</t>
        </is>
      </c>
      <c r="O9" s="57" t="n">
        <v>0.3</v>
      </c>
      <c r="P9" s="58" t="n">
        <v>266666.6666666667</v>
      </c>
      <c r="Q9" s="59">
        <f>IF(OR($N9="",$P9=""),0,IF($N9="CPM",$O9*$P9/1000,IF($N9="Sabit",$O9,$O9*$P9)))</f>
        <v/>
      </c>
      <c r="R9" s="60" t="n">
        <v>308879</v>
      </c>
      <c r="S9" s="60" t="n">
        <v>3420</v>
      </c>
      <c r="T9" s="61" t="n"/>
      <c r="U9" s="62" t="n"/>
      <c r="V9" s="55" t="inlineStr">
        <is>
          <t>Platform Raporu</t>
        </is>
      </c>
      <c r="W9" s="57" t="n">
        <v>31107.77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Yayınlandı</t>
        </is>
      </c>
      <c r="AJ9" s="55" t="inlineStr">
        <is>
          <t>tarih kampanya döneminden türetildi</t>
        </is>
      </c>
    </row>
    <row r="10" ht="15" customHeight="1" s="39">
      <c r="A10" s="54" t="inlineStr">
        <is>
          <t>S008</t>
        </is>
      </c>
      <c r="B10" s="55" t="inlineStr">
        <is>
          <t>TLCK-NDIR-202508</t>
        </is>
      </c>
      <c r="C10" s="56" t="inlineStr">
        <is>
          <t>2025-08-01</t>
        </is>
      </c>
      <c r="D10" s="56" t="inlineStr">
        <is>
          <t>2025-08-31</t>
        </is>
      </c>
      <c r="E10" s="55" t="inlineStr">
        <is>
          <t>Video izletmek</t>
        </is>
      </c>
      <c r="F10" s="55" t="inlineStr">
        <is>
          <t>Tooplay</t>
        </is>
      </c>
      <c r="G10" s="55" t="inlineStr">
        <is>
          <t>Tooplay</t>
        </is>
      </c>
      <c r="H10" s="55" t="inlineStr">
        <is>
          <t>Hedeflemeli Yayın (Now, Star Tv, Puhu, Show)</t>
        </is>
      </c>
      <c r="I10" s="55" t="inlineStr">
        <is>
          <t>Hedeflemeli Yayın (Now, Star Tv, Puhu, Show)</t>
        </is>
      </c>
      <c r="J10" s="55" t="inlineStr">
        <is>
          <t>Desktop / Mobile</t>
        </is>
      </c>
      <c r="K10" s="55" t="inlineStr">
        <is>
          <t>Preroll</t>
        </is>
      </c>
      <c r="L10" s="55" t="inlineStr">
        <is>
          <t>Hedeflemeli Yayın</t>
        </is>
      </c>
      <c r="M10" s="55" t="n"/>
      <c r="N10" s="55" t="inlineStr">
        <is>
          <t>CPV</t>
        </is>
      </c>
      <c r="O10" s="57" t="n">
        <v>0.5</v>
      </c>
      <c r="P10" s="58" t="n">
        <v>280000</v>
      </c>
      <c r="Q10" s="59">
        <f>IF(OR($N10="",$P10=""),0,IF($N10="CPM",$O10*$P10/1000,IF($N10="Sabit",$O10,$O10*$P10)))</f>
        <v/>
      </c>
      <c r="R10" s="60" t="n">
        <v>158353</v>
      </c>
      <c r="S10" s="60" t="n">
        <v>2219</v>
      </c>
      <c r="T10" s="61" t="n"/>
      <c r="U10" s="62" t="n"/>
      <c r="V10" s="55" t="inlineStr">
        <is>
          <t>Fatura</t>
        </is>
      </c>
      <c r="W10" s="57" t="n">
        <v>79176.5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>
        <is>
          <t>kaynak dosyada gerçekleşen birim maliyet plandan kopyalanmış; fiyat farkı ölçülemez · tarih kampanya döneminden türetildi</t>
        </is>
      </c>
    </row>
    <row r="11" ht="15" customHeight="1" s="39">
      <c r="A11" s="54" t="inlineStr">
        <is>
          <t>S009</t>
        </is>
      </c>
      <c r="B11" s="55" t="inlineStr">
        <is>
          <t>TLCK-NDIR-202508</t>
        </is>
      </c>
      <c r="C11" s="56" t="inlineStr">
        <is>
          <t>2025-08-01</t>
        </is>
      </c>
      <c r="D11" s="56" t="inlineStr">
        <is>
          <t>2025-08-31</t>
        </is>
      </c>
      <c r="E11" s="55" t="inlineStr">
        <is>
          <t>Siteye trafik</t>
        </is>
      </c>
      <c r="F11" s="55" t="inlineStr">
        <is>
          <t>Oasis</t>
        </is>
      </c>
      <c r="G11" s="55" t="inlineStr">
        <is>
          <t>Oasis</t>
        </is>
      </c>
      <c r="H11" s="55" t="inlineStr">
        <is>
          <t>Network Geneli</t>
        </is>
      </c>
      <c r="I11" s="55" t="inlineStr">
        <is>
          <t>Network Geneli</t>
        </is>
      </c>
      <c r="J11" s="55" t="inlineStr">
        <is>
          <t>Desktop / Mobile</t>
        </is>
      </c>
      <c r="K11" s="55" t="inlineStr">
        <is>
          <t>Big &amp; Bold Banner CPC</t>
        </is>
      </c>
      <c r="L11" s="55" t="inlineStr">
        <is>
          <t>Hedeflemeli Yayın</t>
        </is>
      </c>
      <c r="M11" s="55" t="n"/>
      <c r="N11" s="55" t="inlineStr">
        <is>
          <t>CPC</t>
        </is>
      </c>
      <c r="O11" s="57" t="n">
        <v>3.5</v>
      </c>
      <c r="P11" s="58" t="n">
        <v>28571.42857142857</v>
      </c>
      <c r="Q11" s="59">
        <f>IF(OR($N11="",$P11=""),0,IF($N11="CPM",$O11*$P11/1000,IF($N11="Sabit",$O11,$O11*$P11)))</f>
        <v/>
      </c>
      <c r="R11" s="60" t="n">
        <v>10934</v>
      </c>
      <c r="S11" s="60" t="n">
        <v>10934</v>
      </c>
      <c r="T11" s="61" t="n"/>
      <c r="U11" s="62" t="n"/>
      <c r="V11" s="55" t="inlineStr">
        <is>
          <t>Platform Raporu</t>
        </is>
      </c>
      <c r="W11" s="57" t="n">
        <v>38269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Yayınlandı</t>
        </is>
      </c>
      <c r="AJ11" s="55" t="inlineStr">
        <is>
          <t>tarih kampanya döneminden türetildi</t>
        </is>
      </c>
    </row>
    <row r="12" ht="15" customHeight="1" s="39">
      <c r="A12" s="54" t="inlineStr">
        <is>
          <t>S010</t>
        </is>
      </c>
      <c r="B12" s="55" t="inlineStr">
        <is>
          <t>TLCK-NDIR-202508</t>
        </is>
      </c>
      <c r="C12" s="56" t="inlineStr">
        <is>
          <t>2025-08-01</t>
        </is>
      </c>
      <c r="D12" s="56" t="inlineStr">
        <is>
          <t>2025-08-31</t>
        </is>
      </c>
      <c r="E12" s="55" t="inlineStr">
        <is>
          <t>Siteye trafik</t>
        </is>
      </c>
      <c r="F12" s="55" t="inlineStr">
        <is>
          <t>All in</t>
        </is>
      </c>
      <c r="G12" s="55" t="inlineStr">
        <is>
          <t>All-in</t>
        </is>
      </c>
      <c r="H12" s="55" t="inlineStr">
        <is>
          <t>Network Geneli</t>
        </is>
      </c>
      <c r="I12" s="55" t="inlineStr">
        <is>
          <t>Network Geneli</t>
        </is>
      </c>
      <c r="J12" s="55" t="inlineStr">
        <is>
          <t>Desktop / Mobile</t>
        </is>
      </c>
      <c r="K12" s="55" t="inlineStr">
        <is>
          <t>Display CPC</t>
        </is>
      </c>
      <c r="L12" s="55" t="inlineStr">
        <is>
          <t>Hedeflemeli Yayın</t>
        </is>
      </c>
      <c r="M12" s="55" t="n"/>
      <c r="N12" s="55" t="inlineStr">
        <is>
          <t>CPC</t>
        </is>
      </c>
      <c r="O12" s="57" t="n">
        <v>4</v>
      </c>
      <c r="P12" s="58" t="n">
        <v>12500</v>
      </c>
      <c r="Q12" s="59">
        <f>IF(OR($N12="",$P12=""),0,IF($N12="CPM",$O12*$P12/1000,IF($N12="Sabit",$O12,$O12*$P12)))</f>
        <v/>
      </c>
      <c r="R12" s="60" t="n">
        <v>10190</v>
      </c>
      <c r="S12" s="60" t="n">
        <v>10190</v>
      </c>
      <c r="T12" s="61" t="n"/>
      <c r="U12" s="62" t="n"/>
      <c r="V12" s="55" t="inlineStr">
        <is>
          <t>Platform Raporu</t>
        </is>
      </c>
      <c r="W12" s="57" t="n">
        <v>40760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Yayınlandı</t>
        </is>
      </c>
      <c r="AJ12" s="55" t="inlineStr">
        <is>
          <t>tarih kampanya döneminden türetildi</t>
        </is>
      </c>
    </row>
    <row r="13" ht="15" customHeight="1" s="39">
      <c r="A13" s="54" t="inlineStr">
        <is>
          <t>S011</t>
        </is>
      </c>
      <c r="B13" s="55" t="inlineStr">
        <is>
          <t>TLCK-NDIR-202508</t>
        </is>
      </c>
      <c r="C13" s="56" t="inlineStr">
        <is>
          <t>2025-08-01</t>
        </is>
      </c>
      <c r="D13" s="56" t="inlineStr">
        <is>
          <t>2025-08-31</t>
        </is>
      </c>
      <c r="E13" s="55" t="inlineStr">
        <is>
          <t>Siteye trafik</t>
        </is>
      </c>
      <c r="F13" s="55" t="inlineStr">
        <is>
          <t>Refresh</t>
        </is>
      </c>
      <c r="G13" s="55" t="inlineStr">
        <is>
          <t>Refresh</t>
        </is>
      </c>
      <c r="H13" s="55" t="inlineStr">
        <is>
          <t>Network Geneli</t>
        </is>
      </c>
      <c r="I13" s="55" t="inlineStr">
        <is>
          <t>Network Geneli</t>
        </is>
      </c>
      <c r="J13" s="55" t="inlineStr">
        <is>
          <t>Desktop / Mobile</t>
        </is>
      </c>
      <c r="K13" s="55" t="inlineStr">
        <is>
          <t>Native CPC</t>
        </is>
      </c>
      <c r="L13" s="55" t="inlineStr">
        <is>
          <t>Hedeflemeli Yayın</t>
        </is>
      </c>
      <c r="M13" s="55" t="n"/>
      <c r="N13" s="55" t="inlineStr">
        <is>
          <t>CPC</t>
        </is>
      </c>
      <c r="O13" s="57" t="n">
        <v>4</v>
      </c>
      <c r="P13" s="58" t="n">
        <v>12500</v>
      </c>
      <c r="Q13" s="59">
        <f>IF(OR($N13="",$P13=""),0,IF($N13="CPM",$O13*$P13/1000,IF($N13="Sabit",$O13,$O13*$P13)))</f>
        <v/>
      </c>
      <c r="R13" s="60" t="n">
        <v>4705</v>
      </c>
      <c r="S13" s="60" t="n">
        <v>4705</v>
      </c>
      <c r="T13" s="61" t="n"/>
      <c r="U13" s="62" t="n"/>
      <c r="V13" s="55" t="inlineStr">
        <is>
          <t>Platform Raporu</t>
        </is>
      </c>
      <c r="W13" s="57" t="n">
        <v>18820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Yayınlandı</t>
        </is>
      </c>
      <c r="AJ13" s="55" t="inlineStr">
        <is>
          <t>tarih kampanya döneminden türetildi</t>
        </is>
      </c>
    </row>
    <row r="14" ht="15" customHeight="1" s="39">
      <c r="A14" s="54" t="inlineStr">
        <is>
          <t>S012</t>
        </is>
      </c>
      <c r="B14" s="55" t="inlineStr">
        <is>
          <t>TLCK-NDIR-202508</t>
        </is>
      </c>
      <c r="C14" s="56" t="inlineStr">
        <is>
          <t>2025-08-01</t>
        </is>
      </c>
      <c r="D14" s="56" t="inlineStr">
        <is>
          <t>2025-08-31</t>
        </is>
      </c>
      <c r="E14" s="55" t="inlineStr">
        <is>
          <t>Video izletmek</t>
        </is>
      </c>
      <c r="F14" s="55" t="inlineStr">
        <is>
          <t>Bond</t>
        </is>
      </c>
      <c r="G14" s="55" t="inlineStr">
        <is>
          <t>Bond</t>
        </is>
      </c>
      <c r="H14" s="55" t="inlineStr">
        <is>
          <t>Gaming App</t>
        </is>
      </c>
      <c r="I14" s="55" t="inlineStr">
        <is>
          <t>Gaming App</t>
        </is>
      </c>
      <c r="J14" s="55" t="inlineStr">
        <is>
          <t>Desktop / Mobile</t>
        </is>
      </c>
      <c r="K14" s="55" t="inlineStr">
        <is>
          <t>In - Game Video</t>
        </is>
      </c>
      <c r="L14" s="55" t="inlineStr">
        <is>
          <t>Hedeflemeli Yayın</t>
        </is>
      </c>
      <c r="M14" s="55" t="n"/>
      <c r="N14" s="55" t="inlineStr">
        <is>
          <t>CPV</t>
        </is>
      </c>
      <c r="O14" s="57" t="n">
        <v>0.24</v>
      </c>
      <c r="P14" s="58" t="n">
        <v>416666.6666666667</v>
      </c>
      <c r="Q14" s="59">
        <f>IF(OR($N14="",$P14=""),0,IF($N14="CPM",$O14*$P14/1000,IF($N14="Sabit",$O14,$O14*$P14)))</f>
        <v/>
      </c>
      <c r="R14" s="60" t="n">
        <v>91191</v>
      </c>
      <c r="S14" s="60" t="n">
        <v>1804</v>
      </c>
      <c r="T14" s="61" t="n"/>
      <c r="U14" s="62" t="n"/>
      <c r="V14" s="55" t="inlineStr">
        <is>
          <t>Fatura</t>
        </is>
      </c>
      <c r="W14" s="57" t="n">
        <v>21885.84</v>
      </c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62" t="n">
        <v>0</v>
      </c>
      <c r="AC14" s="59">
        <f>$X14*$AB14</f>
        <v/>
      </c>
      <c r="AD14" s="62" t="n">
        <v>0</v>
      </c>
      <c r="AE14" s="59">
        <f>$X14*$AD14</f>
        <v/>
      </c>
      <c r="AF14" s="57" t="n">
        <v>0</v>
      </c>
      <c r="AG14" s="59">
        <f>$X14+$AC14+$AE14+$AF14</f>
        <v/>
      </c>
      <c r="AH14" s="59">
        <f>$Q14-$X14</f>
        <v/>
      </c>
      <c r="AI14" s="55" t="inlineStr">
        <is>
          <t>Yayınlandı</t>
        </is>
      </c>
      <c r="AJ14" s="55" t="inlineStr">
        <is>
          <t>kaynak dosyada gerçekleşen birim maliyet plandan kopyalanmış; fiyat farkı ölçülemez · tarih kampanya döneminden türetildi</t>
        </is>
      </c>
    </row>
    <row r="15" ht="15" customHeight="1" s="39">
      <c r="A15" s="54" t="inlineStr">
        <is>
          <t>S013</t>
        </is>
      </c>
      <c r="B15" s="55" t="inlineStr">
        <is>
          <t>TLCK-NDIR-202508</t>
        </is>
      </c>
      <c r="C15" s="56" t="inlineStr">
        <is>
          <t>2025-08-01</t>
        </is>
      </c>
      <c r="D15" s="56" t="inlineStr">
        <is>
          <t>2025-08-31</t>
        </is>
      </c>
      <c r="E15" s="55" t="inlineStr">
        <is>
          <t>Video izletmek</t>
        </is>
      </c>
      <c r="F15" s="55" t="inlineStr">
        <is>
          <t>Go Viral</t>
        </is>
      </c>
      <c r="G15" s="55" t="inlineStr">
        <is>
          <t>Go Viral</t>
        </is>
      </c>
      <c r="H15" s="55" t="inlineStr">
        <is>
          <t>Network Geneli</t>
        </is>
      </c>
      <c r="I15" s="55" t="inlineStr">
        <is>
          <t>Network Geneli</t>
        </is>
      </c>
      <c r="J15" s="55" t="inlineStr">
        <is>
          <t>Desktop / Mobile</t>
        </is>
      </c>
      <c r="K15" s="55" t="inlineStr">
        <is>
          <t>Preroll</t>
        </is>
      </c>
      <c r="L15" s="55" t="inlineStr">
        <is>
          <t>Hedeflemeli Yayın</t>
        </is>
      </c>
      <c r="M15" s="55" t="n"/>
      <c r="N15" s="55" t="inlineStr">
        <is>
          <t>CPV</t>
        </is>
      </c>
      <c r="O15" s="57" t="n">
        <v>0.7</v>
      </c>
      <c r="P15" s="58" t="n">
        <v>142857.1428571429</v>
      </c>
      <c r="Q15" s="59">
        <f>IF(OR($N15="",$P15=""),0,IF($N15="CPM",$O15*$P15/1000,IF($N15="Sabit",$O15,$O15*$P15)))</f>
        <v/>
      </c>
      <c r="R15" s="60" t="n">
        <v>137294</v>
      </c>
      <c r="S15" s="60" t="n">
        <v>1765</v>
      </c>
      <c r="T15" s="61" t="n"/>
      <c r="U15" s="62" t="n"/>
      <c r="V15" s="55" t="inlineStr">
        <is>
          <t>Fatura</t>
        </is>
      </c>
      <c r="W15" s="57" t="n">
        <v>96105.79999999999</v>
      </c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62" t="n">
        <v>0</v>
      </c>
      <c r="AC15" s="59">
        <f>$X15*$AB15</f>
        <v/>
      </c>
      <c r="AD15" s="62" t="n">
        <v>0</v>
      </c>
      <c r="AE15" s="59">
        <f>$X15*$AD15</f>
        <v/>
      </c>
      <c r="AF15" s="57" t="n">
        <v>0</v>
      </c>
      <c r="AG15" s="59">
        <f>$X15+$AC15+$AE15+$AF15</f>
        <v/>
      </c>
      <c r="AH15" s="59">
        <f>$Q15-$X15</f>
        <v/>
      </c>
      <c r="AI15" s="55" t="inlineStr">
        <is>
          <t>Yayınlandı</t>
        </is>
      </c>
      <c r="AJ15" s="55" t="inlineStr">
        <is>
          <t>kaynak dosyada gerçekleşen birim maliyet plandan kopyalanmış; fiyat farkı ölçülemez · tarih kampanya döneminden türetildi</t>
        </is>
      </c>
    </row>
    <row r="16" ht="15" customHeight="1" s="39">
      <c r="A16" s="64" t="n"/>
      <c r="B16" s="65" t="n"/>
      <c r="C16" s="66" t="n"/>
      <c r="D16" s="66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8" t="n"/>
      <c r="P16" s="69" t="n"/>
      <c r="Q16" s="59">
        <f>IF(OR($N16="",$P16=""),0,IF($N16="CPM",$O16*$P16/1000,IF($N16="Sabit",$O16,$O16*$P16)))</f>
        <v/>
      </c>
      <c r="R16" s="61" t="n"/>
      <c r="S16" s="61" t="n"/>
      <c r="T16" s="61" t="n"/>
      <c r="U16" s="70" t="n"/>
      <c r="V16" s="67" t="n"/>
      <c r="W16" s="68" t="n"/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70" t="n"/>
      <c r="AC16" s="59">
        <f>$X16*$AB16</f>
        <v/>
      </c>
      <c r="AD16" s="70" t="n"/>
      <c r="AE16" s="59">
        <f>$X16*$AD16</f>
        <v/>
      </c>
      <c r="AF16" s="68" t="n"/>
      <c r="AG16" s="59">
        <f>$X16+$AC16+$AE16+$AF16</f>
        <v/>
      </c>
      <c r="AH16" s="59">
        <f>$Q16-$X16</f>
        <v/>
      </c>
      <c r="AI16" s="67" t="n"/>
      <c r="AJ16" s="67" t="n"/>
    </row>
    <row r="17" ht="15" customHeight="1" s="39">
      <c r="A17" s="64" t="n"/>
      <c r="B17" s="65" t="n"/>
      <c r="C17" s="66" t="n"/>
      <c r="D17" s="66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8" t="n"/>
      <c r="P17" s="69" t="n"/>
      <c r="Q17" s="59">
        <f>IF(OR($N17="",$P17=""),0,IF($N17="CPM",$O17*$P17/1000,IF($N17="Sabit",$O17,$O17*$P17)))</f>
        <v/>
      </c>
      <c r="R17" s="61" t="n"/>
      <c r="S17" s="61" t="n"/>
      <c r="T17" s="61" t="n"/>
      <c r="U17" s="70" t="n"/>
      <c r="V17" s="67" t="n"/>
      <c r="W17" s="68" t="n"/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70" t="n"/>
      <c r="AC17" s="59">
        <f>$X17*$AB17</f>
        <v/>
      </c>
      <c r="AD17" s="70" t="n"/>
      <c r="AE17" s="59">
        <f>$X17*$AD17</f>
        <v/>
      </c>
      <c r="AF17" s="68" t="n"/>
      <c r="AG17" s="59">
        <f>$X17+$AC17+$AE17+$AF17</f>
        <v/>
      </c>
      <c r="AH17" s="59">
        <f>$Q17-$X17</f>
        <v/>
      </c>
      <c r="AI17" s="67" t="n"/>
      <c r="AJ17" s="67" t="n"/>
    </row>
    <row r="18" ht="15" customHeight="1" s="39">
      <c r="A18" s="64" t="n"/>
      <c r="B18" s="65" t="n"/>
      <c r="C18" s="66" t="n"/>
      <c r="D18" s="66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8" t="n"/>
      <c r="P18" s="69" t="n"/>
      <c r="Q18" s="59">
        <f>IF(OR($N18="",$P18=""),0,IF($N18="CPM",$O18*$P18/1000,IF($N18="Sabit",$O18,$O18*$P18)))</f>
        <v/>
      </c>
      <c r="R18" s="61" t="n"/>
      <c r="S18" s="61" t="n"/>
      <c r="T18" s="61" t="n"/>
      <c r="U18" s="70" t="n"/>
      <c r="V18" s="67" t="n"/>
      <c r="W18" s="68" t="n"/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70" t="n"/>
      <c r="AC18" s="59">
        <f>$X18*$AB18</f>
        <v/>
      </c>
      <c r="AD18" s="70" t="n"/>
      <c r="AE18" s="59">
        <f>$X18*$AD18</f>
        <v/>
      </c>
      <c r="AF18" s="68" t="n"/>
      <c r="AG18" s="59">
        <f>$X18+$AC18+$AE18+$AF18</f>
        <v/>
      </c>
      <c r="AH18" s="59">
        <f>$Q18-$X18</f>
        <v/>
      </c>
      <c r="AI18" s="67" t="n"/>
      <c r="AJ18" s="67" t="n"/>
    </row>
    <row r="19" ht="15" customHeight="1" s="39">
      <c r="A19" s="64" t="n"/>
      <c r="B19" s="65" t="n"/>
      <c r="C19" s="66" t="n"/>
      <c r="D19" s="66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8" t="n"/>
      <c r="P19" s="69" t="n"/>
      <c r="Q19" s="59">
        <f>IF(OR($N19="",$P19=""),0,IF($N19="CPM",$O19*$P19/1000,IF($N19="Sabit",$O19,$O19*$P19)))</f>
        <v/>
      </c>
      <c r="R19" s="61" t="n"/>
      <c r="S19" s="61" t="n"/>
      <c r="T19" s="61" t="n"/>
      <c r="U19" s="70" t="n"/>
      <c r="V19" s="67" t="n"/>
      <c r="W19" s="68" t="n"/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70" t="n"/>
      <c r="AC19" s="59">
        <f>$X19*$AB19</f>
        <v/>
      </c>
      <c r="AD19" s="70" t="n"/>
      <c r="AE19" s="59">
        <f>$X19*$AD19</f>
        <v/>
      </c>
      <c r="AF19" s="68" t="n"/>
      <c r="AG19" s="59">
        <f>$X19+$AC19+$AE19+$AF19</f>
        <v/>
      </c>
      <c r="AH19" s="59">
        <f>$Q19-$X19</f>
        <v/>
      </c>
      <c r="AI19" s="67" t="n"/>
      <c r="AJ19" s="67" t="n"/>
    </row>
    <row r="20" ht="15" customHeight="1" s="39">
      <c r="A20" s="64" t="n"/>
      <c r="B20" s="65" t="n"/>
      <c r="C20" s="66" t="n"/>
      <c r="D20" s="66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8" t="n"/>
      <c r="P20" s="69" t="n"/>
      <c r="Q20" s="59">
        <f>IF(OR($N20="",$P20=""),0,IF($N20="CPM",$O20*$P20/1000,IF($N20="Sabit",$O20,$O20*$P20)))</f>
        <v/>
      </c>
      <c r="R20" s="61" t="n"/>
      <c r="S20" s="61" t="n"/>
      <c r="T20" s="61" t="n"/>
      <c r="U20" s="70" t="n"/>
      <c r="V20" s="67" t="n"/>
      <c r="W20" s="68" t="n"/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70" t="n"/>
      <c r="AC20" s="59">
        <f>$X20*$AB20</f>
        <v/>
      </c>
      <c r="AD20" s="70" t="n"/>
      <c r="AE20" s="59">
        <f>$X20*$AD20</f>
        <v/>
      </c>
      <c r="AF20" s="68" t="n"/>
      <c r="AG20" s="59">
        <f>$X20+$AC20+$AE20+$AF20</f>
        <v/>
      </c>
      <c r="AH20" s="59">
        <f>$Q20-$X20</f>
        <v/>
      </c>
      <c r="AI20" s="67" t="n"/>
      <c r="AJ20" s="67" t="n"/>
    </row>
    <row r="21" ht="15" customHeight="1" s="39">
      <c r="A21" s="64" t="n"/>
      <c r="B21" s="65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8" t="n"/>
      <c r="P21" s="69" t="n"/>
      <c r="Q21" s="59">
        <f>IF(OR($N21="",$P21=""),0,IF($N21="CPM",$O21*$P21/1000,IF($N21="Sabit",$O21,$O21*$P21)))</f>
        <v/>
      </c>
      <c r="R21" s="61" t="n"/>
      <c r="S21" s="61" t="n"/>
      <c r="T21" s="61" t="n"/>
      <c r="U21" s="70" t="n"/>
      <c r="V21" s="67" t="n"/>
      <c r="W21" s="68" t="n"/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70" t="n"/>
      <c r="AC21" s="59">
        <f>$X21*$AB21</f>
        <v/>
      </c>
      <c r="AD21" s="70" t="n"/>
      <c r="AE21" s="59">
        <f>$X21*$AD21</f>
        <v/>
      </c>
      <c r="AF21" s="68" t="n"/>
      <c r="AG21" s="59">
        <f>$X21+$AC21+$AE21+$AF21</f>
        <v/>
      </c>
      <c r="AH21" s="59">
        <f>$Q21-$X21</f>
        <v/>
      </c>
      <c r="AI21" s="67" t="n"/>
      <c r="AJ21" s="67" t="n"/>
    </row>
    <row r="22" ht="15" customHeight="1" s="39">
      <c r="A22" s="64" t="n"/>
      <c r="B22" s="65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8" t="n"/>
      <c r="P22" s="69" t="n"/>
      <c r="Q22" s="59">
        <f>IF(OR($N22="",$P22=""),0,IF($N22="CPM",$O22*$P22/1000,IF($N22="Sabit",$O22,$O22*$P22)))</f>
        <v/>
      </c>
      <c r="R22" s="61" t="n"/>
      <c r="S22" s="61" t="n"/>
      <c r="T22" s="61" t="n"/>
      <c r="U22" s="70" t="n"/>
      <c r="V22" s="67" t="n"/>
      <c r="W22" s="68" t="n"/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70" t="n"/>
      <c r="AC22" s="59">
        <f>$X22*$AB22</f>
        <v/>
      </c>
      <c r="AD22" s="70" t="n"/>
      <c r="AE22" s="59">
        <f>$X22*$AD22</f>
        <v/>
      </c>
      <c r="AF22" s="68" t="n"/>
      <c r="AG22" s="59">
        <f>$X22+$AC22+$AE22+$AF22</f>
        <v/>
      </c>
      <c r="AH22" s="59">
        <f>$Q22-$X22</f>
        <v/>
      </c>
      <c r="AI22" s="67" t="n"/>
      <c r="AJ22" s="67" t="n"/>
    </row>
    <row r="23" ht="15" customHeight="1" s="39">
      <c r="A23" s="64" t="n"/>
      <c r="B23" s="65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8" t="n"/>
      <c r="P23" s="69" t="n"/>
      <c r="Q23" s="59">
        <f>IF(OR($N23="",$P23=""),0,IF($N23="CPM",$O23*$P23/1000,IF($N23="Sabit",$O23,$O23*$P23)))</f>
        <v/>
      </c>
      <c r="R23" s="61" t="n"/>
      <c r="S23" s="61" t="n"/>
      <c r="T23" s="61" t="n"/>
      <c r="U23" s="70" t="n"/>
      <c r="V23" s="67" t="n"/>
      <c r="W23" s="68" t="n"/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70" t="n"/>
      <c r="AC23" s="59">
        <f>$X23*$AB23</f>
        <v/>
      </c>
      <c r="AD23" s="70" t="n"/>
      <c r="AE23" s="59">
        <f>$X23*$AD23</f>
        <v/>
      </c>
      <c r="AF23" s="68" t="n"/>
      <c r="AG23" s="59">
        <f>$X23+$AC23+$AE23+$AF23</f>
        <v/>
      </c>
      <c r="AH23" s="59">
        <f>$Q23-$X23</f>
        <v/>
      </c>
      <c r="AI23" s="67" t="n"/>
      <c r="AJ23" s="67" t="n"/>
    </row>
    <row r="24" ht="15" customHeight="1" s="39">
      <c r="A24" s="64" t="n"/>
      <c r="B24" s="65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8" t="n"/>
      <c r="P24" s="69" t="n"/>
      <c r="Q24" s="59">
        <f>IF(OR($N24="",$P24=""),0,IF($N24="CPM",$O24*$P24/1000,IF($N24="Sabit",$O24,$O24*$P24)))</f>
        <v/>
      </c>
      <c r="R24" s="61" t="n"/>
      <c r="S24" s="61" t="n"/>
      <c r="T24" s="61" t="n"/>
      <c r="U24" s="70" t="n"/>
      <c r="V24" s="67" t="n"/>
      <c r="W24" s="68" t="n"/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70" t="n"/>
      <c r="AC24" s="59">
        <f>$X24*$AB24</f>
        <v/>
      </c>
      <c r="AD24" s="70" t="n"/>
      <c r="AE24" s="59">
        <f>$X24*$AD24</f>
        <v/>
      </c>
      <c r="AF24" s="68" t="n"/>
      <c r="AG24" s="59">
        <f>$X24+$AC24+$AE24+$AF24</f>
        <v/>
      </c>
      <c r="AH24" s="59">
        <f>$Q24-$X24</f>
        <v/>
      </c>
      <c r="AI24" s="67" t="n"/>
      <c r="AJ24" s="67" t="n"/>
    </row>
    <row r="25" ht="15" customHeight="1" s="39">
      <c r="A25" s="64" t="n"/>
      <c r="B25" s="65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8" t="n"/>
      <c r="P25" s="69" t="n"/>
      <c r="Q25" s="59">
        <f>IF(OR($N25="",$P25=""),0,IF($N25="CPM",$O25*$P25/1000,IF($N25="Sabit",$O25,$O25*$P25)))</f>
        <v/>
      </c>
      <c r="R25" s="61" t="n"/>
      <c r="S25" s="61" t="n"/>
      <c r="T25" s="61" t="n"/>
      <c r="U25" s="70" t="n"/>
      <c r="V25" s="67" t="n"/>
      <c r="W25" s="68" t="n"/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70" t="n"/>
      <c r="AC25" s="59">
        <f>$X25*$AB25</f>
        <v/>
      </c>
      <c r="AD25" s="70" t="n"/>
      <c r="AE25" s="59">
        <f>$X25*$AD25</f>
        <v/>
      </c>
      <c r="AF25" s="68" t="n"/>
      <c r="AG25" s="59">
        <f>$X25+$AC25+$AE25+$AF25</f>
        <v/>
      </c>
      <c r="AH25" s="59">
        <f>$Q25-$X25</f>
        <v/>
      </c>
      <c r="AI25" s="67" t="n"/>
      <c r="AJ25" s="67" t="n"/>
    </row>
    <row r="26" ht="15" customHeight="1" s="39">
      <c r="A26" s="64" t="n"/>
      <c r="B26" s="65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8" t="n"/>
      <c r="P26" s="69" t="n"/>
      <c r="Q26" s="59">
        <f>IF(OR($N26="",$P26=""),0,IF($N26="CPM",$O26*$P26/1000,IF($N26="Sabit",$O26,$O26*$P26)))</f>
        <v/>
      </c>
      <c r="R26" s="61" t="n"/>
      <c r="S26" s="61" t="n"/>
      <c r="T26" s="61" t="n"/>
      <c r="U26" s="70" t="n"/>
      <c r="V26" s="67" t="n"/>
      <c r="W26" s="68" t="n"/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70" t="n"/>
      <c r="AC26" s="59">
        <f>$X26*$AB26</f>
        <v/>
      </c>
      <c r="AD26" s="70" t="n"/>
      <c r="AE26" s="59">
        <f>$X26*$AD26</f>
        <v/>
      </c>
      <c r="AF26" s="68" t="n"/>
      <c r="AG26" s="59">
        <f>$X26+$AC26+$AE26+$AF26</f>
        <v/>
      </c>
      <c r="AH26" s="59">
        <f>$Q26-$X26</f>
        <v/>
      </c>
      <c r="AI26" s="67" t="n"/>
      <c r="AJ26" s="67" t="n"/>
    </row>
    <row r="27" ht="15" customHeight="1" s="39">
      <c r="A27" s="64" t="n"/>
      <c r="B27" s="65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8" t="n"/>
      <c r="P27" s="69" t="n"/>
      <c r="Q27" s="59">
        <f>IF(OR($N27="",$P27=""),0,IF($N27="CPM",$O27*$P27/1000,IF($N27="Sabit",$O27,$O27*$P27)))</f>
        <v/>
      </c>
      <c r="R27" s="61" t="n"/>
      <c r="S27" s="61" t="n"/>
      <c r="T27" s="61" t="n"/>
      <c r="U27" s="70" t="n"/>
      <c r="V27" s="67" t="n"/>
      <c r="W27" s="68" t="n"/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70" t="n"/>
      <c r="AC27" s="59">
        <f>$X27*$AB27</f>
        <v/>
      </c>
      <c r="AD27" s="70" t="n"/>
      <c r="AE27" s="59">
        <f>$X27*$AD27</f>
        <v/>
      </c>
      <c r="AF27" s="68" t="n"/>
      <c r="AG27" s="59">
        <f>$X27+$AC27+$AE27+$AF27</f>
        <v/>
      </c>
      <c r="AH27" s="59">
        <f>$Q27-$X27</f>
        <v/>
      </c>
      <c r="AI27" s="67" t="n"/>
      <c r="AJ27" s="67" t="n"/>
    </row>
    <row r="28" ht="15" customHeight="1" s="39">
      <c r="A28" s="64" t="n"/>
      <c r="B28" s="65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8" t="n"/>
      <c r="P28" s="69" t="n"/>
      <c r="Q28" s="59">
        <f>IF(OR($N28="",$P28=""),0,IF($N28="CPM",$O28*$P28/1000,IF($N28="Sabit",$O28,$O28*$P28)))</f>
        <v/>
      </c>
      <c r="R28" s="61" t="n"/>
      <c r="S28" s="61" t="n"/>
      <c r="T28" s="61" t="n"/>
      <c r="U28" s="70" t="n"/>
      <c r="V28" s="67" t="n"/>
      <c r="W28" s="68" t="n"/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70" t="n"/>
      <c r="AC28" s="59">
        <f>$X28*$AB28</f>
        <v/>
      </c>
      <c r="AD28" s="70" t="n"/>
      <c r="AE28" s="59">
        <f>$X28*$AD28</f>
        <v/>
      </c>
      <c r="AF28" s="68" t="n"/>
      <c r="AG28" s="59">
        <f>$X28+$AC28+$AE28+$AF28</f>
        <v/>
      </c>
      <c r="AH28" s="59">
        <f>$Q28-$X28</f>
        <v/>
      </c>
      <c r="AI28" s="67" t="n"/>
      <c r="AJ28" s="67" t="n"/>
    </row>
    <row r="29" ht="15" customHeight="1" s="39">
      <c r="A29" s="64" t="n"/>
      <c r="B29" s="65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8" t="n"/>
      <c r="P29" s="69" t="n"/>
      <c r="Q29" s="59">
        <f>IF(OR($N29="",$P29=""),0,IF($N29="CPM",$O29*$P29/1000,IF($N29="Sabit",$O29,$O29*$P29)))</f>
        <v/>
      </c>
      <c r="R29" s="61" t="n"/>
      <c r="S29" s="61" t="n"/>
      <c r="T29" s="61" t="n"/>
      <c r="U29" s="70" t="n"/>
      <c r="V29" s="67" t="n"/>
      <c r="W29" s="68" t="n"/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70" t="n"/>
      <c r="AC29" s="59">
        <f>$X29*$AB29</f>
        <v/>
      </c>
      <c r="AD29" s="70" t="n"/>
      <c r="AE29" s="59">
        <f>$X29*$AD29</f>
        <v/>
      </c>
      <c r="AF29" s="68" t="n"/>
      <c r="AG29" s="59">
        <f>$X29+$AC29+$AE29+$AF29</f>
        <v/>
      </c>
      <c r="AH29" s="59">
        <f>$Q29-$X29</f>
        <v/>
      </c>
      <c r="AI29" s="67" t="n"/>
      <c r="AJ29" s="67" t="n"/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2026-08-04T18:21:28Z</dcterms:modified>
  <cp:revision>0</cp:revision>
</cp:coreProperties>
</file>