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BITA-BRAN-202511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Bitaksi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Bitaksi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Branding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Teknoloji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Ulaşım Uygulaması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Taksi Çağırma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2025-11-01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2025-11-30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2962385.76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BITA-BRAN-202511</t>
        </is>
      </c>
      <c r="C3" s="56" t="inlineStr">
        <is>
          <t>2025-11-01</t>
        </is>
      </c>
      <c r="D3" s="56" t="inlineStr">
        <is>
          <t>2025-11-30</t>
        </is>
      </c>
      <c r="E3" s="55" t="inlineStr">
        <is>
          <t>Video izletmek</t>
        </is>
      </c>
      <c r="F3" s="55" t="inlineStr">
        <is>
          <t>Acun Medya</t>
        </is>
      </c>
      <c r="G3" s="55" t="inlineStr">
        <is>
          <t>Acunn</t>
        </is>
      </c>
      <c r="H3" s="55" t="inlineStr">
        <is>
          <t>Tv8</t>
        </is>
      </c>
      <c r="I3" s="55" t="inlineStr">
        <is>
          <t>Tv8</t>
        </is>
      </c>
      <c r="J3" s="55" t="inlineStr">
        <is>
          <t>Desktop / Mobile</t>
        </is>
      </c>
      <c r="K3" s="55" t="inlineStr">
        <is>
          <t>Preroll</t>
        </is>
      </c>
      <c r="L3" s="55" t="inlineStr">
        <is>
          <t>Hedeflemeli Yayın</t>
        </is>
      </c>
      <c r="M3" s="55" t="n"/>
      <c r="N3" s="55" t="inlineStr">
        <is>
          <t>CPV</t>
        </is>
      </c>
      <c r="O3" s="57" t="n">
        <v>0.37</v>
      </c>
      <c r="P3" s="58" t="n">
        <v>500000</v>
      </c>
      <c r="Q3" s="59">
        <f>IF(OR($N3="",$P3=""),0,IF($N3="CPM",$O3*$P3/1000,IF($N3="Sabit",$O3,$O3*$P3)))</f>
        <v/>
      </c>
      <c r="R3" s="60" t="n">
        <v>548890</v>
      </c>
      <c r="S3" s="60" t="n">
        <v>1404</v>
      </c>
      <c r="T3" s="61" t="n"/>
      <c r="U3" s="62" t="n"/>
      <c r="V3" s="55" t="inlineStr">
        <is>
          <t>Fatura</t>
        </is>
      </c>
      <c r="W3" s="57" t="n">
        <v>200000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>
        <is>
          <t>kaynak dosyada gerçekleşen birim maliyet plandan kopyalanmış; fiyat farkı ölçülemez · tarih kampanya döneminden türetildi</t>
        </is>
      </c>
    </row>
    <row r="4" ht="15" customHeight="1" s="39">
      <c r="A4" s="54" t="inlineStr">
        <is>
          <t>S002</t>
        </is>
      </c>
      <c r="B4" s="55" t="inlineStr">
        <is>
          <t>BITA-BRAN-202511</t>
        </is>
      </c>
      <c r="C4" s="56" t="inlineStr">
        <is>
          <t>2025-11-01</t>
        </is>
      </c>
      <c r="D4" s="56" t="inlineStr">
        <is>
          <t>2025-11-30</t>
        </is>
      </c>
      <c r="E4" s="55" t="inlineStr">
        <is>
          <t>Video izletmek</t>
        </is>
      </c>
      <c r="F4" s="55" t="inlineStr">
        <is>
          <t>beIN</t>
        </is>
      </c>
      <c r="G4" s="55" t="inlineStr">
        <is>
          <t>Bein</t>
        </is>
      </c>
      <c r="H4" s="55" t="inlineStr">
        <is>
          <t>Tod &amp; Bein Connect</t>
        </is>
      </c>
      <c r="I4" s="55" t="inlineStr">
        <is>
          <t>Tod &amp; Bein Connect</t>
        </is>
      </c>
      <c r="J4" s="55" t="inlineStr">
        <is>
          <t>Desktop / Mobile</t>
        </is>
      </c>
      <c r="K4" s="55" t="inlineStr">
        <is>
          <t>Preroll</t>
        </is>
      </c>
      <c r="L4" s="55" t="inlineStr">
        <is>
          <t>Maç Özetleri</t>
        </is>
      </c>
      <c r="M4" s="55" t="n"/>
      <c r="N4" s="55" t="inlineStr">
        <is>
          <t>CPV</t>
        </is>
      </c>
      <c r="O4" s="57" t="n">
        <v>0.45</v>
      </c>
      <c r="P4" s="58" t="n">
        <v>884444.4444444444</v>
      </c>
      <c r="Q4" s="59">
        <f>IF(OR($N4="",$P4=""),0,IF($N4="CPM",$O4*$P4/1000,IF($N4="Sabit",$O4,$O4*$P4)))</f>
        <v/>
      </c>
      <c r="R4" s="60" t="n">
        <v>445499</v>
      </c>
      <c r="S4" s="60" t="n">
        <v>18640</v>
      </c>
      <c r="T4" s="61" t="n"/>
      <c r="U4" s="62" t="n"/>
      <c r="V4" s="55" t="inlineStr">
        <is>
          <t>Fatura</t>
        </is>
      </c>
      <c r="W4" s="57" t="n">
        <v>215510.14125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>
        <is>
          <t>kaynak dosyada gerçekleşen birim maliyet plandan kopyalanmış; fiyat farkı ölçülemez · tarih kampanya döneminden türetildi</t>
        </is>
      </c>
    </row>
    <row r="5" ht="15" customHeight="1" s="39">
      <c r="A5" s="54" t="inlineStr">
        <is>
          <t>S003</t>
        </is>
      </c>
      <c r="B5" s="55" t="inlineStr">
        <is>
          <t>BITA-BRAN-202511</t>
        </is>
      </c>
      <c r="C5" s="56" t="inlineStr">
        <is>
          <t>2025-11-01</t>
        </is>
      </c>
      <c r="D5" s="56" t="inlineStr">
        <is>
          <t>2025-11-30</t>
        </is>
      </c>
      <c r="E5" s="55" t="inlineStr">
        <is>
          <t>Video izletmek</t>
        </is>
      </c>
      <c r="F5" s="55" t="inlineStr">
        <is>
          <t>Can</t>
        </is>
      </c>
      <c r="G5" s="55" t="inlineStr">
        <is>
          <t>Can</t>
        </is>
      </c>
      <c r="H5" s="55" t="inlineStr">
        <is>
          <t>Show Tv</t>
        </is>
      </c>
      <c r="I5" s="55" t="inlineStr">
        <is>
          <t>Show Tv</t>
        </is>
      </c>
      <c r="J5" s="55" t="inlineStr">
        <is>
          <t>Desktop / Mobile</t>
        </is>
      </c>
      <c r="K5" s="55" t="inlineStr">
        <is>
          <t>Preroll</t>
        </is>
      </c>
      <c r="L5" s="55" t="inlineStr">
        <is>
          <t>Hedeflemeli Yayın</t>
        </is>
      </c>
      <c r="M5" s="55" t="n"/>
      <c r="N5" s="55" t="inlineStr">
        <is>
          <t>CPV</t>
        </is>
      </c>
      <c r="O5" s="57" t="n">
        <v>0.49</v>
      </c>
      <c r="P5" s="58" t="n">
        <v>416326.5306122449</v>
      </c>
      <c r="Q5" s="59">
        <f>IF(OR($N5="",$P5=""),0,IF($N5="CPM",$O5*$P5/1000,IF($N5="Sabit",$O5,$O5*$P5)))</f>
        <v/>
      </c>
      <c r="R5" s="60" t="n">
        <v>421522</v>
      </c>
      <c r="S5" s="60" t="n">
        <v>6482</v>
      </c>
      <c r="T5" s="61" t="n"/>
      <c r="U5" s="62" t="n"/>
      <c r="V5" s="55" t="inlineStr">
        <is>
          <t>Fatura</t>
        </is>
      </c>
      <c r="W5" s="57" t="n">
        <v>220000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>
        <is>
          <t>kaynak dosyada gerçekleşen birim maliyet plandan kopyalanmış; fiyat farkı ölçülemez · tarih kampanya döneminden türetildi</t>
        </is>
      </c>
    </row>
    <row r="6" ht="15" customHeight="1" s="39">
      <c r="A6" s="54" t="inlineStr">
        <is>
          <t>S004</t>
        </is>
      </c>
      <c r="B6" s="55" t="inlineStr">
        <is>
          <t>BITA-BRAN-202511</t>
        </is>
      </c>
      <c r="C6" s="56" t="inlineStr">
        <is>
          <t>2025-11-01</t>
        </is>
      </c>
      <c r="D6" s="56" t="inlineStr">
        <is>
          <t>2025-11-30</t>
        </is>
      </c>
      <c r="E6" s="55" t="inlineStr">
        <is>
          <t>Video izletmek</t>
        </is>
      </c>
      <c r="F6" s="55" t="inlineStr">
        <is>
          <t>Demirören</t>
        </is>
      </c>
      <c r="G6" s="55" t="inlineStr">
        <is>
          <t>Demirören</t>
        </is>
      </c>
      <c r="H6" s="55" t="inlineStr">
        <is>
          <t>Kanal D</t>
        </is>
      </c>
      <c r="I6" s="55" t="inlineStr">
        <is>
          <t>Kanal D</t>
        </is>
      </c>
      <c r="J6" s="55" t="inlineStr">
        <is>
          <t>Desktop / Mobile</t>
        </is>
      </c>
      <c r="K6" s="55" t="inlineStr">
        <is>
          <t>Preroll</t>
        </is>
      </c>
      <c r="L6" s="55" t="inlineStr">
        <is>
          <t>Hedeflemeli Yayın</t>
        </is>
      </c>
      <c r="M6" s="55" t="n"/>
      <c r="N6" s="55" t="inlineStr">
        <is>
          <t>CPV</t>
        </is>
      </c>
      <c r="O6" s="57" t="n">
        <v>0.4</v>
      </c>
      <c r="P6" s="58" t="n">
        <v>462500</v>
      </c>
      <c r="Q6" s="59">
        <f>IF(OR($N6="",$P6=""),0,IF($N6="CPM",$O6*$P6/1000,IF($N6="Sabit",$O6,$O6*$P6)))</f>
        <v/>
      </c>
      <c r="R6" s="60" t="n">
        <v>475157</v>
      </c>
      <c r="S6" s="60" t="n">
        <v>2730</v>
      </c>
      <c r="T6" s="61" t="n"/>
      <c r="U6" s="62" t="n"/>
      <c r="V6" s="55" t="inlineStr">
        <is>
          <t>Fatura</t>
        </is>
      </c>
      <c r="W6" s="57" t="n">
        <v>200000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>
        <is>
          <t>kaynak dosyada gerçekleşen birim maliyet plandan kopyalanmış; fiyat farkı ölçülemez · tarih kampanya döneminden türetildi</t>
        </is>
      </c>
    </row>
    <row r="7" ht="15" customHeight="1" s="39">
      <c r="A7" s="54" t="inlineStr">
        <is>
          <t>S005</t>
        </is>
      </c>
      <c r="B7" s="55" t="inlineStr">
        <is>
          <t>BITA-BRAN-202511</t>
        </is>
      </c>
      <c r="C7" s="56" t="inlineStr">
        <is>
          <t>2025-11-01</t>
        </is>
      </c>
      <c r="D7" s="56" t="inlineStr">
        <is>
          <t>2025-11-30</t>
        </is>
      </c>
      <c r="E7" s="55" t="inlineStr">
        <is>
          <t>Gösterim almak</t>
        </is>
      </c>
      <c r="F7" s="55" t="inlineStr">
        <is>
          <t>Demirören</t>
        </is>
      </c>
      <c r="G7" s="55" t="inlineStr">
        <is>
          <t>Demirören</t>
        </is>
      </c>
      <c r="H7" s="55" t="inlineStr">
        <is>
          <t>Kanal D</t>
        </is>
      </c>
      <c r="I7" s="55" t="inlineStr">
        <is>
          <t>Kanal D</t>
        </is>
      </c>
      <c r="J7" s="55" t="inlineStr">
        <is>
          <t>Desktop / Mobile</t>
        </is>
      </c>
      <c r="K7" s="55" t="inlineStr">
        <is>
          <t>Alt Bant</t>
        </is>
      </c>
      <c r="L7" s="55" t="inlineStr">
        <is>
          <t>Hedeflemeli Yayın</t>
        </is>
      </c>
      <c r="M7" s="55" t="n"/>
      <c r="N7" s="55" t="inlineStr">
        <is>
          <t>CPV</t>
        </is>
      </c>
      <c r="O7" s="57" t="n">
        <v>0.49</v>
      </c>
      <c r="P7" s="58" t="n">
        <v>148837</v>
      </c>
      <c r="Q7" s="59">
        <f>IF(OR($N7="",$P7=""),0,IF($N7="CPM",$O7*$P7/1000,IF($N7="Sabit",$O7,$O7*$P7)))</f>
        <v/>
      </c>
      <c r="R7" s="60" t="n">
        <v>164376</v>
      </c>
      <c r="S7" s="60" t="n">
        <v>180</v>
      </c>
      <c r="T7" s="61" t="n"/>
      <c r="U7" s="62" t="n"/>
      <c r="V7" s="55" t="inlineStr">
        <is>
          <t>Fatura</t>
        </is>
      </c>
      <c r="W7" s="57" t="n">
        <v>80000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>
        <is>
          <t>kaynak dosyada gerçekleşen birim maliyet plandan kopyalanmış; fiyat farkı ölçülemez · tarih kampanya döneminden türetildi</t>
        </is>
      </c>
    </row>
    <row r="8" ht="15" customHeight="1" s="39">
      <c r="A8" s="54" t="inlineStr">
        <is>
          <t>S006</t>
        </is>
      </c>
      <c r="B8" s="55" t="inlineStr">
        <is>
          <t>BITA-BRAN-202511</t>
        </is>
      </c>
      <c r="C8" s="56" t="inlineStr">
        <is>
          <t>2025-11-01</t>
        </is>
      </c>
      <c r="D8" s="56" t="inlineStr">
        <is>
          <t>2025-11-30</t>
        </is>
      </c>
      <c r="E8" s="55" t="inlineStr">
        <is>
          <t>Video izletmek</t>
        </is>
      </c>
      <c r="F8" s="55" t="inlineStr">
        <is>
          <t>Now</t>
        </is>
      </c>
      <c r="G8" s="55" t="inlineStr">
        <is>
          <t>NOW</t>
        </is>
      </c>
      <c r="H8" s="55" t="inlineStr">
        <is>
          <t>Now</t>
        </is>
      </c>
      <c r="I8" s="55" t="inlineStr">
        <is>
          <t>Now</t>
        </is>
      </c>
      <c r="J8" s="55" t="inlineStr">
        <is>
          <t>Desktop / Mobile</t>
        </is>
      </c>
      <c r="K8" s="55" t="inlineStr">
        <is>
          <t>Preroll</t>
        </is>
      </c>
      <c r="L8" s="55" t="inlineStr">
        <is>
          <t>Hedeflemeli Yayın</t>
        </is>
      </c>
      <c r="M8" s="55" t="n"/>
      <c r="N8" s="55" t="inlineStr">
        <is>
          <t>CPV</t>
        </is>
      </c>
      <c r="O8" s="57" t="n">
        <v>0.5</v>
      </c>
      <c r="P8" s="58" t="n">
        <v>363636</v>
      </c>
      <c r="Q8" s="59">
        <f>IF(OR($N8="",$P8=""),0,IF($N8="CPM",$O8*$P8/1000,IF($N8="Sabit",$O8,$O8*$P8)))</f>
        <v/>
      </c>
      <c r="R8" s="60" t="n">
        <v>379718</v>
      </c>
      <c r="S8" s="60" t="n">
        <v>3405</v>
      </c>
      <c r="T8" s="61" t="n"/>
      <c r="U8" s="62" t="n"/>
      <c r="V8" s="55" t="inlineStr">
        <is>
          <t>Fatura</t>
        </is>
      </c>
      <c r="W8" s="57" t="n">
        <v>200000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>
        <is>
          <t>kaynak dosyada gerçekleşen birim maliyet plandan kopyalanmış; fiyat farkı ölçülemez · tarih kampanya döneminden türetildi</t>
        </is>
      </c>
    </row>
    <row r="9" ht="15" customHeight="1" s="39">
      <c r="A9" s="54" t="inlineStr">
        <is>
          <t>S007</t>
        </is>
      </c>
      <c r="B9" s="55" t="inlineStr">
        <is>
          <t>BITA-BRAN-202511</t>
        </is>
      </c>
      <c r="C9" s="56" t="inlineStr">
        <is>
          <t>2025-11-01</t>
        </is>
      </c>
      <c r="D9" s="56" t="inlineStr">
        <is>
          <t>2025-11-30</t>
        </is>
      </c>
      <c r="E9" s="55" t="inlineStr">
        <is>
          <t>Video izletmek</t>
        </is>
      </c>
      <c r="F9" s="55" t="inlineStr">
        <is>
          <t>TRT</t>
        </is>
      </c>
      <c r="G9" s="55" t="inlineStr">
        <is>
          <t>TRT</t>
        </is>
      </c>
      <c r="H9" s="55" t="inlineStr">
        <is>
          <t>Trt</t>
        </is>
      </c>
      <c r="I9" s="55" t="inlineStr">
        <is>
          <t>Trt</t>
        </is>
      </c>
      <c r="J9" s="55" t="inlineStr">
        <is>
          <t>Desktop / Mobile</t>
        </is>
      </c>
      <c r="K9" s="55" t="inlineStr">
        <is>
          <t>Preroll</t>
        </is>
      </c>
      <c r="L9" s="55" t="inlineStr">
        <is>
          <t>Hedeflemeli Yayın</t>
        </is>
      </c>
      <c r="M9" s="55" t="n"/>
      <c r="N9" s="55" t="inlineStr">
        <is>
          <t>CPV</t>
        </is>
      </c>
      <c r="O9" s="57" t="n">
        <v>0.37</v>
      </c>
      <c r="P9" s="58" t="n">
        <v>500000</v>
      </c>
      <c r="Q9" s="59">
        <f>IF(OR($N9="",$P9=""),0,IF($N9="CPM",$O9*$P9/1000,IF($N9="Sabit",$O9,$O9*$P9)))</f>
        <v/>
      </c>
      <c r="R9" s="60" t="n">
        <v>536346</v>
      </c>
      <c r="S9" s="60" t="n">
        <v>9634</v>
      </c>
      <c r="T9" s="61" t="n"/>
      <c r="U9" s="62" t="n"/>
      <c r="V9" s="55" t="inlineStr">
        <is>
          <t>Fatura</t>
        </is>
      </c>
      <c r="W9" s="57" t="n">
        <v>200000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>
        <is>
          <t>kaynak dosyada gerçekleşen birim maliyet plandan kopyalanmış; fiyat farkı ölçülemez · tarih kampanya döneminden türetildi</t>
        </is>
      </c>
    </row>
    <row r="10" ht="15" customHeight="1" s="39">
      <c r="A10" s="54" t="inlineStr">
        <is>
          <t>S008</t>
        </is>
      </c>
      <c r="B10" s="55" t="inlineStr">
        <is>
          <t>BITA-BRAN-202511</t>
        </is>
      </c>
      <c r="C10" s="56" t="inlineStr">
        <is>
          <t>2025-11-01</t>
        </is>
      </c>
      <c r="D10" s="56" t="inlineStr">
        <is>
          <t>2025-11-30</t>
        </is>
      </c>
      <c r="E10" s="55" t="inlineStr">
        <is>
          <t>Video izletmek</t>
        </is>
      </c>
      <c r="F10" s="55" t="inlineStr">
        <is>
          <t>Turkuvaz</t>
        </is>
      </c>
      <c r="G10" s="55" t="inlineStr">
        <is>
          <t>Turkuvaz</t>
        </is>
      </c>
      <c r="H10" s="55" t="inlineStr">
        <is>
          <t>Atv</t>
        </is>
      </c>
      <c r="I10" s="55" t="inlineStr">
        <is>
          <t>Atv</t>
        </is>
      </c>
      <c r="J10" s="55" t="inlineStr">
        <is>
          <t>Desktop / Mobile</t>
        </is>
      </c>
      <c r="K10" s="55" t="inlineStr">
        <is>
          <t>Preroll &amp; Liveroll</t>
        </is>
      </c>
      <c r="L10" s="55" t="inlineStr">
        <is>
          <t>Hedeflemeli Yayın (Dizi İçerikleri)</t>
        </is>
      </c>
      <c r="M10" s="55" t="n"/>
      <c r="N10" s="55" t="inlineStr">
        <is>
          <t>CPV</t>
        </is>
      </c>
      <c r="O10" s="57" t="n">
        <v>0.39</v>
      </c>
      <c r="P10" s="58" t="n">
        <v>357142.8571428572</v>
      </c>
      <c r="Q10" s="59">
        <f>IF(OR($N10="",$P10=""),0,IF($N10="CPM",$O10*$P10/1000,IF($N10="Sabit",$O10,$O10*$P10)))</f>
        <v/>
      </c>
      <c r="R10" s="60" t="n">
        <v>372811</v>
      </c>
      <c r="S10" s="60" t="n">
        <v>1273</v>
      </c>
      <c r="T10" s="61" t="n"/>
      <c r="U10" s="62" t="n"/>
      <c r="V10" s="55" t="inlineStr">
        <is>
          <t>Fatura</t>
        </is>
      </c>
      <c r="W10" s="57" t="n">
        <v>150000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kaynak dosyada gerçekleşen birim maliyet plandan kopyalanmış; fiyat farkı ölçülemez · tarih kampanya döneminden türetildi</t>
        </is>
      </c>
    </row>
    <row r="11" ht="15" customHeight="1" s="39">
      <c r="A11" s="54" t="inlineStr">
        <is>
          <t>S009</t>
        </is>
      </c>
      <c r="B11" s="55" t="inlineStr">
        <is>
          <t>BITA-BRAN-202511</t>
        </is>
      </c>
      <c r="C11" s="56" t="inlineStr">
        <is>
          <t>2025-11-01</t>
        </is>
      </c>
      <c r="D11" s="56" t="inlineStr">
        <is>
          <t>2025-11-30</t>
        </is>
      </c>
      <c r="E11" s="55" t="inlineStr">
        <is>
          <t>Video izletmek</t>
        </is>
      </c>
      <c r="F11" s="55" t="inlineStr">
        <is>
          <t>All in</t>
        </is>
      </c>
      <c r="G11" s="55" t="inlineStr">
        <is>
          <t>All-in</t>
        </is>
      </c>
      <c r="H11" s="55" t="inlineStr">
        <is>
          <t>All-in</t>
        </is>
      </c>
      <c r="I11" s="55" t="inlineStr">
        <is>
          <t>All-in</t>
        </is>
      </c>
      <c r="J11" s="55" t="inlineStr">
        <is>
          <t>Gaming</t>
        </is>
      </c>
      <c r="K11" s="55" t="inlineStr">
        <is>
          <t>Oyun içi Rich Media</t>
        </is>
      </c>
      <c r="L11" s="55" t="inlineStr">
        <is>
          <t>Twitch &amp; Kick</t>
        </is>
      </c>
      <c r="M11" s="55" t="n"/>
      <c r="N11" s="55" t="inlineStr">
        <is>
          <t>CPV</t>
        </is>
      </c>
      <c r="O11" s="57" t="n">
        <v>0.46</v>
      </c>
      <c r="P11" s="58" t="n">
        <v>600000</v>
      </c>
      <c r="Q11" s="59">
        <f>IF(OR($N11="",$P11=""),0,IF($N11="CPM",$O11*$P11/1000,IF($N11="Sabit",$O11,$O11*$P11)))</f>
        <v/>
      </c>
      <c r="R11" s="60" t="n">
        <v>604348</v>
      </c>
      <c r="S11" s="60" t="n">
        <v>2350</v>
      </c>
      <c r="T11" s="61" t="n"/>
      <c r="U11" s="62" t="n"/>
      <c r="V11" s="55" t="inlineStr">
        <is>
          <t>Fatura</t>
        </is>
      </c>
      <c r="W11" s="57" t="n">
        <v>300000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>
        <is>
          <t>kaynak dosyada gerçekleşen birim maliyet plandan kopyalanmış; fiyat farkı ölçülemez · tarih kampanya döneminden türetildi</t>
        </is>
      </c>
    </row>
    <row r="12" ht="15" customHeight="1" s="39">
      <c r="A12" s="54" t="inlineStr">
        <is>
          <t>S010</t>
        </is>
      </c>
      <c r="B12" s="55" t="inlineStr">
        <is>
          <t>BITA-BRAN-202511</t>
        </is>
      </c>
      <c r="C12" s="56" t="inlineStr">
        <is>
          <t>2025-11-01</t>
        </is>
      </c>
      <c r="D12" s="56" t="inlineStr">
        <is>
          <t>2025-11-30</t>
        </is>
      </c>
      <c r="E12" s="55" t="inlineStr">
        <is>
          <t>Gösterim almak</t>
        </is>
      </c>
      <c r="F12" s="55" t="inlineStr">
        <is>
          <t>Bond</t>
        </is>
      </c>
      <c r="G12" s="55" t="inlineStr">
        <is>
          <t>Bond</t>
        </is>
      </c>
      <c r="H12" s="55" t="inlineStr">
        <is>
          <t>Azerion // Gaming</t>
        </is>
      </c>
      <c r="I12" s="55" t="inlineStr">
        <is>
          <t>Azerion // Gaming</t>
        </is>
      </c>
      <c r="J12" s="55" t="inlineStr">
        <is>
          <t>Gaming</t>
        </is>
      </c>
      <c r="K12" s="55" t="inlineStr">
        <is>
          <t>Attention Accelerator</t>
        </is>
      </c>
      <c r="L12" s="55" t="inlineStr">
        <is>
          <t>Hedeflemeli Yayın</t>
        </is>
      </c>
      <c r="M12" s="55" t="n"/>
      <c r="N12" s="55" t="inlineStr">
        <is>
          <t>CPV</t>
        </is>
      </c>
      <c r="O12" s="57" t="n">
        <v>0.35</v>
      </c>
      <c r="P12" s="58" t="n">
        <v>717608</v>
      </c>
      <c r="Q12" s="59">
        <f>IF(OR($N12="",$P12=""),0,IF($N12="CPM",$O12*$P12/1000,IF($N12="Sabit",$O12,$O12*$P12)))</f>
        <v/>
      </c>
      <c r="R12" s="60" t="n">
        <v>1080484</v>
      </c>
      <c r="S12" s="60" t="n">
        <v>6428</v>
      </c>
      <c r="T12" s="61" t="n"/>
      <c r="U12" s="62" t="n"/>
      <c r="V12" s="55" t="inlineStr">
        <is>
          <t>Fatura</t>
        </is>
      </c>
      <c r="W12" s="57" t="n">
        <v>270000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>
        <is>
          <t>kaynak dosyada gerçekleşen birim maliyet plandan kopyalanmış; fiyat farkı ölçülemez · tarih kampanya döneminden türetildi</t>
        </is>
      </c>
    </row>
    <row r="13" ht="15" customHeight="1" s="39">
      <c r="A13" s="54" t="inlineStr">
        <is>
          <t>S011</t>
        </is>
      </c>
      <c r="B13" s="55" t="inlineStr">
        <is>
          <t>BITA-BRAN-202511</t>
        </is>
      </c>
      <c r="C13" s="56" t="inlineStr">
        <is>
          <t>2025-11-01</t>
        </is>
      </c>
      <c r="D13" s="56" t="inlineStr">
        <is>
          <t>2025-11-30</t>
        </is>
      </c>
      <c r="E13" s="55" t="inlineStr">
        <is>
          <t>Video izletmek</t>
        </is>
      </c>
      <c r="F13" s="55" t="inlineStr">
        <is>
          <t>Disney</t>
        </is>
      </c>
      <c r="G13" s="55" t="inlineStr">
        <is>
          <t>Disney+</t>
        </is>
      </c>
      <c r="H13" s="55" t="inlineStr">
        <is>
          <t>Disney+</t>
        </is>
      </c>
      <c r="I13" s="55" t="inlineStr">
        <is>
          <t>Disney+</t>
        </is>
      </c>
      <c r="J13" s="55" t="inlineStr">
        <is>
          <t>VOD</t>
        </is>
      </c>
      <c r="K13" s="55" t="inlineStr">
        <is>
          <t>Preroll</t>
        </is>
      </c>
      <c r="L13" s="55" t="inlineStr">
        <is>
          <t>Hedeflemeli Yayın (Demogragfi + Lokasyon)</t>
        </is>
      </c>
      <c r="M13" s="55" t="n"/>
      <c r="N13" s="55" t="inlineStr">
        <is>
          <t>CPV</t>
        </is>
      </c>
      <c r="O13" s="57" t="n">
        <v>1.2</v>
      </c>
      <c r="P13" s="58" t="n">
        <v>387597</v>
      </c>
      <c r="Q13" s="59">
        <f>IF(OR($N13="",$P13=""),0,IF($N13="CPM",$O13*$P13/1000,IF($N13="Sabit",$O13,$O13*$P13)))</f>
        <v/>
      </c>
      <c r="R13" s="60" t="n">
        <v>389792</v>
      </c>
      <c r="S13" s="60" t="n"/>
      <c r="T13" s="61" t="n"/>
      <c r="U13" s="62" t="n"/>
      <c r="V13" s="55" t="inlineStr">
        <is>
          <t>Fatura</t>
        </is>
      </c>
      <c r="W13" s="57" t="n">
        <v>500000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>
        <is>
          <t>kaynak dosyada gerçekleşen birim maliyet plandan kopyalanmış; fiyat farkı ölçülemez · tarih kampanya döneminden türetildi</t>
        </is>
      </c>
    </row>
    <row r="14" ht="15" customHeight="1" s="39">
      <c r="A14" s="54" t="inlineStr">
        <is>
          <t>S012</t>
        </is>
      </c>
      <c r="B14" s="55" t="inlineStr">
        <is>
          <t>BITA-BRAN-202511</t>
        </is>
      </c>
      <c r="C14" s="56" t="inlineStr">
        <is>
          <t>2025-11-01</t>
        </is>
      </c>
      <c r="D14" s="56" t="inlineStr">
        <is>
          <t>2025-11-30</t>
        </is>
      </c>
      <c r="E14" s="55" t="inlineStr">
        <is>
          <t>Video izletmek</t>
        </is>
      </c>
      <c r="F14" s="55" t="inlineStr">
        <is>
          <t>TRT</t>
        </is>
      </c>
      <c r="G14" s="55" t="inlineStr">
        <is>
          <t>TRT</t>
        </is>
      </c>
      <c r="H14" s="55" t="inlineStr">
        <is>
          <t>Tabii</t>
        </is>
      </c>
      <c r="I14" s="55" t="inlineStr">
        <is>
          <t>Tabii</t>
        </is>
      </c>
      <c r="J14" s="55" t="inlineStr">
        <is>
          <t>VOD</t>
        </is>
      </c>
      <c r="K14" s="55" t="inlineStr">
        <is>
          <t>Preroll</t>
        </is>
      </c>
      <c r="L14" s="55" t="inlineStr">
        <is>
          <t>Hedeflemeli Yayın (Demogragfi + Lokasyon)</t>
        </is>
      </c>
      <c r="M14" s="55" t="n"/>
      <c r="N14" s="55" t="inlineStr">
        <is>
          <t>CPV</t>
        </is>
      </c>
      <c r="O14" s="57" t="n">
        <v>0.35</v>
      </c>
      <c r="P14" s="58" t="n">
        <v>531561</v>
      </c>
      <c r="Q14" s="59">
        <f>IF(OR($N14="",$P14=""),0,IF($N14="CPM",$O14*$P14/1000,IF($N14="Sabit",$O14,$O14*$P14)))</f>
        <v/>
      </c>
      <c r="R14" s="60" t="n">
        <v>533627</v>
      </c>
      <c r="S14" s="60" t="n">
        <v>4053</v>
      </c>
      <c r="T14" s="61" t="n"/>
      <c r="U14" s="62" t="n"/>
      <c r="V14" s="55" t="inlineStr">
        <is>
          <t>Fatura</t>
        </is>
      </c>
      <c r="W14" s="57" t="n">
        <v>200000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>
        <is>
          <t>kaynak dosyada gerçekleşen birim maliyet plandan kopyalanmış; fiyat farkı ölçülemez · tarih kampanya döneminden türetildi</t>
        </is>
      </c>
    </row>
    <row r="15" ht="15" customHeight="1" s="39">
      <c r="A15" s="64" t="n"/>
      <c r="B15" s="65" t="n"/>
      <c r="C15" s="66" t="n"/>
      <c r="D15" s="66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8" t="n"/>
      <c r="P15" s="69" t="n"/>
      <c r="Q15" s="59">
        <f>IF(OR($N15="",$P15=""),0,IF($N15="CPM",$O15*$P15/1000,IF($N15="Sabit",$O15,$O15*$P15)))</f>
        <v/>
      </c>
      <c r="R15" s="61" t="n"/>
      <c r="S15" s="61" t="n"/>
      <c r="T15" s="61" t="n"/>
      <c r="U15" s="70" t="n"/>
      <c r="V15" s="67" t="n"/>
      <c r="W15" s="68" t="n"/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70" t="n"/>
      <c r="AC15" s="59">
        <f>$X15*$AB15</f>
        <v/>
      </c>
      <c r="AD15" s="70" t="n"/>
      <c r="AE15" s="59">
        <f>$X15*$AD15</f>
        <v/>
      </c>
      <c r="AF15" s="68" t="n"/>
      <c r="AG15" s="59">
        <f>$X15+$AC15+$AE15+$AF15</f>
        <v/>
      </c>
      <c r="AH15" s="59">
        <f>$Q15-$X15</f>
        <v/>
      </c>
      <c r="AI15" s="67" t="n"/>
      <c r="AJ15" s="67" t="n"/>
    </row>
    <row r="16" ht="15" customHeight="1" s="39">
      <c r="A16" s="64" t="n"/>
      <c r="B16" s="65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8" t="n"/>
      <c r="P16" s="69" t="n"/>
      <c r="Q16" s="59">
        <f>IF(OR($N16="",$P16=""),0,IF($N16="CPM",$O16*$P16/1000,IF($N16="Sabit",$O16,$O16*$P16)))</f>
        <v/>
      </c>
      <c r="R16" s="61" t="n"/>
      <c r="S16" s="61" t="n"/>
      <c r="T16" s="61" t="n"/>
      <c r="U16" s="70" t="n"/>
      <c r="V16" s="67" t="n"/>
      <c r="W16" s="68" t="n"/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70" t="n"/>
      <c r="AC16" s="59">
        <f>$X16*$AB16</f>
        <v/>
      </c>
      <c r="AD16" s="70" t="n"/>
      <c r="AE16" s="59">
        <f>$X16*$AD16</f>
        <v/>
      </c>
      <c r="AF16" s="68" t="n"/>
      <c r="AG16" s="59">
        <f>$X16+$AC16+$AE16+$AF16</f>
        <v/>
      </c>
      <c r="AH16" s="59">
        <f>$Q16-$X16</f>
        <v/>
      </c>
      <c r="AI16" s="67" t="n"/>
      <c r="AJ16" s="67" t="n"/>
    </row>
    <row r="17" ht="15" customHeight="1" s="39">
      <c r="A17" s="64" t="n"/>
      <c r="B17" s="65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8" t="n"/>
      <c r="P17" s="69" t="n"/>
      <c r="Q17" s="59">
        <f>IF(OR($N17="",$P17=""),0,IF($N17="CPM",$O17*$P17/1000,IF($N17="Sabit",$O17,$O17*$P17)))</f>
        <v/>
      </c>
      <c r="R17" s="61" t="n"/>
      <c r="S17" s="61" t="n"/>
      <c r="T17" s="61" t="n"/>
      <c r="U17" s="70" t="n"/>
      <c r="V17" s="67" t="n"/>
      <c r="W17" s="68" t="n"/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70" t="n"/>
      <c r="AC17" s="59">
        <f>$X17*$AB17</f>
        <v/>
      </c>
      <c r="AD17" s="70" t="n"/>
      <c r="AE17" s="59">
        <f>$X17*$AD17</f>
        <v/>
      </c>
      <c r="AF17" s="68" t="n"/>
      <c r="AG17" s="59">
        <f>$X17+$AC17+$AE17+$AF17</f>
        <v/>
      </c>
      <c r="AH17" s="59">
        <f>$Q17-$X17</f>
        <v/>
      </c>
      <c r="AI17" s="67" t="n"/>
      <c r="AJ17" s="67" t="n"/>
    </row>
    <row r="18" ht="15" customHeight="1" s="39">
      <c r="A18" s="64" t="n"/>
      <c r="B18" s="65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8" t="n"/>
      <c r="P18" s="69" t="n"/>
      <c r="Q18" s="59">
        <f>IF(OR($N18="",$P18=""),0,IF($N18="CPM",$O18*$P18/1000,IF($N18="Sabit",$O18,$O18*$P18)))</f>
        <v/>
      </c>
      <c r="R18" s="61" t="n"/>
      <c r="S18" s="61" t="n"/>
      <c r="T18" s="61" t="n"/>
      <c r="U18" s="70" t="n"/>
      <c r="V18" s="67" t="n"/>
      <c r="W18" s="68" t="n"/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70" t="n"/>
      <c r="AC18" s="59">
        <f>$X18*$AB18</f>
        <v/>
      </c>
      <c r="AD18" s="70" t="n"/>
      <c r="AE18" s="59">
        <f>$X18*$AD18</f>
        <v/>
      </c>
      <c r="AF18" s="68" t="n"/>
      <c r="AG18" s="59">
        <f>$X18+$AC18+$AE18+$AF18</f>
        <v/>
      </c>
      <c r="AH18" s="59">
        <f>$Q18-$X18</f>
        <v/>
      </c>
      <c r="AI18" s="67" t="n"/>
      <c r="AJ18" s="67" t="n"/>
    </row>
    <row r="19" ht="15" customHeight="1" s="39">
      <c r="A19" s="64" t="n"/>
      <c r="B19" s="65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9" t="n"/>
      <c r="Q19" s="59">
        <f>IF(OR($N19="",$P19=""),0,IF($N19="CPM",$O19*$P19/1000,IF($N19="Sabit",$O19,$O19*$P19)))</f>
        <v/>
      </c>
      <c r="R19" s="61" t="n"/>
      <c r="S19" s="61" t="n"/>
      <c r="T19" s="61" t="n"/>
      <c r="U19" s="70" t="n"/>
      <c r="V19" s="67" t="n"/>
      <c r="W19" s="68" t="n"/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70" t="n"/>
      <c r="AC19" s="59">
        <f>$X19*$AB19</f>
        <v/>
      </c>
      <c r="AD19" s="70" t="n"/>
      <c r="AE19" s="59">
        <f>$X19*$AD19</f>
        <v/>
      </c>
      <c r="AF19" s="68" t="n"/>
      <c r="AG19" s="59">
        <f>$X19+$AC19+$AE19+$AF19</f>
        <v/>
      </c>
      <c r="AH19" s="59">
        <f>$Q19-$X19</f>
        <v/>
      </c>
      <c r="AI19" s="67" t="n"/>
      <c r="AJ19" s="67" t="n"/>
    </row>
    <row r="20" ht="15" customHeight="1" s="39">
      <c r="A20" s="64" t="n"/>
      <c r="B20" s="65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8" t="n"/>
      <c r="P20" s="69" t="n"/>
      <c r="Q20" s="59">
        <f>IF(OR($N20="",$P20=""),0,IF($N20="CPM",$O20*$P20/1000,IF($N20="Sabit",$O20,$O20*$P20)))</f>
        <v/>
      </c>
      <c r="R20" s="61" t="n"/>
      <c r="S20" s="61" t="n"/>
      <c r="T20" s="61" t="n"/>
      <c r="U20" s="70" t="n"/>
      <c r="V20" s="67" t="n"/>
      <c r="W20" s="68" t="n"/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70" t="n"/>
      <c r="AC20" s="59">
        <f>$X20*$AB20</f>
        <v/>
      </c>
      <c r="AD20" s="70" t="n"/>
      <c r="AE20" s="59">
        <f>$X20*$AD20</f>
        <v/>
      </c>
      <c r="AF20" s="68" t="n"/>
      <c r="AG20" s="59">
        <f>$X20+$AC20+$AE20+$AF20</f>
        <v/>
      </c>
      <c r="AH20" s="59">
        <f>$Q20-$X20</f>
        <v/>
      </c>
      <c r="AI20" s="67" t="n"/>
      <c r="AJ20" s="67" t="n"/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