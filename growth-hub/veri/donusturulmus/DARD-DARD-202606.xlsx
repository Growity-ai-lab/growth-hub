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ılavuz" sheetId="1" state="visible" r:id="rId1"/>
    <sheet xmlns:r="http://schemas.openxmlformats.org/officeDocument/2006/relationships" name="Kampanya" sheetId="2" state="visible" r:id="rId2"/>
    <sheet xmlns:r="http://schemas.openxmlformats.org/officeDocument/2006/relationships" name="Plan ve Gerçekleşen" sheetId="3" state="visible" r:id="rId3"/>
    <sheet xmlns:r="http://schemas.openxmlformats.org/officeDocument/2006/relationships" name="Özet" sheetId="4" state="visible" r:id="rId4"/>
    <sheet xmlns:r="http://schemas.openxmlformats.org/officeDocument/2006/relationships" name="Kontroller" sheetId="5" state="visible" r:id="rId5"/>
    <sheet xmlns:r="http://schemas.openxmlformats.org/officeDocument/2006/relationships" name="Listeler" sheetId="6" state="visible" r:id="rId6"/>
  </sheets>
  <definedNames>
    <definedName name="_xlnm._FilterDatabase" localSheetId="2" hidden="1">'Plan ve Gerçekleşen'!$A$2:$AJ$52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\-mm\-dd"/>
    <numFmt numFmtId="166" formatCode="#,##0.00;\-#,##0.00;\-"/>
    <numFmt numFmtId="167" formatCode="#,##0;\-#,##0;\-"/>
    <numFmt numFmtId="168" formatCode="#,##0;\-;\-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i val="1"/>
      <color rgb="FFC00000"/>
      <sz val="9"/>
    </font>
    <font>
      <name val="Arial"/>
      <charset val="1"/>
      <family val="0"/>
      <b val="1"/>
      <color rgb="FFC00000"/>
      <sz val="11"/>
    </font>
    <font>
      <name val="Arial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4" fontId="11" fillId="0" borderId="1" applyAlignment="1" pivotButton="0" quotePrefix="0" xfId="0">
      <alignment horizontal="general" vertical="bottom"/>
    </xf>
    <xf numFmtId="4" fontId="9" fillId="2" borderId="1" applyAlignment="1" pivotButton="0" quotePrefix="0" xfId="0">
      <alignment horizontal="general" vertical="bottom"/>
    </xf>
    <xf numFmtId="4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12" fillId="4" borderId="0" applyAlignment="1" pivotButton="0" quotePrefix="0" xfId="0">
      <alignment horizontal="left" vertical="bottom"/>
    </xf>
    <xf numFmtId="3" fontId="12" fillId="4" borderId="0" applyAlignment="1" pivotButton="0" quotePrefix="0" xfId="0">
      <alignment horizontal="left" vertical="bottom"/>
    </xf>
    <xf numFmtId="0" fontId="12" fillId="5" borderId="0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bottom" wrapText="1"/>
    </xf>
    <xf numFmtId="0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8" fontId="8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4" fontId="8" fillId="0" borderId="1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4" fontId="11" fillId="0" borderId="1" applyAlignment="1" pivotButton="0" quotePrefix="0" xfId="0">
      <alignment horizontal="general" vertical="bottom"/>
    </xf>
    <xf numFmtId="4" fontId="9" fillId="2" borderId="1" applyAlignment="1" pivotButton="0" quotePrefix="0" xfId="0">
      <alignment horizontal="general" vertical="bottom"/>
    </xf>
    <xf numFmtId="4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12" fillId="4" borderId="0" applyAlignment="1" pivotButton="0" quotePrefix="0" xfId="0">
      <alignment horizontal="left" vertical="bottom"/>
    </xf>
    <xf numFmtId="3" fontId="12" fillId="4" borderId="0" applyAlignment="1" pivotButton="0" quotePrefix="0" xfId="0">
      <alignment horizontal="left" vertical="bottom"/>
    </xf>
    <xf numFmtId="0" fontId="12" fillId="5" borderId="0" applyAlignment="1" pivotButton="0" quotePrefix="0" xfId="0">
      <alignment horizontal="center" vertical="center" wrapText="1"/>
    </xf>
    <xf numFmtId="1" fontId="15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165" fontId="15" fillId="0" borderId="2" applyAlignment="1" pivotButton="0" quotePrefix="0" xfId="0">
      <alignment horizontal="general" vertical="bottom"/>
    </xf>
    <xf numFmtId="166" fontId="15" fillId="0" borderId="2" applyAlignment="1" pivotButton="0" quotePrefix="0" xfId="0">
      <alignment horizontal="general" vertical="bottom"/>
    </xf>
    <xf numFmtId="167" fontId="15" fillId="0" borderId="2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3" fontId="15" fillId="0" borderId="2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15" fillId="0" borderId="2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1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bottom" wrapText="1"/>
    </xf>
    <xf numFmtId="0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8" fontId="8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4" fontId="8" fillId="0" borderId="1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8" min="2" max="2"/>
    <col width="96" customWidth="1" style="38" min="3" max="3"/>
  </cols>
  <sheetData>
    <row r="2" ht="16.15" customHeight="1" s="39">
      <c r="B2" s="40" t="inlineStr">
        <is>
          <t>T&amp;G — Yayın Planı ve Gerçekleşen Rapor Şablonu</t>
        </is>
      </c>
    </row>
    <row r="3" ht="15" customHeight="1" s="39">
      <c r="B3" s="41" t="inlineStr">
        <is>
          <t>Bu dosya hem müşteriye gösterilen rapor, hem de sistemin öğrendiği kayıt. Lütfen eksiksiz doldurun.</t>
        </is>
      </c>
    </row>
    <row r="5" ht="15" customHeight="1" s="39">
      <c r="B5" s="42" t="inlineStr">
        <is>
          <t>RENKLER NE ANLAMA GELİYOR</t>
        </is>
      </c>
    </row>
    <row r="6" ht="15" customHeight="1" s="39">
      <c r="B6" s="43" t="inlineStr">
        <is>
          <t>Mavi yazı</t>
        </is>
      </c>
      <c r="C6" s="44" t="inlineStr">
        <is>
          <t>Sizin dolduracağınız hücreler. Sadece buralara yazın.</t>
        </is>
      </c>
    </row>
    <row r="7" ht="15" customHeight="1" s="39">
      <c r="B7" s="43" t="inlineStr">
        <is>
          <t>Siyah yazı</t>
        </is>
      </c>
      <c r="C7" s="44" t="inlineStr">
        <is>
          <t>Kendiliğinden hesaplanan hücreler. Üzerine yazmayın, hesap bozulur.</t>
        </is>
      </c>
    </row>
    <row r="8" ht="15" customHeight="1" s="39">
      <c r="B8" s="43" t="inlineStr">
        <is>
          <t>Yeşil yazı</t>
        </is>
      </c>
      <c r="C8" s="44" t="inlineStr">
        <is>
          <t>Başka sayfadan gelen bilgi. Buraya da yazmayın.</t>
        </is>
      </c>
    </row>
    <row r="9" ht="15" customHeight="1" s="39">
      <c r="B9" s="43" t="inlineStr">
        <is>
          <t>Sarı dolgu</t>
        </is>
      </c>
      <c r="C9" s="44" t="inlineStr">
        <is>
          <t>Mutlaka doldurulması gereken hücreler.</t>
        </is>
      </c>
    </row>
    <row r="10" ht="15" customHeight="1" s="39">
      <c r="B10" s="43" t="n"/>
      <c r="C10" s="44" t="n"/>
    </row>
    <row r="11" ht="15" customHeight="1" s="39">
      <c r="B11" s="42" t="inlineStr">
        <is>
          <t>HANGİ SIRAYLA DOLDURULUR</t>
        </is>
      </c>
    </row>
    <row r="12" ht="15" customHeight="1" s="39">
      <c r="B12" s="43" t="inlineStr">
        <is>
          <t>1. Kampanya sayfası</t>
        </is>
      </c>
      <c r="C12" s="44" t="inlineStr">
        <is>
          <t>Marka, sektör, tarih, raporun durumu ve bütçe kalemleri.</t>
        </is>
      </c>
    </row>
    <row r="13" ht="25.5" customHeight="1" s="39">
      <c r="B13" s="43" t="inlineStr">
        <is>
          <t>2. Plan ve Gerçekleşen</t>
        </is>
      </c>
      <c r="C13" s="44" t="inlineStr">
        <is>
          <t>Her satıra bir yayıncı ve bir format yazılır. Aynı yayıncının iki farklı formatı iki ayrı satırdır.</t>
        </is>
      </c>
    </row>
    <row r="14" ht="15" customHeight="1" s="39">
      <c r="B14" s="43" t="inlineStr">
        <is>
          <t>3. Kontroller sayfası</t>
        </is>
      </c>
      <c r="C14" s="44" t="inlineStr">
        <is>
          <t>Hepsi TAMAM yazmadan raporu kimseye göndermeyin.</t>
        </is>
      </c>
    </row>
    <row r="15" ht="15" customHeight="1" s="39">
      <c r="B15" s="43" t="inlineStr">
        <is>
          <t>4. Özet sayfası</t>
        </is>
      </c>
      <c r="C15" s="44" t="inlineStr">
        <is>
          <t>Kendiliğinden dolar. Elle bir şey yazmanıza gerek yok.</t>
        </is>
      </c>
    </row>
    <row r="16" ht="15" customHeight="1" s="39">
      <c r="B16" s="43" t="n"/>
      <c r="C16" s="44" t="n"/>
    </row>
    <row r="17" ht="15" customHeight="1" s="39">
      <c r="B17" s="42" t="inlineStr">
        <is>
          <t>MUTLAKA DOLDURULACAK ALANLAR</t>
        </is>
      </c>
    </row>
    <row r="18" ht="39" customHeight="1" s="39">
      <c r="B18" s="43" t="inlineStr">
        <is>
          <t>Fiyat Tipi</t>
        </is>
      </c>
      <c r="C18" s="44" t="inlineStr">
        <is>
          <t>Boş bırakmayın. CPM / CPV / CPC / CPL / CPCV / Sabit arasından seçin. Tutar hesabı buna göre yapılır: CPM ise fiyat × adet / 1000, diğerlerinde fiyat × adet, Sabit ise yazdığınız fiyatın kendisi. Bunu yazmazsanız sistem CPM ile CPC'yi ayırt edemez.</t>
        </is>
      </c>
    </row>
    <row r="19" ht="39" customHeight="1" s="39">
      <c r="B19" s="43" t="inlineStr">
        <is>
          <t>Tutar Nereden Geldi</t>
        </is>
      </c>
      <c r="C19" s="44" t="inlineStr">
        <is>
          <t>Fatura veya Platform Raporu seçtiyseniz gerçek rakamı yandaki kolona yazın. Hesaplanan seçerseniz sistem fiyat × adet ile kendisi hesaplar, ama bu bir tahmindir. Kapanış raporunda hiç Hesaplanan satır kalmamalı.</t>
        </is>
      </c>
    </row>
    <row r="20" ht="25.5" customHeight="1" s="39">
      <c r="B20" s="43" t="inlineStr">
        <is>
          <t>Satır Durumu</t>
        </is>
      </c>
      <c r="C20" s="44" t="inlineStr">
        <is>
          <t>İptal ve Veri Gelmedi satırları hesaba katılmaz. Yayınlanmamış bir işi sıfır performans olarak kaydedersek yayıncıya haksızlık etmiş oluruz.</t>
        </is>
      </c>
    </row>
    <row r="21" ht="25.5" customHeight="1" s="39">
      <c r="B21" s="43" t="inlineStr">
        <is>
          <t>Yayıncı Grubu / Yayıncı / Envanter Sahibi</t>
        </is>
      </c>
      <c r="C21" s="44" t="inlineStr">
        <is>
          <t>Üçü farklı şeydir. Örnek: yeri satan HepsiBurada, yerin sahibi Warner Bros. Discovery, yayının yapıldığı içerik HBO Max. Bütçe yığılması kontrolü Yayıncı Grubu üzerinden yapılır.</t>
        </is>
      </c>
    </row>
    <row r="22" ht="15" customHeight="1" s="39">
      <c r="B22" s="43" t="inlineStr">
        <is>
          <t>Tarih</t>
        </is>
      </c>
      <c r="C22" s="44" t="inlineStr">
        <is>
          <t>Her satır için ayrı ayrı yazın. Kampanyanın genel tarihi yeterli değil.</t>
        </is>
      </c>
    </row>
    <row r="23" ht="25.5" customHeight="1" s="39">
      <c r="B23" s="43" t="inlineStr">
        <is>
          <t>Reklam Filmi Kodu</t>
        </is>
      </c>
      <c r="C23" s="44" t="inlineStr">
        <is>
          <t>Aynı yayıncı, farklı reklam filmiyle farklı sonuç verir. Bunu yazmazsanız kötü sonucun yayıncıdan mı filmden mi geldiğini anlayamayız.</t>
        </is>
      </c>
    </row>
    <row r="24" ht="25.5" customHeight="1" s="39">
      <c r="B24" s="43" t="inlineStr">
        <is>
          <t>Değişiklik Sebebi</t>
        </is>
      </c>
      <c r="C24" s="44" t="inlineStr">
        <is>
          <t>Plandan farklı bir şey yaptıysanız sebebini yazın. Değiştirmek serbest, sebebini yazmamak değil.</t>
        </is>
      </c>
    </row>
    <row r="25" ht="15" customHeight="1" s="39">
      <c r="B25" s="43" t="n"/>
      <c r="C25" s="44" t="n"/>
    </row>
    <row r="26" ht="15" customHeight="1" s="39">
      <c r="B26" s="42" t="inlineStr">
        <is>
          <t>DİKKAT EDİLECEKLER</t>
        </is>
      </c>
    </row>
    <row r="27" ht="25.5" customHeight="1" s="39">
      <c r="B27" s="43" t="inlineStr">
        <is>
          <t>Satır eklemek</t>
        </is>
      </c>
      <c r="C27" s="44" t="inlineStr">
        <is>
          <t>Yeni satırı 3. ile 52. satır arasına ekleyin. Toplamlar o aralığa bağlı; dışına yazarsanız toplama girmez.</t>
        </is>
      </c>
    </row>
    <row r="28" ht="25.5" customHeight="1" s="39">
      <c r="B28" s="43" t="inlineStr">
        <is>
          <t>Adetleri toplamayın</t>
        </is>
      </c>
      <c r="C28" s="44" t="inlineStr">
        <is>
          <t>Gösterim, izlenme ve tıklama farklı şeylerdir, alt alta toplanmaz. Özet sayfası bu yüzden fiyat tipine göre ayrı ayrı toplar.</t>
        </is>
      </c>
    </row>
    <row r="29" ht="25.5" customHeight="1" s="39">
      <c r="B29" s="43" t="inlineStr">
        <is>
          <t>Örnek satırlar</t>
        </is>
      </c>
      <c r="C29" s="44" t="inlineStr">
        <is>
          <t>3. ve 4. satırlar örnektir. Nasıl doldurulacağını gösterir. Kendi verinizi girmeden önce silin.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D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8" min="2" max="2"/>
    <col width="26" customWidth="1" style="38" min="3" max="3"/>
    <col width="46" customWidth="1" style="38" min="4" max="4"/>
  </cols>
  <sheetData>
    <row r="2" ht="16.15" customHeight="1" s="39">
      <c r="B2" s="40" t="inlineStr">
        <is>
          <t>KAMPANYA BİLGİLERİ</t>
        </is>
      </c>
    </row>
    <row r="4" ht="15" customHeight="1" s="39">
      <c r="B4" s="43" t="inlineStr">
        <is>
          <t>Kampanya Kodu</t>
        </is>
      </c>
      <c r="C4" s="45" t="inlineStr">
        <is>
          <t>DARD-DARD-202606</t>
        </is>
      </c>
      <c r="D4" s="41" t="inlineStr">
        <is>
          <t>Her kampanyaya bir kod verin, tekrar etmesin</t>
        </is>
      </c>
    </row>
    <row r="5" ht="15" customHeight="1" s="39">
      <c r="B5" s="43" t="inlineStr">
        <is>
          <t>Müşteri</t>
        </is>
      </c>
      <c r="C5" s="45" t="inlineStr">
        <is>
          <t>Dardanel - Sardalya</t>
        </is>
      </c>
      <c r="D5" s="41" t="n"/>
    </row>
    <row r="6" ht="15" customHeight="1" s="39">
      <c r="B6" s="43" t="inlineStr">
        <is>
          <t>Marka</t>
        </is>
      </c>
      <c r="C6" s="45" t="inlineStr">
        <is>
          <t>Dardanel - Sardalya</t>
        </is>
      </c>
      <c r="D6" s="41" t="n"/>
    </row>
    <row r="7" ht="15" customHeight="1" s="39">
      <c r="B7" s="43" t="inlineStr">
        <is>
          <t>Kampanya Adı</t>
        </is>
      </c>
      <c r="C7" s="45" t="inlineStr">
        <is>
          <t>Dardanel - Sardalya</t>
        </is>
      </c>
      <c r="D7" s="41" t="n"/>
    </row>
    <row r="8" ht="15" customHeight="1" s="39">
      <c r="B8" s="43" t="inlineStr">
        <is>
          <t>Sektör L1</t>
        </is>
      </c>
      <c r="C8" s="45" t="inlineStr">
        <is>
          <t>FMCG</t>
        </is>
      </c>
      <c r="D8" s="41" t="inlineStr">
        <is>
          <t>Ana sektör — listeden seçin</t>
        </is>
      </c>
    </row>
    <row r="9" ht="15" customHeight="1" s="39">
      <c r="B9" s="43" t="inlineStr">
        <is>
          <t>Sektör L2</t>
        </is>
      </c>
      <c r="C9" s="45" t="inlineStr">
        <is>
          <t>Hazır Yiyecek</t>
        </is>
      </c>
      <c r="D9" s="41" t="inlineStr">
        <is>
          <t>Alt sektör</t>
        </is>
      </c>
    </row>
    <row r="10" ht="15" customHeight="1" s="39">
      <c r="B10" s="43" t="inlineStr">
        <is>
          <t>Sektör L3</t>
        </is>
      </c>
      <c r="C10" s="45" t="inlineStr">
        <is>
          <t>Konserve Balık</t>
        </is>
      </c>
      <c r="D10" s="41" t="inlineStr">
        <is>
          <t>Ürün kategorisi</t>
        </is>
      </c>
    </row>
    <row r="11" ht="15" customHeight="1" s="39">
      <c r="B11" s="43" t="inlineStr">
        <is>
          <t>Dönem Başlangıç</t>
        </is>
      </c>
      <c r="C11" s="45" t="inlineStr">
        <is>
          <t>2026-06-01</t>
        </is>
      </c>
      <c r="D11" s="41" t="inlineStr">
        <is>
          <t>Tarih</t>
        </is>
      </c>
    </row>
    <row r="12" ht="15" customHeight="1" s="39">
      <c r="B12" s="43" t="inlineStr">
        <is>
          <t>Dönem Bitiş</t>
        </is>
      </c>
      <c r="C12" s="45" t="inlineStr">
        <is>
          <t>2026-06-30</t>
        </is>
      </c>
      <c r="D12" s="41" t="inlineStr">
        <is>
          <t>Tarih</t>
        </is>
      </c>
    </row>
    <row r="13" ht="15" customHeight="1" s="39">
      <c r="B13" s="43" t="inlineStr">
        <is>
          <t>Rapor Durumu</t>
        </is>
      </c>
      <c r="C13" s="45" t="inlineStr">
        <is>
          <t>Kapanış</t>
        </is>
      </c>
      <c r="D13" s="41" t="inlineStr">
        <is>
          <t>Kampanya bittiyse Kapanış seçin. Sisteme sadece Kapanış raporları girer</t>
        </is>
      </c>
    </row>
    <row r="14" ht="15" customHeight="1" s="39">
      <c r="B14" s="43" t="inlineStr">
        <is>
          <t>Rapor Tarihi</t>
        </is>
      </c>
      <c r="C14" s="45" t="inlineStr">
        <is>
          <t>2026-08-04</t>
        </is>
      </c>
      <c r="D14" s="41" t="inlineStr">
        <is>
          <t>Tarih</t>
        </is>
      </c>
    </row>
    <row r="17" ht="15" customHeight="1" s="39">
      <c r="B17" s="46" t="inlineStr">
        <is>
          <t>PLANLANAN BÜTÇE (kalem kalem)</t>
        </is>
      </c>
    </row>
    <row r="18" ht="15" customHeight="1" s="39">
      <c r="B18" s="43" t="inlineStr">
        <is>
          <t>Planlanan Yayın Bedeli</t>
        </is>
      </c>
      <c r="C18" s="47">
        <f>'Plan ve Gerçekleşen'!Q1</f>
        <v/>
      </c>
      <c r="D18" s="41" t="inlineStr">
        <is>
          <t>Satır tablosundan otomatik</t>
        </is>
      </c>
    </row>
    <row r="19" ht="15" customHeight="1" s="39">
      <c r="B19" s="43" t="inlineStr">
        <is>
          <t>Planlanan Adserver Bedeli</t>
        </is>
      </c>
      <c r="C19" s="48" t="n">
        <v>0</v>
      </c>
      <c r="D19" s="41" t="inlineStr">
        <is>
          <t>Elle girin</t>
        </is>
      </c>
    </row>
    <row r="20" ht="15" customHeight="1" s="39">
      <c r="B20" s="43" t="inlineStr">
        <is>
          <t>Planlanan AHB Bedeli</t>
        </is>
      </c>
      <c r="C20" s="47">
        <f>SUMPRODUCT('Plan ve Gerçekleşen'!$Q$3:$Q$52,'Plan ve Gerçekleşen'!$AB$3:$AB$52)</f>
        <v/>
      </c>
      <c r="D20" s="41" t="inlineStr">
        <is>
          <t>Plan bedeli × AHB oranı (satır tablosundan)</t>
        </is>
      </c>
    </row>
    <row r="21" ht="15" customHeight="1" s="39">
      <c r="B21" s="43" t="inlineStr">
        <is>
          <t>Planlanan Reseller Bedeli</t>
        </is>
      </c>
      <c r="C21" s="47">
        <f>SUMPRODUCT('Plan ve Gerçekleşen'!$Q$3:$Q$52,'Plan ve Gerçekleşen'!$AD$3:$AD$52)</f>
        <v/>
      </c>
      <c r="D21" s="41" t="inlineStr">
        <is>
          <t>Plan bedeli × reseller oranı (satır tablosundan)</t>
        </is>
      </c>
    </row>
    <row r="22" ht="15" customHeight="1" s="39">
      <c r="B22" s="43" t="inlineStr">
        <is>
          <t>PLANLANAN TOPLAM BÜTÇE</t>
        </is>
      </c>
      <c r="C22" s="49">
        <f>SUM(C18:C21)</f>
        <v/>
      </c>
      <c r="D22" s="41" t="inlineStr">
        <is>
          <t>Üstteki dört kalemin toplamı</t>
        </is>
      </c>
    </row>
    <row r="23" ht="15" customHeight="1" s="39">
      <c r="B23" s="43" t="inlineStr">
        <is>
          <t>Müşteriyle Anlaşılan Bütçe</t>
        </is>
      </c>
      <c r="C23" s="48" t="n">
        <v>5596406</v>
      </c>
      <c r="D23" s="41" t="inlineStr">
        <is>
          <t>Sözleşmedeki tutar. Üsttekiyle farklıysa Kontroller sayfası uyarır</t>
        </is>
      </c>
    </row>
    <row r="25" ht="15" customHeight="1" s="39">
      <c r="B25" s="46" t="inlineStr">
        <is>
          <t>GERÇEKLEŞEN (kendiliğinden hesaplanır)</t>
        </is>
      </c>
    </row>
    <row r="26" ht="15" customHeight="1" s="39">
      <c r="B26" s="43" t="inlineStr">
        <is>
          <t>Gerçekleşen Yayın Bedeli</t>
        </is>
      </c>
      <c r="C26" s="47">
        <f>'Plan ve Gerçekleşen'!X1</f>
        <v/>
      </c>
    </row>
    <row r="27" ht="15" customHeight="1" s="39">
      <c r="B27" s="43" t="inlineStr">
        <is>
          <t>Gerçekleşen Adserver Bedeli</t>
        </is>
      </c>
      <c r="C27" s="47">
        <f>'Plan ve Gerçekleşen'!AF1</f>
        <v/>
      </c>
    </row>
    <row r="28" ht="15" customHeight="1" s="39">
      <c r="B28" s="43" t="inlineStr">
        <is>
          <t>Gerçekleşen AHB Bedeli</t>
        </is>
      </c>
      <c r="C28" s="47">
        <f>'Plan ve Gerçekleşen'!AC1</f>
        <v/>
      </c>
    </row>
    <row r="29" ht="15" customHeight="1" s="39">
      <c r="B29" s="43" t="inlineStr">
        <is>
          <t>Gerçekleşen Reseller Bedeli</t>
        </is>
      </c>
      <c r="C29" s="47">
        <f>'Plan ve Gerçekleşen'!AE1</f>
        <v/>
      </c>
    </row>
    <row r="30" ht="15" customHeight="1" s="39">
      <c r="B30" s="43" t="inlineStr">
        <is>
          <t>GERÇEKLEŞEN TOPLAM MALİYET</t>
        </is>
      </c>
      <c r="C30" s="49">
        <f>SUM(C26:C29)</f>
        <v/>
      </c>
      <c r="D30" s="41" t="inlineStr">
        <is>
          <t>Yayın + adserver + AHB + reseller toplamı</t>
        </is>
      </c>
    </row>
    <row r="31" ht="15" customHeight="1" s="39">
      <c r="B31" s="43" t="inlineStr">
        <is>
          <t>Kalan Bütçe</t>
        </is>
      </c>
      <c r="C31" s="49">
        <f>C22-C30</f>
        <v/>
      </c>
    </row>
    <row r="32" ht="15" customHeight="1" s="39">
      <c r="B32" s="43" t="inlineStr">
        <is>
          <t>Bütçe Kullanım Oranı</t>
        </is>
      </c>
      <c r="C32" s="50">
        <f>IFERROR(C30/C22,0)</f>
        <v/>
      </c>
      <c r="D32" s="41" t="inlineStr">
        <is>
          <t>Kampanya sürerken düşük olması normaldir</t>
        </is>
      </c>
    </row>
  </sheetData>
  <dataValidations count="2">
    <dataValidation sqref="C8" showDropDown="0" showInputMessage="0" showErrorMessage="0" allowBlank="1" type="list" errorStyle="stop" operator="between">
      <formula1>Listeler!$F$2:$F$40</formula1>
      <formula2>0</formula2>
    </dataValidation>
    <dataValidation sqref="C13" showDropDown="0" showInputMessage="0" showErrorMessage="0" allowBlank="1" type="list" errorStyle="stop" operator="between">
      <formula1>Listeler!$D$2:$D$40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J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38" min="1" max="1"/>
    <col width="18" customWidth="1" style="38" min="2" max="2"/>
    <col width="11" customWidth="1" style="38" min="3" max="4"/>
    <col width="15" customWidth="1" style="38" min="5" max="5"/>
    <col width="16" customWidth="1" style="38" min="6" max="7"/>
    <col width="18" customWidth="1" style="38" min="8" max="8"/>
    <col width="26" customWidth="1" style="38" min="9" max="9"/>
    <col width="15" customWidth="1" style="38" min="10" max="11"/>
    <col width="20" customWidth="1" style="38" min="12" max="12"/>
    <col width="13" customWidth="1" style="38" min="13" max="13"/>
    <col width="11" customWidth="1" style="38" min="14" max="14"/>
    <col width="13" customWidth="1" style="38" min="15" max="15"/>
    <col width="15" customWidth="1" style="38" min="16" max="18"/>
    <col width="13" customWidth="1" style="38" min="19" max="20"/>
    <col width="11" customWidth="1" style="38" min="21" max="21"/>
    <col width="14" customWidth="1" style="38" min="22" max="22"/>
    <col width="15" customWidth="1" style="38" min="23" max="25"/>
    <col width="12" customWidth="1" style="38" min="26" max="27"/>
    <col width="10" customWidth="1" style="38" min="28" max="28"/>
    <col width="13" customWidth="1" style="38" min="29" max="29"/>
    <col width="10" customWidth="1" style="38" min="30" max="30"/>
    <col width="13" customWidth="1" style="38" min="31" max="32"/>
    <col width="14" customWidth="1" style="38" min="33" max="34"/>
    <col width="15" customWidth="1" style="38" min="35" max="35"/>
    <col width="34" customWidth="1" style="38" min="36" max="36"/>
  </cols>
  <sheetData>
    <row r="1" ht="15" customHeight="1" s="39">
      <c r="A1" s="51" t="inlineStr">
        <is>
          <t>Kimlik</t>
        </is>
      </c>
      <c r="B1" s="51" t="n"/>
      <c r="C1" s="51" t="n"/>
      <c r="D1" s="51" t="n"/>
      <c r="E1" s="51" t="n"/>
      <c r="F1" s="51" t="inlineStr">
        <is>
          <t>Yayıncı</t>
        </is>
      </c>
      <c r="G1" s="51" t="n"/>
      <c r="H1" s="51" t="n"/>
      <c r="I1" s="51" t="n"/>
      <c r="J1" s="51" t="inlineStr">
        <is>
          <t>Envanter</t>
        </is>
      </c>
      <c r="K1" s="51" t="n"/>
      <c r="L1" s="51" t="n"/>
      <c r="M1" s="51" t="n"/>
      <c r="N1" s="51" t="inlineStr">
        <is>
          <t>Plan</t>
        </is>
      </c>
      <c r="O1" s="51" t="n"/>
      <c r="P1" s="51" t="n"/>
      <c r="Q1" s="52">
        <f>SUM(Q3:Q52)</f>
        <v/>
      </c>
      <c r="R1" s="51" t="inlineStr">
        <is>
          <t>Gerçekleşen</t>
        </is>
      </c>
      <c r="S1" s="51" t="n"/>
      <c r="T1" s="51" t="n"/>
      <c r="U1" s="51" t="n"/>
      <c r="V1" s="51" t="inlineStr">
        <is>
          <t>Maliyet</t>
        </is>
      </c>
      <c r="W1" s="51" t="n"/>
      <c r="X1" s="52">
        <f>SUM(X3:X52)</f>
        <v/>
      </c>
      <c r="Y1" s="51" t="n"/>
      <c r="Z1" s="51" t="inlineStr">
        <is>
          <t>Sapma</t>
        </is>
      </c>
      <c r="AA1" s="51" t="n"/>
      <c r="AB1" s="51" t="inlineStr">
        <is>
          <t>Ek Maliyet</t>
        </is>
      </c>
      <c r="AC1" s="52">
        <f>SUM(AC3:AC52)</f>
        <v/>
      </c>
      <c r="AD1" s="51" t="n"/>
      <c r="AE1" s="52">
        <f>SUM(AE3:AE52)</f>
        <v/>
      </c>
      <c r="AF1" s="52">
        <f>SUM(AF3:AF52)</f>
        <v/>
      </c>
      <c r="AG1" s="52">
        <f>SUM(AG3:AG52)</f>
        <v/>
      </c>
      <c r="AH1" s="52">
        <f>SUM(AH3:AH52)</f>
        <v/>
      </c>
      <c r="AI1" s="51" t="inlineStr">
        <is>
          <t>Kontrol</t>
        </is>
      </c>
      <c r="AJ1" s="51" t="n"/>
    </row>
    <row r="2" ht="42" customHeight="1" s="39">
      <c r="A2" s="53" t="inlineStr">
        <is>
          <t>Satır ID</t>
        </is>
      </c>
      <c r="B2" s="53" t="inlineStr">
        <is>
          <t>Kampanya Kodu</t>
        </is>
      </c>
      <c r="C2" s="53" t="inlineStr">
        <is>
          <t>Başlangıç</t>
        </is>
      </c>
      <c r="D2" s="53" t="inlineStr">
        <is>
          <t>Bitiş</t>
        </is>
      </c>
      <c r="E2" s="53" t="inlineStr">
        <is>
          <t>Ne İstiyoruz</t>
        </is>
      </c>
      <c r="F2" s="53" t="inlineStr">
        <is>
          <t>Yayıncı Grubu</t>
        </is>
      </c>
      <c r="G2" s="53" t="inlineStr">
        <is>
          <t>Yayıncı (Satıcı)</t>
        </is>
      </c>
      <c r="H2" s="53" t="inlineStr">
        <is>
          <t>Envanter Sahibi</t>
        </is>
      </c>
      <c r="I2" s="53" t="inlineStr">
        <is>
          <t>Site / İçerik</t>
        </is>
      </c>
      <c r="J2" s="53" t="inlineStr">
        <is>
          <t>Cihaz</t>
        </is>
      </c>
      <c r="K2" s="53" t="inlineStr">
        <is>
          <t>Format</t>
        </is>
      </c>
      <c r="L2" s="53" t="inlineStr">
        <is>
          <t>Hedefleme / Kategori</t>
        </is>
      </c>
      <c r="M2" s="53" t="inlineStr">
        <is>
          <t>Reklam Filmi Kodu</t>
        </is>
      </c>
      <c r="N2" s="53" t="inlineStr">
        <is>
          <t>Fiyat Tipi</t>
        </is>
      </c>
      <c r="O2" s="53" t="inlineStr">
        <is>
          <t>Planlanan Birim Fiyat</t>
        </is>
      </c>
      <c r="P2" s="53" t="inlineStr">
        <is>
          <t>Planlanan Hacim</t>
        </is>
      </c>
      <c r="Q2" s="53" t="inlineStr">
        <is>
          <t>Planlanan Yayın Bedeli</t>
        </is>
      </c>
      <c r="R2" s="53" t="inlineStr">
        <is>
          <t>Gerçekleşen Hacim</t>
        </is>
      </c>
      <c r="S2" s="53" t="inlineStr">
        <is>
          <t>Gerçekleşen Tıklama</t>
        </is>
      </c>
      <c r="T2" s="53" t="inlineStr">
        <is>
          <t>Sonuna Kadar İzlenme</t>
        </is>
      </c>
      <c r="U2" s="53" t="inlineStr">
        <is>
          <t>Görünürlük %</t>
        </is>
      </c>
      <c r="V2" s="53" t="inlineStr">
        <is>
          <t>Tutar Nereden Geldi</t>
        </is>
      </c>
      <c r="W2" s="53" t="inlineStr">
        <is>
          <t>Gerçekleşen Bedel (Girdi)</t>
        </is>
      </c>
      <c r="X2" s="53" t="inlineStr">
        <is>
          <t>Gerçekleşen Yayın Bedeli</t>
        </is>
      </c>
      <c r="Y2" s="53" t="inlineStr">
        <is>
          <t>Gerçekleşen Birim Maliyet</t>
        </is>
      </c>
      <c r="Z2" s="53" t="inlineStr">
        <is>
          <t>Yayınlanma Oranı</t>
        </is>
      </c>
      <c r="AA2" s="53" t="inlineStr">
        <is>
          <t>Fiyat Farkı</t>
        </is>
      </c>
      <c r="AB2" s="53" t="inlineStr">
        <is>
          <t>AHB Oranı</t>
        </is>
      </c>
      <c r="AC2" s="53" t="inlineStr">
        <is>
          <t>AHB Bedeli</t>
        </is>
      </c>
      <c r="AD2" s="53" t="inlineStr">
        <is>
          <t>Reseller Oranı</t>
        </is>
      </c>
      <c r="AE2" s="53" t="inlineStr">
        <is>
          <t>Reseller Bedeli</t>
        </is>
      </c>
      <c r="AF2" s="53" t="inlineStr">
        <is>
          <t>Adserver Bedeli</t>
        </is>
      </c>
      <c r="AG2" s="53" t="inlineStr">
        <is>
          <t>Toplam Maliyet</t>
        </is>
      </c>
      <c r="AH2" s="53" t="inlineStr">
        <is>
          <t>Kalan Yayın Bedeli</t>
        </is>
      </c>
      <c r="AI2" s="53" t="inlineStr">
        <is>
          <t>Satır Durumu</t>
        </is>
      </c>
      <c r="AJ2" s="53" t="inlineStr">
        <is>
          <t>Not / Değişiklik Sebebi</t>
        </is>
      </c>
    </row>
    <row r="3" ht="15" customHeight="1" s="39">
      <c r="A3" s="54" t="inlineStr">
        <is>
          <t>S001</t>
        </is>
      </c>
      <c r="B3" s="55" t="inlineStr">
        <is>
          <t>DARD-DARD-202606</t>
        </is>
      </c>
      <c r="C3" s="56" t="inlineStr">
        <is>
          <t>2026-06-01</t>
        </is>
      </c>
      <c r="D3" s="56" t="inlineStr">
        <is>
          <t>2026-06-30</t>
        </is>
      </c>
      <c r="E3" s="55" t="inlineStr">
        <is>
          <t>Gösterim almak</t>
        </is>
      </c>
      <c r="F3" s="55" t="inlineStr">
        <is>
          <t>Mimeda</t>
        </is>
      </c>
      <c r="G3" s="55" t="inlineStr">
        <is>
          <t>Mimeda</t>
        </is>
      </c>
      <c r="H3" s="55" t="inlineStr">
        <is>
          <t>Mimeda</t>
        </is>
      </c>
      <c r="I3" s="55" t="inlineStr">
        <is>
          <t>Mimeda</t>
        </is>
      </c>
      <c r="J3" s="55" t="inlineStr">
        <is>
          <t>Desktop / Mobile</t>
        </is>
      </c>
      <c r="K3" s="55" t="inlineStr">
        <is>
          <t>Spoonsor Ürün</t>
        </is>
      </c>
      <c r="L3" s="55" t="inlineStr">
        <is>
          <t>Hedeflemeli Yayın</t>
        </is>
      </c>
      <c r="M3" s="55" t="n"/>
      <c r="N3" s="55" t="inlineStr">
        <is>
          <t>CPV</t>
        </is>
      </c>
      <c r="O3" s="57" t="n">
        <v>5</v>
      </c>
      <c r="P3" s="58" t="n">
        <v>10000</v>
      </c>
      <c r="Q3" s="59">
        <f>IF(OR($N3="",$P3=""),0,IF($N3="CPM",$O3*$P3/1000,IF($N3="Sabit",$O3,$O3*$P3)))</f>
        <v/>
      </c>
      <c r="R3" s="60" t="n">
        <v>1071</v>
      </c>
      <c r="S3" s="60" t="n"/>
      <c r="T3" s="61" t="n"/>
      <c r="U3" s="62" t="n"/>
      <c r="V3" s="55" t="inlineStr">
        <is>
          <t>Fatura</t>
        </is>
      </c>
      <c r="W3" s="57" t="n">
        <v>1290</v>
      </c>
      <c r="X3" s="59">
        <f>IF($V3="",0,IF(OR($V3="Fatura",$V3="Platform Raporu"),$W3,IF($R3="",0,IF($N3="CPM",$O3*$R3/1000,IF($N3="Sabit",$O3,$O3*$R3)))))</f>
        <v/>
      </c>
      <c r="Y3" s="59">
        <f>IF(OR($X3=0,$N3="Sabit"),"",IFERROR(IF($N3="CPM",$X3/$R3*1000,$X3/$R3),""))</f>
        <v/>
      </c>
      <c r="Z3" s="63">
        <f>IF($AI3&lt;&gt;"Yayınlandı","",IFERROR($R3/$P3,""))</f>
        <v/>
      </c>
      <c r="AA3" s="63">
        <f>IF($Y3="","",IFERROR($Y3/$O3-1,""))</f>
        <v/>
      </c>
      <c r="AB3" s="62" t="n">
        <v>0</v>
      </c>
      <c r="AC3" s="59">
        <f>$X3*$AB3</f>
        <v/>
      </c>
      <c r="AD3" s="62" t="n">
        <v>0</v>
      </c>
      <c r="AE3" s="59">
        <f>$X3*$AD3</f>
        <v/>
      </c>
      <c r="AF3" s="57" t="n">
        <v>0</v>
      </c>
      <c r="AG3" s="59">
        <f>$X3+$AC3+$AE3+$AF3</f>
        <v/>
      </c>
      <c r="AH3" s="59">
        <f>$Q3-$X3</f>
        <v/>
      </c>
      <c r="AI3" s="55" t="inlineStr">
        <is>
          <t>Yayınlandı</t>
        </is>
      </c>
      <c r="AJ3" s="55" t="inlineStr">
        <is>
          <t>kaynak dosyada gerçekleşen birim maliyet plandan kopyalanmış; fiyat farkı ölçülemez · tarih kampanya döneminden türetildi</t>
        </is>
      </c>
    </row>
    <row r="4" ht="15" customHeight="1" s="39">
      <c r="A4" s="54" t="inlineStr">
        <is>
          <t>S002</t>
        </is>
      </c>
      <c r="B4" s="55" t="inlineStr">
        <is>
          <t>DARD-DARD-202606</t>
        </is>
      </c>
      <c r="C4" s="56" t="inlineStr">
        <is>
          <t>2026-06-01</t>
        </is>
      </c>
      <c r="D4" s="56" t="inlineStr">
        <is>
          <t>2026-06-30</t>
        </is>
      </c>
      <c r="E4" s="55" t="inlineStr">
        <is>
          <t>Video izletmek</t>
        </is>
      </c>
      <c r="F4" s="55" t="inlineStr">
        <is>
          <t>Google</t>
        </is>
      </c>
      <c r="G4" s="55" t="inlineStr">
        <is>
          <t>Google</t>
        </is>
      </c>
      <c r="H4" s="55" t="inlineStr">
        <is>
          <t>Youtube</t>
        </is>
      </c>
      <c r="I4" s="55" t="inlineStr">
        <is>
          <t>Youtube</t>
        </is>
      </c>
      <c r="J4" s="55" t="inlineStr">
        <is>
          <t>Desktop / Mobile</t>
        </is>
      </c>
      <c r="K4" s="55" t="inlineStr">
        <is>
          <t>Masthead (8 saniye Lezzet)</t>
        </is>
      </c>
      <c r="L4" s="55" t="inlineStr">
        <is>
          <t>Hedeflemeli Yayın</t>
        </is>
      </c>
      <c r="M4" s="55" t="n"/>
      <c r="N4" s="55" t="inlineStr">
        <is>
          <t>CPM</t>
        </is>
      </c>
      <c r="O4" s="57" t="n">
        <v>44</v>
      </c>
      <c r="P4" s="58" t="n">
        <v>11363636.36363636</v>
      </c>
      <c r="Q4" s="59">
        <f>IF(OR($N4="",$P4=""),0,IF($N4="CPM",$O4*$P4/1000,IF($N4="Sabit",$O4,$O4*$P4)))</f>
        <v/>
      </c>
      <c r="R4" s="60" t="n"/>
      <c r="S4" s="60" t="n"/>
      <c r="T4" s="61" t="n"/>
      <c r="U4" s="62" t="n"/>
      <c r="V4" s="55" t="n"/>
      <c r="W4" s="57" t="n">
        <v>0</v>
      </c>
      <c r="X4" s="59">
        <f>IF($V4="",0,IF(OR($V4="Fatura",$V4="Platform Raporu"),$W4,IF($R4="",0,IF($N4="CPM",$O4*$R4/1000,IF($N4="Sabit",$O4,$O4*$R4)))))</f>
        <v/>
      </c>
      <c r="Y4" s="59">
        <f>IF(OR($X4=0,$N4="Sabit"),"",IFERROR(IF($N4="CPM",$X4/$R4*1000,$X4/$R4),""))</f>
        <v/>
      </c>
      <c r="Z4" s="63">
        <f>IF($AI4&lt;&gt;"Yayınlandı","",IFERROR($R4/$P4,""))</f>
        <v/>
      </c>
      <c r="AA4" s="63">
        <f>IF($Y4="","",IFERROR($Y4/$O4-1,""))</f>
        <v/>
      </c>
      <c r="AB4" s="62" t="n">
        <v>0</v>
      </c>
      <c r="AC4" s="59">
        <f>$X4*$AB4</f>
        <v/>
      </c>
      <c r="AD4" s="62" t="n">
        <v>0</v>
      </c>
      <c r="AE4" s="59">
        <f>$X4*$AD4</f>
        <v/>
      </c>
      <c r="AF4" s="57" t="n">
        <v>0</v>
      </c>
      <c r="AG4" s="59">
        <f>$X4+$AC4+$AE4+$AF4</f>
        <v/>
      </c>
      <c r="AH4" s="59">
        <f>$Q4-$X4</f>
        <v/>
      </c>
      <c r="AI4" s="55" t="inlineStr">
        <is>
          <t>Veri Gelmedi</t>
        </is>
      </c>
      <c r="AJ4" s="55" t="inlineStr">
        <is>
          <t>kaynak dosyada gerçekleşen birim maliyet plandan kopyalanmış; fiyat farkı ölçülemez · tarih kampanya döneminden türetildi</t>
        </is>
      </c>
    </row>
    <row r="5" ht="15" customHeight="1" s="39">
      <c r="A5" s="54" t="inlineStr">
        <is>
          <t>S003</t>
        </is>
      </c>
      <c r="B5" s="55" t="inlineStr">
        <is>
          <t>DARD-DARD-202606</t>
        </is>
      </c>
      <c r="C5" s="56" t="inlineStr">
        <is>
          <t>2026-06-01</t>
        </is>
      </c>
      <c r="D5" s="56" t="inlineStr">
        <is>
          <t>2026-06-30</t>
        </is>
      </c>
      <c r="E5" s="55" t="inlineStr">
        <is>
          <t>Gösterim almak</t>
        </is>
      </c>
      <c r="F5" s="55" t="inlineStr">
        <is>
          <t>Google</t>
        </is>
      </c>
      <c r="G5" s="55" t="inlineStr">
        <is>
          <t>Google</t>
        </is>
      </c>
      <c r="H5" s="55" t="inlineStr">
        <is>
          <t>Youtube</t>
        </is>
      </c>
      <c r="I5" s="55" t="inlineStr">
        <is>
          <t>Youtube</t>
        </is>
      </c>
      <c r="J5" s="55" t="inlineStr">
        <is>
          <t>Desktop / Mobile</t>
        </is>
      </c>
      <c r="K5" s="55" t="inlineStr">
        <is>
          <t>Non Skippable</t>
        </is>
      </c>
      <c r="L5" s="55" t="inlineStr">
        <is>
          <t>Hedeflemeli Yayın</t>
        </is>
      </c>
      <c r="M5" s="55" t="n"/>
      <c r="N5" s="55" t="inlineStr">
        <is>
          <t>CPM</t>
        </is>
      </c>
      <c r="O5" s="57" t="n">
        <v>70</v>
      </c>
      <c r="P5" s="58" t="n">
        <v>28571428.57142857</v>
      </c>
      <c r="Q5" s="59">
        <f>IF(OR($N5="",$P5=""),0,IF($N5="CPM",$O5*$P5/1000,IF($N5="Sabit",$O5,$O5*$P5)))</f>
        <v/>
      </c>
      <c r="R5" s="60" t="n">
        <v>4396180</v>
      </c>
      <c r="S5" s="60" t="n"/>
      <c r="T5" s="61" t="n"/>
      <c r="U5" s="62" t="n"/>
      <c r="V5" s="55" t="inlineStr">
        <is>
          <t>Platform Raporu</t>
        </is>
      </c>
      <c r="W5" s="57" t="n">
        <v>297518.9</v>
      </c>
      <c r="X5" s="59">
        <f>IF($V5="",0,IF(OR($V5="Fatura",$V5="Platform Raporu"),$W5,IF($R5="",0,IF($N5="CPM",$O5*$R5/1000,IF($N5="Sabit",$O5,$O5*$R5)))))</f>
        <v/>
      </c>
      <c r="Y5" s="59">
        <f>IF(OR($X5=0,$N5="Sabit"),"",IFERROR(IF($N5="CPM",$X5/$R5*1000,$X5/$R5),""))</f>
        <v/>
      </c>
      <c r="Z5" s="63">
        <f>IF($AI5&lt;&gt;"Yayınlandı","",IFERROR($R5/$P5,""))</f>
        <v/>
      </c>
      <c r="AA5" s="63">
        <f>IF($Y5="","",IFERROR($Y5/$O5-1,""))</f>
        <v/>
      </c>
      <c r="AB5" s="62" t="n">
        <v>0.055</v>
      </c>
      <c r="AC5" s="59">
        <f>$X5*$AB5</f>
        <v/>
      </c>
      <c r="AD5" s="62" t="n">
        <v>0</v>
      </c>
      <c r="AE5" s="59">
        <f>$X5*$AD5</f>
        <v/>
      </c>
      <c r="AF5" s="57" t="n">
        <v>0</v>
      </c>
      <c r="AG5" s="59">
        <f>$X5+$AC5+$AE5+$AF5</f>
        <v/>
      </c>
      <c r="AH5" s="59">
        <f>$Q5-$X5</f>
        <v/>
      </c>
      <c r="AI5" s="55" t="inlineStr">
        <is>
          <t>Yayınlandı</t>
        </is>
      </c>
      <c r="AJ5" s="55" t="inlineStr">
        <is>
          <t>tarih kampanya döneminden türetildi</t>
        </is>
      </c>
    </row>
    <row r="6" ht="15" customHeight="1" s="39">
      <c r="A6" s="54" t="inlineStr">
        <is>
          <t>S004</t>
        </is>
      </c>
      <c r="B6" s="55" t="inlineStr">
        <is>
          <t>DARD-DARD-202606</t>
        </is>
      </c>
      <c r="C6" s="56" t="inlineStr">
        <is>
          <t>2026-06-01</t>
        </is>
      </c>
      <c r="D6" s="56" t="inlineStr">
        <is>
          <t>2026-06-30</t>
        </is>
      </c>
      <c r="E6" s="55" t="inlineStr">
        <is>
          <t>Video izletmek</t>
        </is>
      </c>
      <c r="F6" s="55" t="inlineStr">
        <is>
          <t>Google</t>
        </is>
      </c>
      <c r="G6" s="55" t="inlineStr">
        <is>
          <t>Google</t>
        </is>
      </c>
      <c r="H6" s="55" t="inlineStr">
        <is>
          <t>Youtube</t>
        </is>
      </c>
      <c r="I6" s="55" t="inlineStr">
        <is>
          <t>Youtube</t>
        </is>
      </c>
      <c r="J6" s="55" t="inlineStr">
        <is>
          <t>Desktop / Mobile</t>
        </is>
      </c>
      <c r="K6" s="55" t="inlineStr">
        <is>
          <t>Connected Tv</t>
        </is>
      </c>
      <c r="L6" s="55" t="inlineStr">
        <is>
          <t>Hedeflemeli Yayın</t>
        </is>
      </c>
      <c r="M6" s="55" t="n"/>
      <c r="N6" s="55" t="inlineStr">
        <is>
          <t>CPM</t>
        </is>
      </c>
      <c r="O6" s="57" t="n">
        <v>100</v>
      </c>
      <c r="P6" s="58" t="n">
        <v>1000000</v>
      </c>
      <c r="Q6" s="59">
        <f>IF(OR($N6="",$P6=""),0,IF($N6="CPM",$O6*$P6/1000,IF($N6="Sabit",$O6,$O6*$P6)))</f>
        <v/>
      </c>
      <c r="R6" s="60" t="n">
        <v>254171</v>
      </c>
      <c r="S6" s="60" t="n"/>
      <c r="T6" s="61" t="n"/>
      <c r="U6" s="62" t="n"/>
      <c r="V6" s="55" t="inlineStr">
        <is>
          <t>Platform Raporu</t>
        </is>
      </c>
      <c r="W6" s="57" t="n">
        <v>26243.77</v>
      </c>
      <c r="X6" s="59">
        <f>IF($V6="",0,IF(OR($V6="Fatura",$V6="Platform Raporu"),$W6,IF($R6="",0,IF($N6="CPM",$O6*$R6/1000,IF($N6="Sabit",$O6,$O6*$R6)))))</f>
        <v/>
      </c>
      <c r="Y6" s="59">
        <f>IF(OR($X6=0,$N6="Sabit"),"",IFERROR(IF($N6="CPM",$X6/$R6*1000,$X6/$R6),""))</f>
        <v/>
      </c>
      <c r="Z6" s="63">
        <f>IF($AI6&lt;&gt;"Yayınlandı","",IFERROR($R6/$P6,""))</f>
        <v/>
      </c>
      <c r="AA6" s="63">
        <f>IF($Y6="","",IFERROR($Y6/$O6-1,""))</f>
        <v/>
      </c>
      <c r="AB6" s="62" t="n">
        <v>0.055</v>
      </c>
      <c r="AC6" s="59">
        <f>$X6*$AB6</f>
        <v/>
      </c>
      <c r="AD6" s="62" t="n">
        <v>0</v>
      </c>
      <c r="AE6" s="59">
        <f>$X6*$AD6</f>
        <v/>
      </c>
      <c r="AF6" s="57" t="n">
        <v>0</v>
      </c>
      <c r="AG6" s="59">
        <f>$X6+$AC6+$AE6+$AF6</f>
        <v/>
      </c>
      <c r="AH6" s="59">
        <f>$Q6-$X6</f>
        <v/>
      </c>
      <c r="AI6" s="55" t="inlineStr">
        <is>
          <t>Yayınlandı</t>
        </is>
      </c>
      <c r="AJ6" s="55" t="inlineStr">
        <is>
          <t>tarih kampanya döneminden türetildi</t>
        </is>
      </c>
    </row>
    <row r="7" ht="15" customHeight="1" s="39">
      <c r="A7" s="54" t="inlineStr">
        <is>
          <t>S005</t>
        </is>
      </c>
      <c r="B7" s="55" t="inlineStr">
        <is>
          <t>DARD-DARD-202606</t>
        </is>
      </c>
      <c r="C7" s="56" t="inlineStr">
        <is>
          <t>2026-06-01</t>
        </is>
      </c>
      <c r="D7" s="56" t="inlineStr">
        <is>
          <t>2026-06-30</t>
        </is>
      </c>
      <c r="E7" s="55" t="inlineStr">
        <is>
          <t>Video izletmek</t>
        </is>
      </c>
      <c r="F7" s="55" t="inlineStr">
        <is>
          <t>Meta</t>
        </is>
      </c>
      <c r="G7" s="55" t="inlineStr">
        <is>
          <t>Meta</t>
        </is>
      </c>
      <c r="H7" s="55" t="inlineStr">
        <is>
          <t>Instagram</t>
        </is>
      </c>
      <c r="I7" s="55" t="inlineStr">
        <is>
          <t>Instagram</t>
        </is>
      </c>
      <c r="J7" s="55" t="inlineStr">
        <is>
          <t>Desktop / Mobile</t>
        </is>
      </c>
      <c r="K7" s="55" t="inlineStr">
        <is>
          <t>Video Views</t>
        </is>
      </c>
      <c r="L7" s="55" t="inlineStr">
        <is>
          <t>Hedeflemeli Yayın</t>
        </is>
      </c>
      <c r="M7" s="55" t="n"/>
      <c r="N7" s="55" t="inlineStr">
        <is>
          <t>CPM</t>
        </is>
      </c>
      <c r="O7" s="57" t="n">
        <v>20</v>
      </c>
      <c r="P7" s="58" t="n">
        <v>45000000</v>
      </c>
      <c r="Q7" s="59">
        <f>IF(OR($N7="",$P7=""),0,IF($N7="CPM",$O7*$P7/1000,IF($N7="Sabit",$O7,$O7*$P7)))</f>
        <v/>
      </c>
      <c r="R7" s="60" t="n">
        <v>25799959</v>
      </c>
      <c r="S7" s="60" t="n"/>
      <c r="T7" s="61" t="n"/>
      <c r="U7" s="62" t="n"/>
      <c r="V7" s="55" t="inlineStr">
        <is>
          <t>Platform Raporu</t>
        </is>
      </c>
      <c r="W7" s="57" t="n">
        <v>206546.73</v>
      </c>
      <c r="X7" s="59">
        <f>IF($V7="",0,IF(OR($V7="Fatura",$V7="Platform Raporu"),$W7,IF($R7="",0,IF($N7="CPM",$O7*$R7/1000,IF($N7="Sabit",$O7,$O7*$R7)))))</f>
        <v/>
      </c>
      <c r="Y7" s="59">
        <f>IF(OR($X7=0,$N7="Sabit"),"",IFERROR(IF($N7="CPM",$X7/$R7*1000,$X7/$R7),""))</f>
        <v/>
      </c>
      <c r="Z7" s="63">
        <f>IF($AI7&lt;&gt;"Yayınlandı","",IFERROR($R7/$P7,""))</f>
        <v/>
      </c>
      <c r="AA7" s="63">
        <f>IF($Y7="","",IFERROR($Y7/$O7-1,""))</f>
        <v/>
      </c>
      <c r="AB7" s="62" t="n">
        <v>0.055</v>
      </c>
      <c r="AC7" s="59">
        <f>$X7*$AB7</f>
        <v/>
      </c>
      <c r="AD7" s="62" t="n">
        <v>0</v>
      </c>
      <c r="AE7" s="59">
        <f>$X7*$AD7</f>
        <v/>
      </c>
      <c r="AF7" s="57" t="n">
        <v>0</v>
      </c>
      <c r="AG7" s="59">
        <f>$X7+$AC7+$AE7+$AF7</f>
        <v/>
      </c>
      <c r="AH7" s="59">
        <f>$Q7-$X7</f>
        <v/>
      </c>
      <c r="AI7" s="55" t="inlineStr">
        <is>
          <t>Yayınlandı</t>
        </is>
      </c>
      <c r="AJ7" s="55" t="inlineStr">
        <is>
          <t>tarih kampanya döneminden türetildi</t>
        </is>
      </c>
    </row>
    <row r="8" ht="15" customHeight="1" s="39">
      <c r="A8" s="54" t="inlineStr">
        <is>
          <t>S006</t>
        </is>
      </c>
      <c r="B8" s="55" t="inlineStr">
        <is>
          <t>DARD-DARD-202606</t>
        </is>
      </c>
      <c r="C8" s="56" t="inlineStr">
        <is>
          <t>2026-06-01</t>
        </is>
      </c>
      <c r="D8" s="56" t="inlineStr">
        <is>
          <t>2026-06-30</t>
        </is>
      </c>
      <c r="E8" s="55" t="inlineStr">
        <is>
          <t>Siteye trafik</t>
        </is>
      </c>
      <c r="F8" s="55" t="inlineStr">
        <is>
          <t>Meta</t>
        </is>
      </c>
      <c r="G8" s="55" t="inlineStr">
        <is>
          <t>Meta</t>
        </is>
      </c>
      <c r="H8" s="55" t="inlineStr">
        <is>
          <t>Instagram</t>
        </is>
      </c>
      <c r="I8" s="55" t="inlineStr">
        <is>
          <t>Instagram</t>
        </is>
      </c>
      <c r="J8" s="55" t="inlineStr">
        <is>
          <t>Desktop / Mobile</t>
        </is>
      </c>
      <c r="K8" s="55" t="inlineStr">
        <is>
          <t>Traffic</t>
        </is>
      </c>
      <c r="L8" s="55" t="inlineStr">
        <is>
          <t>Hedeflemeli Yayın</t>
        </is>
      </c>
      <c r="M8" s="55" t="n"/>
      <c r="N8" s="55" t="inlineStr">
        <is>
          <t>CPC</t>
        </is>
      </c>
      <c r="O8" s="57" t="n">
        <v>3</v>
      </c>
      <c r="P8" s="58" t="n">
        <v>16666.66666666667</v>
      </c>
      <c r="Q8" s="59">
        <f>IF(OR($N8="",$P8=""),0,IF($N8="CPM",$O8*$P8/1000,IF($N8="Sabit",$O8,$O8*$P8)))</f>
        <v/>
      </c>
      <c r="R8" s="60" t="n">
        <v>4557</v>
      </c>
      <c r="S8" s="60" t="n"/>
      <c r="T8" s="61" t="n"/>
      <c r="U8" s="62" t="n"/>
      <c r="V8" s="55" t="inlineStr">
        <is>
          <t>Platform Raporu</t>
        </is>
      </c>
      <c r="W8" s="57" t="n">
        <v>12396.6</v>
      </c>
      <c r="X8" s="59">
        <f>IF($V8="",0,IF(OR($V8="Fatura",$V8="Platform Raporu"),$W8,IF($R8="",0,IF($N8="CPM",$O8*$R8/1000,IF($N8="Sabit",$O8,$O8*$R8)))))</f>
        <v/>
      </c>
      <c r="Y8" s="59">
        <f>IF(OR($X8=0,$N8="Sabit"),"",IFERROR(IF($N8="CPM",$X8/$R8*1000,$X8/$R8),""))</f>
        <v/>
      </c>
      <c r="Z8" s="63">
        <f>IF($AI8&lt;&gt;"Yayınlandı","",IFERROR($R8/$P8,""))</f>
        <v/>
      </c>
      <c r="AA8" s="63">
        <f>IF($Y8="","",IFERROR($Y8/$O8-1,""))</f>
        <v/>
      </c>
      <c r="AB8" s="62" t="n">
        <v>0.055</v>
      </c>
      <c r="AC8" s="59">
        <f>$X8*$AB8</f>
        <v/>
      </c>
      <c r="AD8" s="62" t="n">
        <v>0</v>
      </c>
      <c r="AE8" s="59">
        <f>$X8*$AD8</f>
        <v/>
      </c>
      <c r="AF8" s="57" t="n">
        <v>0</v>
      </c>
      <c r="AG8" s="59">
        <f>$X8+$AC8+$AE8+$AF8</f>
        <v/>
      </c>
      <c r="AH8" s="59">
        <f>$Q8-$X8</f>
        <v/>
      </c>
      <c r="AI8" s="55" t="inlineStr">
        <is>
          <t>Yayınlandı</t>
        </is>
      </c>
      <c r="AJ8" s="55" t="inlineStr">
        <is>
          <t>tarih kampanya döneminden türetildi</t>
        </is>
      </c>
    </row>
    <row r="9" ht="15" customHeight="1" s="39">
      <c r="A9" s="54" t="inlineStr">
        <is>
          <t>S007</t>
        </is>
      </c>
      <c r="B9" s="55" t="inlineStr">
        <is>
          <t>DARD-DARD-202606</t>
        </is>
      </c>
      <c r="C9" s="56" t="inlineStr">
        <is>
          <t>2026-06-01</t>
        </is>
      </c>
      <c r="D9" s="56" t="inlineStr">
        <is>
          <t>2026-06-30</t>
        </is>
      </c>
      <c r="E9" s="55" t="inlineStr">
        <is>
          <t>Gösterim almak</t>
        </is>
      </c>
      <c r="F9" s="55" t="inlineStr">
        <is>
          <t>Meta</t>
        </is>
      </c>
      <c r="G9" s="55" t="inlineStr">
        <is>
          <t>Meta</t>
        </is>
      </c>
      <c r="H9" s="55" t="inlineStr">
        <is>
          <t>Instagram</t>
        </is>
      </c>
      <c r="I9" s="55" t="inlineStr">
        <is>
          <t>Instagram</t>
        </is>
      </c>
      <c r="J9" s="55" t="inlineStr">
        <is>
          <t>Desktop / Mobile</t>
        </is>
      </c>
      <c r="K9" s="55" t="inlineStr">
        <is>
          <t>Cpas</t>
        </is>
      </c>
      <c r="L9" s="55" t="inlineStr">
        <is>
          <t>Hedeflemeli Yayın</t>
        </is>
      </c>
      <c r="M9" s="55" t="n"/>
      <c r="N9" s="55" t="inlineStr">
        <is>
          <t>CPM</t>
        </is>
      </c>
      <c r="O9" s="57" t="n">
        <v>100</v>
      </c>
      <c r="P9" s="58" t="n">
        <v>100000</v>
      </c>
      <c r="Q9" s="59">
        <f>IF(OR($N9="",$P9=""),0,IF($N9="CPM",$O9*$P9/1000,IF($N9="Sabit",$O9,$O9*$P9)))</f>
        <v/>
      </c>
      <c r="R9" s="60" t="n"/>
      <c r="S9" s="60" t="n"/>
      <c r="T9" s="61" t="n"/>
      <c r="U9" s="62" t="n"/>
      <c r="V9" s="55" t="n"/>
      <c r="W9" s="57" t="n">
        <v>0</v>
      </c>
      <c r="X9" s="59">
        <f>IF($V9="",0,IF(OR($V9="Fatura",$V9="Platform Raporu"),$W9,IF($R9="",0,IF($N9="CPM",$O9*$R9/1000,IF($N9="Sabit",$O9,$O9*$R9)))))</f>
        <v/>
      </c>
      <c r="Y9" s="59">
        <f>IF(OR($X9=0,$N9="Sabit"),"",IFERROR(IF($N9="CPM",$X9/$R9*1000,$X9/$R9),""))</f>
        <v/>
      </c>
      <c r="Z9" s="63">
        <f>IF($AI9&lt;&gt;"Yayınlandı","",IFERROR($R9/$P9,""))</f>
        <v/>
      </c>
      <c r="AA9" s="63">
        <f>IF($Y9="","",IFERROR($Y9/$O9-1,""))</f>
        <v/>
      </c>
      <c r="AB9" s="62" t="n">
        <v>0</v>
      </c>
      <c r="AC9" s="59">
        <f>$X9*$AB9</f>
        <v/>
      </c>
      <c r="AD9" s="62" t="n">
        <v>0</v>
      </c>
      <c r="AE9" s="59">
        <f>$X9*$AD9</f>
        <v/>
      </c>
      <c r="AF9" s="57" t="n">
        <v>0</v>
      </c>
      <c r="AG9" s="59">
        <f>$X9+$AC9+$AE9+$AF9</f>
        <v/>
      </c>
      <c r="AH9" s="59">
        <f>$Q9-$X9</f>
        <v/>
      </c>
      <c r="AI9" s="55" t="inlineStr">
        <is>
          <t>Veri Gelmedi</t>
        </is>
      </c>
      <c r="AJ9" s="55" t="inlineStr">
        <is>
          <t>kaynak dosyada gerçekleşen birim maliyet plandan kopyalanmış; fiyat farkı ölçülemez · tarih kampanya döneminden türetildi</t>
        </is>
      </c>
    </row>
    <row r="10" ht="15" customHeight="1" s="39">
      <c r="A10" s="54" t="inlineStr">
        <is>
          <t>S008</t>
        </is>
      </c>
      <c r="B10" s="55" t="inlineStr">
        <is>
          <t>DARD-DARD-202606</t>
        </is>
      </c>
      <c r="C10" s="56" t="inlineStr">
        <is>
          <t>2026-06-01</t>
        </is>
      </c>
      <c r="D10" s="56" t="inlineStr">
        <is>
          <t>2026-06-30</t>
        </is>
      </c>
      <c r="E10" s="55" t="inlineStr">
        <is>
          <t>Video izletmek</t>
        </is>
      </c>
      <c r="F10" s="55" t="inlineStr">
        <is>
          <t>TikTok</t>
        </is>
      </c>
      <c r="G10" s="55" t="inlineStr">
        <is>
          <t>TikTok</t>
        </is>
      </c>
      <c r="H10" s="55" t="inlineStr">
        <is>
          <t>TikTok</t>
        </is>
      </c>
      <c r="I10" s="55" t="inlineStr">
        <is>
          <t>TikTok</t>
        </is>
      </c>
      <c r="J10" s="55" t="inlineStr">
        <is>
          <t>Desktop / Mobile</t>
        </is>
      </c>
      <c r="K10" s="55" t="inlineStr">
        <is>
          <t>Video Views</t>
        </is>
      </c>
      <c r="L10" s="55" t="inlineStr">
        <is>
          <t>Hedeflemeli Yayın</t>
        </is>
      </c>
      <c r="M10" s="55" t="n"/>
      <c r="N10" s="55" t="inlineStr">
        <is>
          <t>CPM</t>
        </is>
      </c>
      <c r="O10" s="57" t="n">
        <v>14</v>
      </c>
      <c r="P10" s="58" t="n">
        <v>32142857.14285714</v>
      </c>
      <c r="Q10" s="59">
        <f>IF(OR($N10="",$P10=""),0,IF($N10="CPM",$O10*$P10/1000,IF($N10="Sabit",$O10,$O10*$P10)))</f>
        <v/>
      </c>
      <c r="R10" s="60" t="n">
        <v>11238802</v>
      </c>
      <c r="S10" s="60" t="n"/>
      <c r="T10" s="61" t="n"/>
      <c r="U10" s="62" t="n"/>
      <c r="V10" s="55" t="inlineStr">
        <is>
          <t>Platform Raporu</t>
        </is>
      </c>
      <c r="W10" s="57" t="n">
        <v>99484.8</v>
      </c>
      <c r="X10" s="59">
        <f>IF($V10="",0,IF(OR($V10="Fatura",$V10="Platform Raporu"),$W10,IF($R10="",0,IF($N10="CPM",$O10*$R10/1000,IF($N10="Sabit",$O10,$O10*$R10)))))</f>
        <v/>
      </c>
      <c r="Y10" s="59">
        <f>IF(OR($X10=0,$N10="Sabit"),"",IFERROR(IF($N10="CPM",$X10/$R10*1000,$X10/$R10),""))</f>
        <v/>
      </c>
      <c r="Z10" s="63">
        <f>IF($AI10&lt;&gt;"Yayınlandı","",IFERROR($R10/$P10,""))</f>
        <v/>
      </c>
      <c r="AA10" s="63">
        <f>IF($Y10="","",IFERROR($Y10/$O10-1,""))</f>
        <v/>
      </c>
      <c r="AB10" s="62" t="n">
        <v>0.055</v>
      </c>
      <c r="AC10" s="59">
        <f>$X10*$AB10</f>
        <v/>
      </c>
      <c r="AD10" s="62" t="n">
        <v>0</v>
      </c>
      <c r="AE10" s="59">
        <f>$X10*$AD10</f>
        <v/>
      </c>
      <c r="AF10" s="57" t="n">
        <v>0</v>
      </c>
      <c r="AG10" s="59">
        <f>$X10+$AC10+$AE10+$AF10</f>
        <v/>
      </c>
      <c r="AH10" s="59">
        <f>$Q10-$X10</f>
        <v/>
      </c>
      <c r="AI10" s="55" t="inlineStr">
        <is>
          <t>Yayınlandı</t>
        </is>
      </c>
      <c r="AJ10" s="55" t="inlineStr">
        <is>
          <t>tarih kampanya döneminden türetildi</t>
        </is>
      </c>
    </row>
    <row r="11" ht="15" customHeight="1" s="39">
      <c r="A11" s="54" t="inlineStr">
        <is>
          <t>S009</t>
        </is>
      </c>
      <c r="B11" s="55" t="inlineStr">
        <is>
          <t>DARD-DARD-202606</t>
        </is>
      </c>
      <c r="C11" s="56" t="inlineStr">
        <is>
          <t>2026-06-01</t>
        </is>
      </c>
      <c r="D11" s="56" t="inlineStr">
        <is>
          <t>2026-06-30</t>
        </is>
      </c>
      <c r="E11" s="55" t="inlineStr">
        <is>
          <t>Siteye trafik</t>
        </is>
      </c>
      <c r="F11" s="55" t="inlineStr">
        <is>
          <t>TikTok</t>
        </is>
      </c>
      <c r="G11" s="55" t="inlineStr">
        <is>
          <t>TikTok</t>
        </is>
      </c>
      <c r="H11" s="55" t="inlineStr">
        <is>
          <t>TikTok</t>
        </is>
      </c>
      <c r="I11" s="55" t="inlineStr">
        <is>
          <t>TikTok</t>
        </is>
      </c>
      <c r="J11" s="55" t="inlineStr">
        <is>
          <t>Desktop / Mobile</t>
        </is>
      </c>
      <c r="K11" s="55" t="inlineStr">
        <is>
          <t>Traffic</t>
        </is>
      </c>
      <c r="L11" s="55" t="inlineStr">
        <is>
          <t>Hedeflemeli Yayın</t>
        </is>
      </c>
      <c r="M11" s="55" t="n"/>
      <c r="N11" s="55" t="inlineStr">
        <is>
          <t>CPC</t>
        </is>
      </c>
      <c r="O11" s="57" t="n">
        <v>2.5</v>
      </c>
      <c r="P11" s="58" t="n">
        <v>20000</v>
      </c>
      <c r="Q11" s="59">
        <f>IF(OR($N11="",$P11=""),0,IF($N11="CPM",$O11*$P11/1000,IF($N11="Sabit",$O11,$O11*$P11)))</f>
        <v/>
      </c>
      <c r="R11" s="60" t="n">
        <v>74307</v>
      </c>
      <c r="S11" s="60" t="n"/>
      <c r="T11" s="61" t="n"/>
      <c r="U11" s="62" t="n"/>
      <c r="V11" s="55" t="inlineStr">
        <is>
          <t>Platform Raporu</t>
        </is>
      </c>
      <c r="W11" s="57" t="n">
        <v>11158.43</v>
      </c>
      <c r="X11" s="59">
        <f>IF($V11="",0,IF(OR($V11="Fatura",$V11="Platform Raporu"),$W11,IF($R11="",0,IF($N11="CPM",$O11*$R11/1000,IF($N11="Sabit",$O11,$O11*$R11)))))</f>
        <v/>
      </c>
      <c r="Y11" s="59">
        <f>IF(OR($X11=0,$N11="Sabit"),"",IFERROR(IF($N11="CPM",$X11/$R11*1000,$X11/$R11),""))</f>
        <v/>
      </c>
      <c r="Z11" s="63">
        <f>IF($AI11&lt;&gt;"Yayınlandı","",IFERROR($R11/$P11,""))</f>
        <v/>
      </c>
      <c r="AA11" s="63">
        <f>IF($Y11="","",IFERROR($Y11/$O11-1,""))</f>
        <v/>
      </c>
      <c r="AB11" s="62" t="n">
        <v>0.055</v>
      </c>
      <c r="AC11" s="59">
        <f>$X11*$AB11</f>
        <v/>
      </c>
      <c r="AD11" s="62" t="n">
        <v>0</v>
      </c>
      <c r="AE11" s="59">
        <f>$X11*$AD11</f>
        <v/>
      </c>
      <c r="AF11" s="57" t="n">
        <v>0</v>
      </c>
      <c r="AG11" s="59">
        <f>$X11+$AC11+$AE11+$AF11</f>
        <v/>
      </c>
      <c r="AH11" s="59">
        <f>$Q11-$X11</f>
        <v/>
      </c>
      <c r="AI11" s="55" t="inlineStr">
        <is>
          <t>Yayınlandı</t>
        </is>
      </c>
      <c r="AJ11" s="55" t="inlineStr">
        <is>
          <t>tarih kampanya döneminden türetildi</t>
        </is>
      </c>
    </row>
    <row r="12" ht="15" customHeight="1" s="39">
      <c r="A12" s="54" t="inlineStr">
        <is>
          <t>S010</t>
        </is>
      </c>
      <c r="B12" s="55" t="inlineStr">
        <is>
          <t>DARD-DARD-202606</t>
        </is>
      </c>
      <c r="C12" s="56" t="inlineStr">
        <is>
          <t>2026-06-01</t>
        </is>
      </c>
      <c r="D12" s="56" t="inlineStr">
        <is>
          <t>2026-06-30</t>
        </is>
      </c>
      <c r="E12" s="55" t="inlineStr">
        <is>
          <t>Video izletmek</t>
        </is>
      </c>
      <c r="F12" s="55" t="inlineStr">
        <is>
          <t>Disney</t>
        </is>
      </c>
      <c r="G12" s="55" t="inlineStr">
        <is>
          <t>Disney+</t>
        </is>
      </c>
      <c r="H12" s="55" t="inlineStr">
        <is>
          <t>Disney+</t>
        </is>
      </c>
      <c r="I12" s="55" t="inlineStr">
        <is>
          <t>Disney+</t>
        </is>
      </c>
      <c r="J12" s="55" t="inlineStr">
        <is>
          <t>Desktop / Mobile</t>
        </is>
      </c>
      <c r="K12" s="55" t="inlineStr">
        <is>
          <t>Preroll</t>
        </is>
      </c>
      <c r="L12" s="55" t="inlineStr">
        <is>
          <t>Hedeflemeli Yayın</t>
        </is>
      </c>
      <c r="M12" s="55" t="n"/>
      <c r="N12" s="55" t="inlineStr">
        <is>
          <t>CPV</t>
        </is>
      </c>
      <c r="O12" s="57" t="n">
        <v>1.7</v>
      </c>
      <c r="P12" s="58" t="n">
        <v>117647.0588235294</v>
      </c>
      <c r="Q12" s="59">
        <f>IF(OR($N12="",$P12=""),0,IF($N12="CPM",$O12*$P12/1000,IF($N12="Sabit",$O12,$O12*$P12)))</f>
        <v/>
      </c>
      <c r="R12" s="60" t="n">
        <v>18105</v>
      </c>
      <c r="S12" s="60" t="n"/>
      <c r="T12" s="61" t="n"/>
      <c r="U12" s="62" t="n"/>
      <c r="V12" s="55" t="inlineStr">
        <is>
          <t>Fatura</t>
        </is>
      </c>
      <c r="W12" s="57" t="n">
        <v>30778.5</v>
      </c>
      <c r="X12" s="59">
        <f>IF($V12="",0,IF(OR($V12="Fatura",$V12="Platform Raporu"),$W12,IF($R12="",0,IF($N12="CPM",$O12*$R12/1000,IF($N12="Sabit",$O12,$O12*$R12)))))</f>
        <v/>
      </c>
      <c r="Y12" s="59">
        <f>IF(OR($X12=0,$N12="Sabit"),"",IFERROR(IF($N12="CPM",$X12/$R12*1000,$X12/$R12),""))</f>
        <v/>
      </c>
      <c r="Z12" s="63">
        <f>IF($AI12&lt;&gt;"Yayınlandı","",IFERROR($R12/$P12,""))</f>
        <v/>
      </c>
      <c r="AA12" s="63">
        <f>IF($Y12="","",IFERROR($Y12/$O12-1,""))</f>
        <v/>
      </c>
      <c r="AB12" s="62" t="n">
        <v>0</v>
      </c>
      <c r="AC12" s="59">
        <f>$X12*$AB12</f>
        <v/>
      </c>
      <c r="AD12" s="62" t="n">
        <v>0</v>
      </c>
      <c r="AE12" s="59">
        <f>$X12*$AD12</f>
        <v/>
      </c>
      <c r="AF12" s="57" t="n">
        <v>0</v>
      </c>
      <c r="AG12" s="59">
        <f>$X12+$AC12+$AE12+$AF12</f>
        <v/>
      </c>
      <c r="AH12" s="59">
        <f>$Q12-$X12</f>
        <v/>
      </c>
      <c r="AI12" s="55" t="inlineStr">
        <is>
          <t>Yayınlandı</t>
        </is>
      </c>
      <c r="AJ12" s="55" t="inlineStr">
        <is>
          <t>kaynak dosyada gerçekleşen birim maliyet plandan kopyalanmış; fiyat farkı ölçülemez · tarih kampanya döneminden türetildi</t>
        </is>
      </c>
    </row>
    <row r="13" ht="15" customHeight="1" s="39">
      <c r="A13" s="54" t="inlineStr">
        <is>
          <t>S011</t>
        </is>
      </c>
      <c r="B13" s="55" t="inlineStr">
        <is>
          <t>DARD-DARD-202606</t>
        </is>
      </c>
      <c r="C13" s="56" t="inlineStr">
        <is>
          <t>2026-06-01</t>
        </is>
      </c>
      <c r="D13" s="56" t="inlineStr">
        <is>
          <t>2026-06-30</t>
        </is>
      </c>
      <c r="E13" s="55" t="inlineStr">
        <is>
          <t>Video izletmek</t>
        </is>
      </c>
      <c r="F13" s="55" t="inlineStr">
        <is>
          <t>HepsiBurada</t>
        </is>
      </c>
      <c r="G13" s="55" t="inlineStr">
        <is>
          <t>HepsiBurada</t>
        </is>
      </c>
      <c r="H13" s="55" t="inlineStr">
        <is>
          <t>Hbo Max</t>
        </is>
      </c>
      <c r="I13" s="55" t="inlineStr">
        <is>
          <t>Hbo Max</t>
        </is>
      </c>
      <c r="J13" s="55" t="inlineStr">
        <is>
          <t>Desktop / Mobile</t>
        </is>
      </c>
      <c r="K13" s="55" t="inlineStr">
        <is>
          <t>Preroll</t>
        </is>
      </c>
      <c r="L13" s="55" t="inlineStr">
        <is>
          <t>Hedeflemeli Yayın</t>
        </is>
      </c>
      <c r="M13" s="55" t="n"/>
      <c r="N13" s="55" t="inlineStr">
        <is>
          <t>CPV</t>
        </is>
      </c>
      <c r="O13" s="57" t="n">
        <v>1.7</v>
      </c>
      <c r="P13" s="58" t="n">
        <v>117647.0588235294</v>
      </c>
      <c r="Q13" s="59">
        <f>IF(OR($N13="",$P13=""),0,IF($N13="CPM",$O13*$P13/1000,IF($N13="Sabit",$O13,$O13*$P13)))</f>
        <v/>
      </c>
      <c r="R13" s="60" t="n">
        <v>76097</v>
      </c>
      <c r="S13" s="60" t="n"/>
      <c r="T13" s="61" t="n"/>
      <c r="U13" s="62" t="n"/>
      <c r="V13" s="55" t="inlineStr">
        <is>
          <t>Fatura</t>
        </is>
      </c>
      <c r="W13" s="57" t="n">
        <v>129364.9</v>
      </c>
      <c r="X13" s="59">
        <f>IF($V13="",0,IF(OR($V13="Fatura",$V13="Platform Raporu"),$W13,IF($R13="",0,IF($N13="CPM",$O13*$R13/1000,IF($N13="Sabit",$O13,$O13*$R13)))))</f>
        <v/>
      </c>
      <c r="Y13" s="59">
        <f>IF(OR($X13=0,$N13="Sabit"),"",IFERROR(IF($N13="CPM",$X13/$R13*1000,$X13/$R13),""))</f>
        <v/>
      </c>
      <c r="Z13" s="63">
        <f>IF($AI13&lt;&gt;"Yayınlandı","",IFERROR($R13/$P13,""))</f>
        <v/>
      </c>
      <c r="AA13" s="63">
        <f>IF($Y13="","",IFERROR($Y13/$O13-1,""))</f>
        <v/>
      </c>
      <c r="AB13" s="62" t="n">
        <v>0</v>
      </c>
      <c r="AC13" s="59">
        <f>$X13*$AB13</f>
        <v/>
      </c>
      <c r="AD13" s="62" t="n">
        <v>0</v>
      </c>
      <c r="AE13" s="59">
        <f>$X13*$AD13</f>
        <v/>
      </c>
      <c r="AF13" s="57" t="n">
        <v>0</v>
      </c>
      <c r="AG13" s="59">
        <f>$X13+$AC13+$AE13+$AF13</f>
        <v/>
      </c>
      <c r="AH13" s="59">
        <f>$Q13-$X13</f>
        <v/>
      </c>
      <c r="AI13" s="55" t="inlineStr">
        <is>
          <t>Yayınlandı</t>
        </is>
      </c>
      <c r="AJ13" s="55" t="inlineStr">
        <is>
          <t>kaynak dosyada gerçekleşen birim maliyet plandan kopyalanmış; fiyat farkı ölçülemez · tarih kampanya döneminden türetildi</t>
        </is>
      </c>
    </row>
    <row r="14" ht="15" customHeight="1" s="39">
      <c r="A14" s="54" t="inlineStr">
        <is>
          <t>S012</t>
        </is>
      </c>
      <c r="B14" s="55" t="inlineStr">
        <is>
          <t>DARD-DARD-202606</t>
        </is>
      </c>
      <c r="C14" s="56" t="inlineStr">
        <is>
          <t>2026-06-01</t>
        </is>
      </c>
      <c r="D14" s="56" t="inlineStr">
        <is>
          <t>2026-06-30</t>
        </is>
      </c>
      <c r="E14" s="55" t="inlineStr">
        <is>
          <t>Video izletmek</t>
        </is>
      </c>
      <c r="F14" s="55" t="inlineStr">
        <is>
          <t>Now</t>
        </is>
      </c>
      <c r="G14" s="55" t="inlineStr">
        <is>
          <t>NOW</t>
        </is>
      </c>
      <c r="H14" s="55" t="inlineStr">
        <is>
          <t>Eşref Rüya, Uzak Şehir, Güller ve Günahlar</t>
        </is>
      </c>
      <c r="I14" s="55" t="inlineStr">
        <is>
          <t>Eşref Rüya, Uzak Şehir, Güller ve Günahlar</t>
        </is>
      </c>
      <c r="J14" s="55" t="inlineStr">
        <is>
          <t>Desktop / Mobile</t>
        </is>
      </c>
      <c r="K14" s="55" t="inlineStr">
        <is>
          <t>Preroll</t>
        </is>
      </c>
      <c r="L14" s="55" t="inlineStr">
        <is>
          <t>Web + App</t>
        </is>
      </c>
      <c r="M14" s="55" t="n"/>
      <c r="N14" s="55" t="inlineStr">
        <is>
          <t>CPV</t>
        </is>
      </c>
      <c r="O14" s="57" t="n">
        <v>0.6899999999999999</v>
      </c>
      <c r="P14" s="58" t="n">
        <v>108695.6521739131</v>
      </c>
      <c r="Q14" s="59">
        <f>IF(OR($N14="",$P14=""),0,IF($N14="CPM",$O14*$P14/1000,IF($N14="Sabit",$O14,$O14*$P14)))</f>
        <v/>
      </c>
      <c r="R14" s="60" t="n">
        <v>21355</v>
      </c>
      <c r="S14" s="60" t="n"/>
      <c r="T14" s="61" t="n"/>
      <c r="U14" s="62" t="n"/>
      <c r="V14" s="55" t="inlineStr">
        <is>
          <t>Fatura</t>
        </is>
      </c>
      <c r="W14" s="57" t="n">
        <v>14734.95</v>
      </c>
      <c r="X14" s="59">
        <f>IF($V14="",0,IF(OR($V14="Fatura",$V14="Platform Raporu"),$W14,IF($R14="",0,IF($N14="CPM",$O14*$R14/1000,IF($N14="Sabit",$O14,$O14*$R14)))))</f>
        <v/>
      </c>
      <c r="Y14" s="59">
        <f>IF(OR($X14=0,$N14="Sabit"),"",IFERROR(IF($N14="CPM",$X14/$R14*1000,$X14/$R14),""))</f>
        <v/>
      </c>
      <c r="Z14" s="63">
        <f>IF($AI14&lt;&gt;"Yayınlandı","",IFERROR($R14/$P14,""))</f>
        <v/>
      </c>
      <c r="AA14" s="63">
        <f>IF($Y14="","",IFERROR($Y14/$O14-1,""))</f>
        <v/>
      </c>
      <c r="AB14" s="62" t="n">
        <v>0</v>
      </c>
      <c r="AC14" s="59">
        <f>$X14*$AB14</f>
        <v/>
      </c>
      <c r="AD14" s="62" t="n">
        <v>0</v>
      </c>
      <c r="AE14" s="59">
        <f>$X14*$AD14</f>
        <v/>
      </c>
      <c r="AF14" s="57" t="n">
        <v>0</v>
      </c>
      <c r="AG14" s="59">
        <f>$X14+$AC14+$AE14+$AF14</f>
        <v/>
      </c>
      <c r="AH14" s="59">
        <f>$Q14-$X14</f>
        <v/>
      </c>
      <c r="AI14" s="55" t="inlineStr">
        <is>
          <t>Yayınlandı</t>
        </is>
      </c>
      <c r="AJ14" s="55" t="inlineStr">
        <is>
          <t>kaynak dosyada gerçekleşen birim maliyet plandan kopyalanmış; fiyat farkı ölçülemez · tarih kampanya döneminden türetildi</t>
        </is>
      </c>
    </row>
    <row r="15" ht="15" customHeight="1" s="39">
      <c r="A15" s="54" t="inlineStr">
        <is>
          <t>S013</t>
        </is>
      </c>
      <c r="B15" s="55" t="inlineStr">
        <is>
          <t>DARD-DARD-202606</t>
        </is>
      </c>
      <c r="C15" s="56" t="inlineStr">
        <is>
          <t>2026-06-01</t>
        </is>
      </c>
      <c r="D15" s="56" t="inlineStr">
        <is>
          <t>2026-06-30</t>
        </is>
      </c>
      <c r="E15" s="55" t="inlineStr">
        <is>
          <t>Video izletmek</t>
        </is>
      </c>
      <c r="F15" s="55" t="inlineStr">
        <is>
          <t>Turkuvaz</t>
        </is>
      </c>
      <c r="G15" s="55" t="inlineStr">
        <is>
          <t>Turkuvaz</t>
        </is>
      </c>
      <c r="H15" s="55" t="inlineStr">
        <is>
          <t>A.B.İ</t>
        </is>
      </c>
      <c r="I15" s="55" t="inlineStr">
        <is>
          <t>A.B.İ</t>
        </is>
      </c>
      <c r="J15" s="55" t="inlineStr">
        <is>
          <t>Desktop / Mobile</t>
        </is>
      </c>
      <c r="K15" s="55" t="inlineStr">
        <is>
          <t>Preroll</t>
        </is>
      </c>
      <c r="L15" s="55" t="inlineStr">
        <is>
          <t>Web + App</t>
        </is>
      </c>
      <c r="M15" s="55" t="n"/>
      <c r="N15" s="55" t="inlineStr">
        <is>
          <t>CPV</t>
        </is>
      </c>
      <c r="O15" s="57" t="n">
        <v>0.6899999999999999</v>
      </c>
      <c r="P15" s="58" t="n">
        <v>144927.5362318841</v>
      </c>
      <c r="Q15" s="59">
        <f>IF(OR($N15="",$P15=""),0,IF($N15="CPM",$O15*$P15/1000,IF($N15="Sabit",$O15,$O15*$P15)))</f>
        <v/>
      </c>
      <c r="R15" s="60" t="n">
        <v>44846</v>
      </c>
      <c r="S15" s="60" t="n"/>
      <c r="T15" s="61" t="n"/>
      <c r="U15" s="62" t="n"/>
      <c r="V15" s="55" t="inlineStr">
        <is>
          <t>Fatura</t>
        </is>
      </c>
      <c r="W15" s="57" t="n">
        <v>30943.74</v>
      </c>
      <c r="X15" s="59">
        <f>IF($V15="",0,IF(OR($V15="Fatura",$V15="Platform Raporu"),$W15,IF($R15="",0,IF($N15="CPM",$O15*$R15/1000,IF($N15="Sabit",$O15,$O15*$R15)))))</f>
        <v/>
      </c>
      <c r="Y15" s="59">
        <f>IF(OR($X15=0,$N15="Sabit"),"",IFERROR(IF($N15="CPM",$X15/$R15*1000,$X15/$R15),""))</f>
        <v/>
      </c>
      <c r="Z15" s="63">
        <f>IF($AI15&lt;&gt;"Yayınlandı","",IFERROR($R15/$P15,""))</f>
        <v/>
      </c>
      <c r="AA15" s="63">
        <f>IF($Y15="","",IFERROR($Y15/$O15-1,""))</f>
        <v/>
      </c>
      <c r="AB15" s="62" t="n">
        <v>0</v>
      </c>
      <c r="AC15" s="59">
        <f>$X15*$AB15</f>
        <v/>
      </c>
      <c r="AD15" s="62" t="n">
        <v>0</v>
      </c>
      <c r="AE15" s="59">
        <f>$X15*$AD15</f>
        <v/>
      </c>
      <c r="AF15" s="57" t="n">
        <v>0</v>
      </c>
      <c r="AG15" s="59">
        <f>$X15+$AC15+$AE15+$AF15</f>
        <v/>
      </c>
      <c r="AH15" s="59">
        <f>$Q15-$X15</f>
        <v/>
      </c>
      <c r="AI15" s="55" t="inlineStr">
        <is>
          <t>Yayınlandı</t>
        </is>
      </c>
      <c r="AJ15" s="55" t="inlineStr">
        <is>
          <t>kaynak dosyada gerçekleşen birim maliyet plandan kopyalanmış; fiyat farkı ölçülemez · tarih kampanya döneminden türetildi</t>
        </is>
      </c>
    </row>
    <row r="16" ht="15" customHeight="1" s="39">
      <c r="A16" s="54" t="inlineStr">
        <is>
          <t>S014</t>
        </is>
      </c>
      <c r="B16" s="55" t="inlineStr">
        <is>
          <t>DARD-DARD-202606</t>
        </is>
      </c>
      <c r="C16" s="56" t="inlineStr">
        <is>
          <t>2026-06-01</t>
        </is>
      </c>
      <c r="D16" s="56" t="inlineStr">
        <is>
          <t>2026-06-30</t>
        </is>
      </c>
      <c r="E16" s="55" t="inlineStr">
        <is>
          <t>Video izletmek</t>
        </is>
      </c>
      <c r="F16" s="55" t="inlineStr">
        <is>
          <t>Can</t>
        </is>
      </c>
      <c r="G16" s="55" t="inlineStr">
        <is>
          <t>Can</t>
        </is>
      </c>
      <c r="H16" s="55" t="inlineStr">
        <is>
          <t>Kızılcık Şerbeti, Delikanlı</t>
        </is>
      </c>
      <c r="I16" s="55" t="inlineStr">
        <is>
          <t>Kızılcık Şerbeti, Delikanlı</t>
        </is>
      </c>
      <c r="J16" s="55" t="inlineStr">
        <is>
          <t>Desktop / Mobile</t>
        </is>
      </c>
      <c r="K16" s="55" t="inlineStr">
        <is>
          <t>Preroll</t>
        </is>
      </c>
      <c r="L16" s="55" t="inlineStr">
        <is>
          <t>Web + App</t>
        </is>
      </c>
      <c r="M16" s="55" t="n"/>
      <c r="N16" s="55" t="inlineStr">
        <is>
          <t>CPV</t>
        </is>
      </c>
      <c r="O16" s="57" t="n">
        <v>0.65</v>
      </c>
      <c r="P16" s="58" t="n">
        <v>115384.6153846154</v>
      </c>
      <c r="Q16" s="59">
        <f>IF(OR($N16="",$P16=""),0,IF($N16="CPM",$O16*$P16/1000,IF($N16="Sabit",$O16,$O16*$P16)))</f>
        <v/>
      </c>
      <c r="R16" s="60" t="n">
        <v>67639</v>
      </c>
      <c r="S16" s="60" t="n"/>
      <c r="T16" s="61" t="n"/>
      <c r="U16" s="62" t="n"/>
      <c r="V16" s="55" t="inlineStr">
        <is>
          <t>Fatura</t>
        </is>
      </c>
      <c r="W16" s="57" t="n">
        <v>43965.35</v>
      </c>
      <c r="X16" s="59">
        <f>IF($V16="",0,IF(OR($V16="Fatura",$V16="Platform Raporu"),$W16,IF($R16="",0,IF($N16="CPM",$O16*$R16/1000,IF($N16="Sabit",$O16,$O16*$R16)))))</f>
        <v/>
      </c>
      <c r="Y16" s="59">
        <f>IF(OR($X16=0,$N16="Sabit"),"",IFERROR(IF($N16="CPM",$X16/$R16*1000,$X16/$R16),""))</f>
        <v/>
      </c>
      <c r="Z16" s="63">
        <f>IF($AI16&lt;&gt;"Yayınlandı","",IFERROR($R16/$P16,""))</f>
        <v/>
      </c>
      <c r="AA16" s="63">
        <f>IF($Y16="","",IFERROR($Y16/$O16-1,""))</f>
        <v/>
      </c>
      <c r="AB16" s="62" t="n">
        <v>0</v>
      </c>
      <c r="AC16" s="59">
        <f>$X16*$AB16</f>
        <v/>
      </c>
      <c r="AD16" s="62" t="n">
        <v>0</v>
      </c>
      <c r="AE16" s="59">
        <f>$X16*$AD16</f>
        <v/>
      </c>
      <c r="AF16" s="57" t="n">
        <v>0</v>
      </c>
      <c r="AG16" s="59">
        <f>$X16+$AC16+$AE16+$AF16</f>
        <v/>
      </c>
      <c r="AH16" s="59">
        <f>$Q16-$X16</f>
        <v/>
      </c>
      <c r="AI16" s="55" t="inlineStr">
        <is>
          <t>Yayınlandı</t>
        </is>
      </c>
      <c r="AJ16" s="55" t="inlineStr">
        <is>
          <t>kaynak dosyada gerçekleşen birim maliyet plandan kopyalanmış; fiyat farkı ölçülemez · tarih kampanya döneminden türetildi</t>
        </is>
      </c>
    </row>
    <row r="17" ht="15" customHeight="1" s="39">
      <c r="A17" s="54" t="inlineStr">
        <is>
          <t>S015</t>
        </is>
      </c>
      <c r="B17" s="55" t="inlineStr">
        <is>
          <t>DARD-DARD-202606</t>
        </is>
      </c>
      <c r="C17" s="56" t="inlineStr">
        <is>
          <t>2026-06-01</t>
        </is>
      </c>
      <c r="D17" s="56" t="inlineStr">
        <is>
          <t>2026-06-30</t>
        </is>
      </c>
      <c r="E17" s="55" t="inlineStr">
        <is>
          <t>Video izletmek</t>
        </is>
      </c>
      <c r="F17" s="55" t="inlineStr">
        <is>
          <t>Doğuş</t>
        </is>
      </c>
      <c r="G17" s="55" t="inlineStr">
        <is>
          <t>Doğuş</t>
        </is>
      </c>
      <c r="H17" s="55" t="inlineStr">
        <is>
          <t>Sahipsizler , Sevdiğim Sensin</t>
        </is>
      </c>
      <c r="I17" s="55" t="inlineStr">
        <is>
          <t>Sahipsizler , Sevdiğim Sensin</t>
        </is>
      </c>
      <c r="J17" s="55" t="inlineStr">
        <is>
          <t>Desktop / Mobile</t>
        </is>
      </c>
      <c r="K17" s="55" t="inlineStr">
        <is>
          <t>Preroll</t>
        </is>
      </c>
      <c r="L17" s="55" t="inlineStr">
        <is>
          <t>Web + App</t>
        </is>
      </c>
      <c r="M17" s="55" t="n"/>
      <c r="N17" s="55" t="inlineStr">
        <is>
          <t>CPV</t>
        </is>
      </c>
      <c r="O17" s="57" t="n">
        <v>0.6899999999999999</v>
      </c>
      <c r="P17" s="58" t="n">
        <v>108695.6521739131</v>
      </c>
      <c r="Q17" s="59">
        <f>IF(OR($N17="",$P17=""),0,IF($N17="CPM",$O17*$P17/1000,IF($N17="Sabit",$O17,$O17*$P17)))</f>
        <v/>
      </c>
      <c r="R17" s="60" t="n">
        <v>34438</v>
      </c>
      <c r="S17" s="60" t="n"/>
      <c r="T17" s="61" t="n"/>
      <c r="U17" s="62" t="n"/>
      <c r="V17" s="55" t="inlineStr">
        <is>
          <t>Fatura</t>
        </is>
      </c>
      <c r="W17" s="57" t="n">
        <v>23762.22</v>
      </c>
      <c r="X17" s="59">
        <f>IF($V17="",0,IF(OR($V17="Fatura",$V17="Platform Raporu"),$W17,IF($R17="",0,IF($N17="CPM",$O17*$R17/1000,IF($N17="Sabit",$O17,$O17*$R17)))))</f>
        <v/>
      </c>
      <c r="Y17" s="59">
        <f>IF(OR($X17=0,$N17="Sabit"),"",IFERROR(IF($N17="CPM",$X17/$R17*1000,$X17/$R17),""))</f>
        <v/>
      </c>
      <c r="Z17" s="63">
        <f>IF($AI17&lt;&gt;"Yayınlandı","",IFERROR($R17/$P17,""))</f>
        <v/>
      </c>
      <c r="AA17" s="63">
        <f>IF($Y17="","",IFERROR($Y17/$O17-1,""))</f>
        <v/>
      </c>
      <c r="AB17" s="62" t="n">
        <v>0</v>
      </c>
      <c r="AC17" s="59">
        <f>$X17*$AB17</f>
        <v/>
      </c>
      <c r="AD17" s="62" t="n">
        <v>0</v>
      </c>
      <c r="AE17" s="59">
        <f>$X17*$AD17</f>
        <v/>
      </c>
      <c r="AF17" s="57" t="n">
        <v>0</v>
      </c>
      <c r="AG17" s="59">
        <f>$X17+$AC17+$AE17+$AF17</f>
        <v/>
      </c>
      <c r="AH17" s="59">
        <f>$Q17-$X17</f>
        <v/>
      </c>
      <c r="AI17" s="55" t="inlineStr">
        <is>
          <t>Yayınlandı</t>
        </is>
      </c>
      <c r="AJ17" s="55" t="inlineStr">
        <is>
          <t>kaynak dosyada gerçekleşen birim maliyet plandan kopyalanmış; fiyat farkı ölçülemez · tarih kampanya döneminden türetildi</t>
        </is>
      </c>
    </row>
    <row r="18" ht="15" customHeight="1" s="39">
      <c r="A18" s="54" t="inlineStr">
        <is>
          <t>S016</t>
        </is>
      </c>
      <c r="B18" s="55" t="inlineStr">
        <is>
          <t>DARD-DARD-202606</t>
        </is>
      </c>
      <c r="C18" s="56" t="inlineStr">
        <is>
          <t>2026-06-01</t>
        </is>
      </c>
      <c r="D18" s="56" t="inlineStr">
        <is>
          <t>2026-06-30</t>
        </is>
      </c>
      <c r="E18" s="55" t="inlineStr">
        <is>
          <t>Video izletmek</t>
        </is>
      </c>
      <c r="F18" s="55" t="inlineStr">
        <is>
          <t>TRT</t>
        </is>
      </c>
      <c r="G18" s="55" t="inlineStr">
        <is>
          <t>Trt1</t>
        </is>
      </c>
      <c r="H18" s="55" t="inlineStr">
        <is>
          <t>Taşacak Bu Deniz</t>
        </is>
      </c>
      <c r="I18" s="55" t="inlineStr">
        <is>
          <t>Taşacak Bu Deniz</t>
        </is>
      </c>
      <c r="J18" s="55" t="inlineStr">
        <is>
          <t>Desktop / Mobile</t>
        </is>
      </c>
      <c r="K18" s="55" t="inlineStr">
        <is>
          <t>Preroll</t>
        </is>
      </c>
      <c r="L18" s="55" t="inlineStr">
        <is>
          <t>Web + App</t>
        </is>
      </c>
      <c r="M18" s="55" t="n"/>
      <c r="N18" s="55" t="inlineStr">
        <is>
          <t>CPV</t>
        </is>
      </c>
      <c r="O18" s="57" t="n">
        <v>0.6899999999999999</v>
      </c>
      <c r="P18" s="58" t="n">
        <v>108695.6521739131</v>
      </c>
      <c r="Q18" s="59">
        <f>IF(OR($N18="",$P18=""),0,IF($N18="CPM",$O18*$P18/1000,IF($N18="Sabit",$O18,$O18*$P18)))</f>
        <v/>
      </c>
      <c r="R18" s="60" t="n">
        <v>35402</v>
      </c>
      <c r="S18" s="60" t="n"/>
      <c r="T18" s="61" t="n"/>
      <c r="U18" s="62" t="n"/>
      <c r="V18" s="55" t="inlineStr">
        <is>
          <t>Fatura</t>
        </is>
      </c>
      <c r="W18" s="57" t="n">
        <v>24427.38</v>
      </c>
      <c r="X18" s="59">
        <f>IF($V18="",0,IF(OR($V18="Fatura",$V18="Platform Raporu"),$W18,IF($R18="",0,IF($N18="CPM",$O18*$R18/1000,IF($N18="Sabit",$O18,$O18*$R18)))))</f>
        <v/>
      </c>
      <c r="Y18" s="59">
        <f>IF(OR($X18=0,$N18="Sabit"),"",IFERROR(IF($N18="CPM",$X18/$R18*1000,$X18/$R18),""))</f>
        <v/>
      </c>
      <c r="Z18" s="63">
        <f>IF($AI18&lt;&gt;"Yayınlandı","",IFERROR($R18/$P18,""))</f>
        <v/>
      </c>
      <c r="AA18" s="63">
        <f>IF($Y18="","",IFERROR($Y18/$O18-1,""))</f>
        <v/>
      </c>
      <c r="AB18" s="62" t="n">
        <v>0</v>
      </c>
      <c r="AC18" s="59">
        <f>$X18*$AB18</f>
        <v/>
      </c>
      <c r="AD18" s="62" t="n">
        <v>0</v>
      </c>
      <c r="AE18" s="59">
        <f>$X18*$AD18</f>
        <v/>
      </c>
      <c r="AF18" s="57" t="n">
        <v>0</v>
      </c>
      <c r="AG18" s="59">
        <f>$X18+$AC18+$AE18+$AF18</f>
        <v/>
      </c>
      <c r="AH18" s="59">
        <f>$Q18-$X18</f>
        <v/>
      </c>
      <c r="AI18" s="55" t="inlineStr">
        <is>
          <t>Yayınlandı</t>
        </is>
      </c>
      <c r="AJ18" s="55" t="inlineStr">
        <is>
          <t>kaynak dosyada gerçekleşen birim maliyet plandan kopyalanmış; fiyat farkı ölçülemez · tarih kampanya döneminden türetildi</t>
        </is>
      </c>
    </row>
    <row r="19" ht="15" customHeight="1" s="39">
      <c r="A19" s="54" t="inlineStr">
        <is>
          <t>S017</t>
        </is>
      </c>
      <c r="B19" s="55" t="inlineStr">
        <is>
          <t>DARD-DARD-202606</t>
        </is>
      </c>
      <c r="C19" s="56" t="inlineStr">
        <is>
          <t>2026-06-01</t>
        </is>
      </c>
      <c r="D19" s="56" t="inlineStr">
        <is>
          <t>2026-06-30</t>
        </is>
      </c>
      <c r="E19" s="55" t="inlineStr">
        <is>
          <t>Gösterim almak</t>
        </is>
      </c>
      <c r="F19" s="55" t="inlineStr">
        <is>
          <t>OutStream</t>
        </is>
      </c>
      <c r="G19" s="55" t="inlineStr">
        <is>
          <t>OutStream</t>
        </is>
      </c>
      <c r="H19" s="55" t="inlineStr">
        <is>
          <t>Youtube Spor Kanalları</t>
        </is>
      </c>
      <c r="I19" s="55" t="inlineStr">
        <is>
          <t>Youtube Spor Kanalları</t>
        </is>
      </c>
      <c r="J19" s="55" t="inlineStr">
        <is>
          <t>Desktop / Mobile</t>
        </is>
      </c>
      <c r="K19" s="55" t="inlineStr">
        <is>
          <t>3D Kreatör Alt Bant</t>
        </is>
      </c>
      <c r="L19" s="55" t="inlineStr">
        <is>
          <t>Youtube (Sporcast SkySpor 343 Digital Akıl Oyunu Eski Açık Eagle 5 10 Numara Hodri Meydan Murat GDK Saha İçi)</t>
        </is>
      </c>
      <c r="M19" s="55" t="n"/>
      <c r="N19" s="55" t="inlineStr">
        <is>
          <t>CPV</t>
        </is>
      </c>
      <c r="O19" s="57" t="n">
        <v>0.37</v>
      </c>
      <c r="P19" s="58" t="n">
        <v>540540.5405405406</v>
      </c>
      <c r="Q19" s="59">
        <f>IF(OR($N19="",$P19=""),0,IF($N19="CPM",$O19*$P19/1000,IF($N19="Sabit",$O19,$O19*$P19)))</f>
        <v/>
      </c>
      <c r="R19" s="60" t="n"/>
      <c r="S19" s="60" t="n"/>
      <c r="T19" s="61" t="n"/>
      <c r="U19" s="62" t="n"/>
      <c r="V19" s="55" t="n"/>
      <c r="W19" s="57" t="n">
        <v>0</v>
      </c>
      <c r="X19" s="59">
        <f>IF($V19="",0,IF(OR($V19="Fatura",$V19="Platform Raporu"),$W19,IF($R19="",0,IF($N19="CPM",$O19*$R19/1000,IF($N19="Sabit",$O19,$O19*$R19)))))</f>
        <v/>
      </c>
      <c r="Y19" s="59">
        <f>IF(OR($X19=0,$N19="Sabit"),"",IFERROR(IF($N19="CPM",$X19/$R19*1000,$X19/$R19),""))</f>
        <v/>
      </c>
      <c r="Z19" s="63">
        <f>IF($AI19&lt;&gt;"Yayınlandı","",IFERROR($R19/$P19,""))</f>
        <v/>
      </c>
      <c r="AA19" s="63">
        <f>IF($Y19="","",IFERROR($Y19/$O19-1,""))</f>
        <v/>
      </c>
      <c r="AB19" s="62" t="n">
        <v>0</v>
      </c>
      <c r="AC19" s="59">
        <f>$X19*$AB19</f>
        <v/>
      </c>
      <c r="AD19" s="62" t="n">
        <v>0</v>
      </c>
      <c r="AE19" s="59">
        <f>$X19*$AD19</f>
        <v/>
      </c>
      <c r="AF19" s="57" t="n">
        <v>0</v>
      </c>
      <c r="AG19" s="59">
        <f>$X19+$AC19+$AE19+$AF19</f>
        <v/>
      </c>
      <c r="AH19" s="59">
        <f>$Q19-$X19</f>
        <v/>
      </c>
      <c r="AI19" s="55" t="inlineStr">
        <is>
          <t>Veri Gelmedi</t>
        </is>
      </c>
      <c r="AJ19" s="55" t="inlineStr">
        <is>
          <t>kaynak dosyada gerçekleşen birim maliyet plandan kopyalanmış; fiyat farkı ölçülemez · tarih kampanya döneminden türetildi</t>
        </is>
      </c>
    </row>
    <row r="20" ht="15" customHeight="1" s="39">
      <c r="A20" s="54" t="inlineStr">
        <is>
          <t>S018</t>
        </is>
      </c>
      <c r="B20" s="55" t="inlineStr">
        <is>
          <t>DARD-DARD-202606</t>
        </is>
      </c>
      <c r="C20" s="56" t="inlineStr">
        <is>
          <t>2026-06-01</t>
        </is>
      </c>
      <c r="D20" s="56" t="inlineStr">
        <is>
          <t>2026-06-30</t>
        </is>
      </c>
      <c r="E20" s="55" t="inlineStr">
        <is>
          <t>Gösterim almak</t>
        </is>
      </c>
      <c r="F20" s="55" t="inlineStr">
        <is>
          <t>Spotify</t>
        </is>
      </c>
      <c r="G20" s="55" t="inlineStr">
        <is>
          <t>Spotify</t>
        </is>
      </c>
      <c r="H20" s="55" t="inlineStr">
        <is>
          <t>Spotify</t>
        </is>
      </c>
      <c r="I20" s="55" t="inlineStr">
        <is>
          <t>Spotify</t>
        </is>
      </c>
      <c r="J20" s="55" t="inlineStr">
        <is>
          <t>Desktop / Mobile</t>
        </is>
      </c>
      <c r="K20" s="55" t="inlineStr">
        <is>
          <t>Audio</t>
        </is>
      </c>
      <c r="L20" s="55" t="inlineStr">
        <is>
          <t>Audio</t>
        </is>
      </c>
      <c r="M20" s="55" t="n"/>
      <c r="N20" s="55" t="inlineStr">
        <is>
          <t>CPM</t>
        </is>
      </c>
      <c r="O20" s="57" t="n">
        <v>220</v>
      </c>
      <c r="P20" s="58" t="n">
        <v>1363636.363636364</v>
      </c>
      <c r="Q20" s="59">
        <f>IF(OR($N20="",$P20=""),0,IF($N20="CPM",$O20*$P20/1000,IF($N20="Sabit",$O20,$O20*$P20)))</f>
        <v/>
      </c>
      <c r="R20" s="60" t="n">
        <v>181866</v>
      </c>
      <c r="S20" s="60" t="n"/>
      <c r="T20" s="61" t="n"/>
      <c r="U20" s="62" t="n"/>
      <c r="V20" s="55" t="inlineStr">
        <is>
          <t>Fatura</t>
        </is>
      </c>
      <c r="W20" s="57" t="n">
        <v>40010.52</v>
      </c>
      <c r="X20" s="59">
        <f>IF($V20="",0,IF(OR($V20="Fatura",$V20="Platform Raporu"),$W20,IF($R20="",0,IF($N20="CPM",$O20*$R20/1000,IF($N20="Sabit",$O20,$O20*$R20)))))</f>
        <v/>
      </c>
      <c r="Y20" s="59">
        <f>IF(OR($X20=0,$N20="Sabit"),"",IFERROR(IF($N20="CPM",$X20/$R20*1000,$X20/$R20),""))</f>
        <v/>
      </c>
      <c r="Z20" s="63">
        <f>IF($AI20&lt;&gt;"Yayınlandı","",IFERROR($R20/$P20,""))</f>
        <v/>
      </c>
      <c r="AA20" s="63">
        <f>IF($Y20="","",IFERROR($Y20/$O20-1,""))</f>
        <v/>
      </c>
      <c r="AB20" s="62" t="n">
        <v>0</v>
      </c>
      <c r="AC20" s="59">
        <f>$X20*$AB20</f>
        <v/>
      </c>
      <c r="AD20" s="62" t="n">
        <v>0</v>
      </c>
      <c r="AE20" s="59">
        <f>$X20*$AD20</f>
        <v/>
      </c>
      <c r="AF20" s="57" t="n">
        <v>0</v>
      </c>
      <c r="AG20" s="59">
        <f>$X20+$AC20+$AE20+$AF20</f>
        <v/>
      </c>
      <c r="AH20" s="59">
        <f>$Q20-$X20</f>
        <v/>
      </c>
      <c r="AI20" s="55" t="inlineStr">
        <is>
          <t>Yayınlandı</t>
        </is>
      </c>
      <c r="AJ20" s="55" t="inlineStr">
        <is>
          <t>kaynak dosyada gerçekleşen birim maliyet plandan kopyalanmış; fiyat farkı ölçülemez · tarih kampanya döneminden türetildi</t>
        </is>
      </c>
    </row>
    <row r="21" ht="15" customHeight="1" s="39">
      <c r="A21" s="64" t="n"/>
      <c r="B21" s="65" t="n"/>
      <c r="C21" s="66" t="n"/>
      <c r="D21" s="66" t="n"/>
      <c r="E21" s="67" t="n"/>
      <c r="F21" s="67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8" t="n"/>
      <c r="P21" s="69" t="n"/>
      <c r="Q21" s="59">
        <f>IF(OR($N21="",$P21=""),0,IF($N21="CPM",$O21*$P21/1000,IF($N21="Sabit",$O21,$O21*$P21)))</f>
        <v/>
      </c>
      <c r="R21" s="61" t="n"/>
      <c r="S21" s="61" t="n"/>
      <c r="T21" s="61" t="n"/>
      <c r="U21" s="70" t="n"/>
      <c r="V21" s="67" t="n"/>
      <c r="W21" s="68" t="n"/>
      <c r="X21" s="59">
        <f>IF($V21="",0,IF(OR($V21="Fatura",$V21="Platform Raporu"),$W21,IF($R21="",0,IF($N21="CPM",$O21*$R21/1000,IF($N21="Sabit",$O21,$O21*$R21)))))</f>
        <v/>
      </c>
      <c r="Y21" s="59">
        <f>IF(OR($X21=0,$N21="Sabit"),"",IFERROR(IF($N21="CPM",$X21/$R21*1000,$X21/$R21),""))</f>
        <v/>
      </c>
      <c r="Z21" s="63">
        <f>IF($AI21&lt;&gt;"Yayınlandı","",IFERROR($R21/$P21,""))</f>
        <v/>
      </c>
      <c r="AA21" s="63">
        <f>IF($Y21="","",IFERROR($Y21/$O21-1,""))</f>
        <v/>
      </c>
      <c r="AB21" s="70" t="n"/>
      <c r="AC21" s="59">
        <f>$X21*$AB21</f>
        <v/>
      </c>
      <c r="AD21" s="70" t="n"/>
      <c r="AE21" s="59">
        <f>$X21*$AD21</f>
        <v/>
      </c>
      <c r="AF21" s="68" t="n"/>
      <c r="AG21" s="59">
        <f>$X21+$AC21+$AE21+$AF21</f>
        <v/>
      </c>
      <c r="AH21" s="59">
        <f>$Q21-$X21</f>
        <v/>
      </c>
      <c r="AI21" s="67" t="n"/>
      <c r="AJ21" s="67" t="n"/>
    </row>
    <row r="22" ht="15" customHeight="1" s="39">
      <c r="A22" s="64" t="n"/>
      <c r="B22" s="65" t="n"/>
      <c r="C22" s="66" t="n"/>
      <c r="D22" s="66" t="n"/>
      <c r="E22" s="67" t="n"/>
      <c r="F22" s="67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8" t="n"/>
      <c r="P22" s="69" t="n"/>
      <c r="Q22" s="59">
        <f>IF(OR($N22="",$P22=""),0,IF($N22="CPM",$O22*$P22/1000,IF($N22="Sabit",$O22,$O22*$P22)))</f>
        <v/>
      </c>
      <c r="R22" s="61" t="n"/>
      <c r="S22" s="61" t="n"/>
      <c r="T22" s="61" t="n"/>
      <c r="U22" s="70" t="n"/>
      <c r="V22" s="67" t="n"/>
      <c r="W22" s="68" t="n"/>
      <c r="X22" s="59">
        <f>IF($V22="",0,IF(OR($V22="Fatura",$V22="Platform Raporu"),$W22,IF($R22="",0,IF($N22="CPM",$O22*$R22/1000,IF($N22="Sabit",$O22,$O22*$R22)))))</f>
        <v/>
      </c>
      <c r="Y22" s="59">
        <f>IF(OR($X22=0,$N22="Sabit"),"",IFERROR(IF($N22="CPM",$X22/$R22*1000,$X22/$R22),""))</f>
        <v/>
      </c>
      <c r="Z22" s="63">
        <f>IF($AI22&lt;&gt;"Yayınlandı","",IFERROR($R22/$P22,""))</f>
        <v/>
      </c>
      <c r="AA22" s="63">
        <f>IF($Y22="","",IFERROR($Y22/$O22-1,""))</f>
        <v/>
      </c>
      <c r="AB22" s="70" t="n"/>
      <c r="AC22" s="59">
        <f>$X22*$AB22</f>
        <v/>
      </c>
      <c r="AD22" s="70" t="n"/>
      <c r="AE22" s="59">
        <f>$X22*$AD22</f>
        <v/>
      </c>
      <c r="AF22" s="68" t="n"/>
      <c r="AG22" s="59">
        <f>$X22+$AC22+$AE22+$AF22</f>
        <v/>
      </c>
      <c r="AH22" s="59">
        <f>$Q22-$X22</f>
        <v/>
      </c>
      <c r="AI22" s="67" t="n"/>
      <c r="AJ22" s="67" t="n"/>
    </row>
    <row r="23" ht="15" customHeight="1" s="39">
      <c r="A23" s="64" t="n"/>
      <c r="B23" s="65" t="n"/>
      <c r="C23" s="66" t="n"/>
      <c r="D23" s="66" t="n"/>
      <c r="E23" s="67" t="n"/>
      <c r="F23" s="67" t="n"/>
      <c r="G23" s="67" t="n"/>
      <c r="H23" s="67" t="n"/>
      <c r="I23" s="67" t="n"/>
      <c r="J23" s="67" t="n"/>
      <c r="K23" s="67" t="n"/>
      <c r="L23" s="67" t="n"/>
      <c r="M23" s="67" t="n"/>
      <c r="N23" s="67" t="n"/>
      <c r="O23" s="68" t="n"/>
      <c r="P23" s="69" t="n"/>
      <c r="Q23" s="59">
        <f>IF(OR($N23="",$P23=""),0,IF($N23="CPM",$O23*$P23/1000,IF($N23="Sabit",$O23,$O23*$P23)))</f>
        <v/>
      </c>
      <c r="R23" s="61" t="n"/>
      <c r="S23" s="61" t="n"/>
      <c r="T23" s="61" t="n"/>
      <c r="U23" s="70" t="n"/>
      <c r="V23" s="67" t="n"/>
      <c r="W23" s="68" t="n"/>
      <c r="X23" s="59">
        <f>IF($V23="",0,IF(OR($V23="Fatura",$V23="Platform Raporu"),$W23,IF($R23="",0,IF($N23="CPM",$O23*$R23/1000,IF($N23="Sabit",$O23,$O23*$R23)))))</f>
        <v/>
      </c>
      <c r="Y23" s="59">
        <f>IF(OR($X23=0,$N23="Sabit"),"",IFERROR(IF($N23="CPM",$X23/$R23*1000,$X23/$R23),""))</f>
        <v/>
      </c>
      <c r="Z23" s="63">
        <f>IF($AI23&lt;&gt;"Yayınlandı","",IFERROR($R23/$P23,""))</f>
        <v/>
      </c>
      <c r="AA23" s="63">
        <f>IF($Y23="","",IFERROR($Y23/$O23-1,""))</f>
        <v/>
      </c>
      <c r="AB23" s="70" t="n"/>
      <c r="AC23" s="59">
        <f>$X23*$AB23</f>
        <v/>
      </c>
      <c r="AD23" s="70" t="n"/>
      <c r="AE23" s="59">
        <f>$X23*$AD23</f>
        <v/>
      </c>
      <c r="AF23" s="68" t="n"/>
      <c r="AG23" s="59">
        <f>$X23+$AC23+$AE23+$AF23</f>
        <v/>
      </c>
      <c r="AH23" s="59">
        <f>$Q23-$X23</f>
        <v/>
      </c>
      <c r="AI23" s="67" t="n"/>
      <c r="AJ23" s="67" t="n"/>
    </row>
    <row r="24" ht="15" customHeight="1" s="39">
      <c r="A24" s="64" t="n"/>
      <c r="B24" s="65" t="n"/>
      <c r="C24" s="66" t="n"/>
      <c r="D24" s="66" t="n"/>
      <c r="E24" s="67" t="n"/>
      <c r="F24" s="67" t="n"/>
      <c r="G24" s="67" t="n"/>
      <c r="H24" s="67" t="n"/>
      <c r="I24" s="67" t="n"/>
      <c r="J24" s="67" t="n"/>
      <c r="K24" s="67" t="n"/>
      <c r="L24" s="67" t="n"/>
      <c r="M24" s="67" t="n"/>
      <c r="N24" s="67" t="n"/>
      <c r="O24" s="68" t="n"/>
      <c r="P24" s="69" t="n"/>
      <c r="Q24" s="59">
        <f>IF(OR($N24="",$P24=""),0,IF($N24="CPM",$O24*$P24/1000,IF($N24="Sabit",$O24,$O24*$P24)))</f>
        <v/>
      </c>
      <c r="R24" s="61" t="n"/>
      <c r="S24" s="61" t="n"/>
      <c r="T24" s="61" t="n"/>
      <c r="U24" s="70" t="n"/>
      <c r="V24" s="67" t="n"/>
      <c r="W24" s="68" t="n"/>
      <c r="X24" s="59">
        <f>IF($V24="",0,IF(OR($V24="Fatura",$V24="Platform Raporu"),$W24,IF($R24="",0,IF($N24="CPM",$O24*$R24/1000,IF($N24="Sabit",$O24,$O24*$R24)))))</f>
        <v/>
      </c>
      <c r="Y24" s="59">
        <f>IF(OR($X24=0,$N24="Sabit"),"",IFERROR(IF($N24="CPM",$X24/$R24*1000,$X24/$R24),""))</f>
        <v/>
      </c>
      <c r="Z24" s="63">
        <f>IF($AI24&lt;&gt;"Yayınlandı","",IFERROR($R24/$P24,""))</f>
        <v/>
      </c>
      <c r="AA24" s="63">
        <f>IF($Y24="","",IFERROR($Y24/$O24-1,""))</f>
        <v/>
      </c>
      <c r="AB24" s="70" t="n"/>
      <c r="AC24" s="59">
        <f>$X24*$AB24</f>
        <v/>
      </c>
      <c r="AD24" s="70" t="n"/>
      <c r="AE24" s="59">
        <f>$X24*$AD24</f>
        <v/>
      </c>
      <c r="AF24" s="68" t="n"/>
      <c r="AG24" s="59">
        <f>$X24+$AC24+$AE24+$AF24</f>
        <v/>
      </c>
      <c r="AH24" s="59">
        <f>$Q24-$X24</f>
        <v/>
      </c>
      <c r="AI24" s="67" t="n"/>
      <c r="AJ24" s="67" t="n"/>
    </row>
    <row r="25" ht="15" customHeight="1" s="39">
      <c r="A25" s="64" t="n"/>
      <c r="B25" s="65" t="n"/>
      <c r="C25" s="66" t="n"/>
      <c r="D25" s="66" t="n"/>
      <c r="E25" s="67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8" t="n"/>
      <c r="P25" s="69" t="n"/>
      <c r="Q25" s="59">
        <f>IF(OR($N25="",$P25=""),0,IF($N25="CPM",$O25*$P25/1000,IF($N25="Sabit",$O25,$O25*$P25)))</f>
        <v/>
      </c>
      <c r="R25" s="61" t="n"/>
      <c r="S25" s="61" t="n"/>
      <c r="T25" s="61" t="n"/>
      <c r="U25" s="70" t="n"/>
      <c r="V25" s="67" t="n"/>
      <c r="W25" s="68" t="n"/>
      <c r="X25" s="59">
        <f>IF($V25="",0,IF(OR($V25="Fatura",$V25="Platform Raporu"),$W25,IF($R25="",0,IF($N25="CPM",$O25*$R25/1000,IF($N25="Sabit",$O25,$O25*$R25)))))</f>
        <v/>
      </c>
      <c r="Y25" s="59">
        <f>IF(OR($X25=0,$N25="Sabit"),"",IFERROR(IF($N25="CPM",$X25/$R25*1000,$X25/$R25),""))</f>
        <v/>
      </c>
      <c r="Z25" s="63">
        <f>IF($AI25&lt;&gt;"Yayınlandı","",IFERROR($R25/$P25,""))</f>
        <v/>
      </c>
      <c r="AA25" s="63">
        <f>IF($Y25="","",IFERROR($Y25/$O25-1,""))</f>
        <v/>
      </c>
      <c r="AB25" s="70" t="n"/>
      <c r="AC25" s="59">
        <f>$X25*$AB25</f>
        <v/>
      </c>
      <c r="AD25" s="70" t="n"/>
      <c r="AE25" s="59">
        <f>$X25*$AD25</f>
        <v/>
      </c>
      <c r="AF25" s="68" t="n"/>
      <c r="AG25" s="59">
        <f>$X25+$AC25+$AE25+$AF25</f>
        <v/>
      </c>
      <c r="AH25" s="59">
        <f>$Q25-$X25</f>
        <v/>
      </c>
      <c r="AI25" s="67" t="n"/>
      <c r="AJ25" s="67" t="n"/>
    </row>
    <row r="26" ht="15" customHeight="1" s="39">
      <c r="A26" s="64" t="n"/>
      <c r="B26" s="65" t="n"/>
      <c r="C26" s="66" t="n"/>
      <c r="D26" s="66" t="n"/>
      <c r="E26" s="67" t="n"/>
      <c r="F26" s="67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8" t="n"/>
      <c r="P26" s="69" t="n"/>
      <c r="Q26" s="59">
        <f>IF(OR($N26="",$P26=""),0,IF($N26="CPM",$O26*$P26/1000,IF($N26="Sabit",$O26,$O26*$P26)))</f>
        <v/>
      </c>
      <c r="R26" s="61" t="n"/>
      <c r="S26" s="61" t="n"/>
      <c r="T26" s="61" t="n"/>
      <c r="U26" s="70" t="n"/>
      <c r="V26" s="67" t="n"/>
      <c r="W26" s="68" t="n"/>
      <c r="X26" s="59">
        <f>IF($V26="",0,IF(OR($V26="Fatura",$V26="Platform Raporu"),$W26,IF($R26="",0,IF($N26="CPM",$O26*$R26/1000,IF($N26="Sabit",$O26,$O26*$R26)))))</f>
        <v/>
      </c>
      <c r="Y26" s="59">
        <f>IF(OR($X26=0,$N26="Sabit"),"",IFERROR(IF($N26="CPM",$X26/$R26*1000,$X26/$R26),""))</f>
        <v/>
      </c>
      <c r="Z26" s="63">
        <f>IF($AI26&lt;&gt;"Yayınlandı","",IFERROR($R26/$P26,""))</f>
        <v/>
      </c>
      <c r="AA26" s="63">
        <f>IF($Y26="","",IFERROR($Y26/$O26-1,""))</f>
        <v/>
      </c>
      <c r="AB26" s="70" t="n"/>
      <c r="AC26" s="59">
        <f>$X26*$AB26</f>
        <v/>
      </c>
      <c r="AD26" s="70" t="n"/>
      <c r="AE26" s="59">
        <f>$X26*$AD26</f>
        <v/>
      </c>
      <c r="AF26" s="68" t="n"/>
      <c r="AG26" s="59">
        <f>$X26+$AC26+$AE26+$AF26</f>
        <v/>
      </c>
      <c r="AH26" s="59">
        <f>$Q26-$X26</f>
        <v/>
      </c>
      <c r="AI26" s="67" t="n"/>
      <c r="AJ26" s="67" t="n"/>
    </row>
    <row r="27" ht="15" customHeight="1" s="39">
      <c r="A27" s="64" t="n"/>
      <c r="B27" s="65" t="n"/>
      <c r="C27" s="66" t="n"/>
      <c r="D27" s="66" t="n"/>
      <c r="E27" s="67" t="n"/>
      <c r="F27" s="67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8" t="n"/>
      <c r="P27" s="69" t="n"/>
      <c r="Q27" s="59">
        <f>IF(OR($N27="",$P27=""),0,IF($N27="CPM",$O27*$P27/1000,IF($N27="Sabit",$O27,$O27*$P27)))</f>
        <v/>
      </c>
      <c r="R27" s="61" t="n"/>
      <c r="S27" s="61" t="n"/>
      <c r="T27" s="61" t="n"/>
      <c r="U27" s="70" t="n"/>
      <c r="V27" s="67" t="n"/>
      <c r="W27" s="68" t="n"/>
      <c r="X27" s="59">
        <f>IF($V27="",0,IF(OR($V27="Fatura",$V27="Platform Raporu"),$W27,IF($R27="",0,IF($N27="CPM",$O27*$R27/1000,IF($N27="Sabit",$O27,$O27*$R27)))))</f>
        <v/>
      </c>
      <c r="Y27" s="59">
        <f>IF(OR($X27=0,$N27="Sabit"),"",IFERROR(IF($N27="CPM",$X27/$R27*1000,$X27/$R27),""))</f>
        <v/>
      </c>
      <c r="Z27" s="63">
        <f>IF($AI27&lt;&gt;"Yayınlandı","",IFERROR($R27/$P27,""))</f>
        <v/>
      </c>
      <c r="AA27" s="63">
        <f>IF($Y27="","",IFERROR($Y27/$O27-1,""))</f>
        <v/>
      </c>
      <c r="AB27" s="70" t="n"/>
      <c r="AC27" s="59">
        <f>$X27*$AB27</f>
        <v/>
      </c>
      <c r="AD27" s="70" t="n"/>
      <c r="AE27" s="59">
        <f>$X27*$AD27</f>
        <v/>
      </c>
      <c r="AF27" s="68" t="n"/>
      <c r="AG27" s="59">
        <f>$X27+$AC27+$AE27+$AF27</f>
        <v/>
      </c>
      <c r="AH27" s="59">
        <f>$Q27-$X27</f>
        <v/>
      </c>
      <c r="AI27" s="67" t="n"/>
      <c r="AJ27" s="67" t="n"/>
    </row>
    <row r="28" ht="15" customHeight="1" s="39">
      <c r="A28" s="64" t="n"/>
      <c r="B28" s="65" t="n"/>
      <c r="C28" s="66" t="n"/>
      <c r="D28" s="66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8" t="n"/>
      <c r="P28" s="69" t="n"/>
      <c r="Q28" s="59">
        <f>IF(OR($N28="",$P28=""),0,IF($N28="CPM",$O28*$P28/1000,IF($N28="Sabit",$O28,$O28*$P28)))</f>
        <v/>
      </c>
      <c r="R28" s="61" t="n"/>
      <c r="S28" s="61" t="n"/>
      <c r="T28" s="61" t="n"/>
      <c r="U28" s="70" t="n"/>
      <c r="V28" s="67" t="n"/>
      <c r="W28" s="68" t="n"/>
      <c r="X28" s="59">
        <f>IF($V28="",0,IF(OR($V28="Fatura",$V28="Platform Raporu"),$W28,IF($R28="",0,IF($N28="CPM",$O28*$R28/1000,IF($N28="Sabit",$O28,$O28*$R28)))))</f>
        <v/>
      </c>
      <c r="Y28" s="59">
        <f>IF(OR($X28=0,$N28="Sabit"),"",IFERROR(IF($N28="CPM",$X28/$R28*1000,$X28/$R28),""))</f>
        <v/>
      </c>
      <c r="Z28" s="63">
        <f>IF($AI28&lt;&gt;"Yayınlandı","",IFERROR($R28/$P28,""))</f>
        <v/>
      </c>
      <c r="AA28" s="63">
        <f>IF($Y28="","",IFERROR($Y28/$O28-1,""))</f>
        <v/>
      </c>
      <c r="AB28" s="70" t="n"/>
      <c r="AC28" s="59">
        <f>$X28*$AB28</f>
        <v/>
      </c>
      <c r="AD28" s="70" t="n"/>
      <c r="AE28" s="59">
        <f>$X28*$AD28</f>
        <v/>
      </c>
      <c r="AF28" s="68" t="n"/>
      <c r="AG28" s="59">
        <f>$X28+$AC28+$AE28+$AF28</f>
        <v/>
      </c>
      <c r="AH28" s="59">
        <f>$Q28-$X28</f>
        <v/>
      </c>
      <c r="AI28" s="67" t="n"/>
      <c r="AJ28" s="67" t="n"/>
    </row>
    <row r="29" ht="15" customHeight="1" s="39">
      <c r="A29" s="64" t="n"/>
      <c r="B29" s="65" t="n"/>
      <c r="C29" s="66" t="n"/>
      <c r="D29" s="66" t="n"/>
      <c r="E29" s="67" t="n"/>
      <c r="F29" s="67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8" t="n"/>
      <c r="P29" s="69" t="n"/>
      <c r="Q29" s="59">
        <f>IF(OR($N29="",$P29=""),0,IF($N29="CPM",$O29*$P29/1000,IF($N29="Sabit",$O29,$O29*$P29)))</f>
        <v/>
      </c>
      <c r="R29" s="61" t="n"/>
      <c r="S29" s="61" t="n"/>
      <c r="T29" s="61" t="n"/>
      <c r="U29" s="70" t="n"/>
      <c r="V29" s="67" t="n"/>
      <c r="W29" s="68" t="n"/>
      <c r="X29" s="59">
        <f>IF($V29="",0,IF(OR($V29="Fatura",$V29="Platform Raporu"),$W29,IF($R29="",0,IF($N29="CPM",$O29*$R29/1000,IF($N29="Sabit",$O29,$O29*$R29)))))</f>
        <v/>
      </c>
      <c r="Y29" s="59">
        <f>IF(OR($X29=0,$N29="Sabit"),"",IFERROR(IF($N29="CPM",$X29/$R29*1000,$X29/$R29),""))</f>
        <v/>
      </c>
      <c r="Z29" s="63">
        <f>IF($AI29&lt;&gt;"Yayınlandı","",IFERROR($R29/$P29,""))</f>
        <v/>
      </c>
      <c r="AA29" s="63">
        <f>IF($Y29="","",IFERROR($Y29/$O29-1,""))</f>
        <v/>
      </c>
      <c r="AB29" s="70" t="n"/>
      <c r="AC29" s="59">
        <f>$X29*$AB29</f>
        <v/>
      </c>
      <c r="AD29" s="70" t="n"/>
      <c r="AE29" s="59">
        <f>$X29*$AD29</f>
        <v/>
      </c>
      <c r="AF29" s="68" t="n"/>
      <c r="AG29" s="59">
        <f>$X29+$AC29+$AE29+$AF29</f>
        <v/>
      </c>
      <c r="AH29" s="59">
        <f>$Q29-$X29</f>
        <v/>
      </c>
      <c r="AI29" s="67" t="n"/>
      <c r="AJ29" s="67" t="n"/>
    </row>
    <row r="30" ht="15" customHeight="1" s="39">
      <c r="A30" s="64" t="n"/>
      <c r="B30" s="65" t="n"/>
      <c r="C30" s="66" t="n"/>
      <c r="D30" s="66" t="n"/>
      <c r="E30" s="67" t="n"/>
      <c r="F30" s="67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8" t="n"/>
      <c r="P30" s="69" t="n"/>
      <c r="Q30" s="59">
        <f>IF(OR($N30="",$P30=""),0,IF($N30="CPM",$O30*$P30/1000,IF($N30="Sabit",$O30,$O30*$P30)))</f>
        <v/>
      </c>
      <c r="R30" s="61" t="n"/>
      <c r="S30" s="61" t="n"/>
      <c r="T30" s="61" t="n"/>
      <c r="U30" s="70" t="n"/>
      <c r="V30" s="67" t="n"/>
      <c r="W30" s="68" t="n"/>
      <c r="X30" s="59">
        <f>IF($V30="",0,IF(OR($V30="Fatura",$V30="Platform Raporu"),$W30,IF($R30="",0,IF($N30="CPM",$O30*$R30/1000,IF($N30="Sabit",$O30,$O30*$R30)))))</f>
        <v/>
      </c>
      <c r="Y30" s="59">
        <f>IF(OR($X30=0,$N30="Sabit"),"",IFERROR(IF($N30="CPM",$X30/$R30*1000,$X30/$R30),""))</f>
        <v/>
      </c>
      <c r="Z30" s="63">
        <f>IF($AI30&lt;&gt;"Yayınlandı","",IFERROR($R30/$P30,""))</f>
        <v/>
      </c>
      <c r="AA30" s="63">
        <f>IF($Y30="","",IFERROR($Y30/$O30-1,""))</f>
        <v/>
      </c>
      <c r="AB30" s="70" t="n"/>
      <c r="AC30" s="59">
        <f>$X30*$AB30</f>
        <v/>
      </c>
      <c r="AD30" s="70" t="n"/>
      <c r="AE30" s="59">
        <f>$X30*$AD30</f>
        <v/>
      </c>
      <c r="AF30" s="68" t="n"/>
      <c r="AG30" s="59">
        <f>$X30+$AC30+$AE30+$AF30</f>
        <v/>
      </c>
      <c r="AH30" s="59">
        <f>$Q30-$X30</f>
        <v/>
      </c>
      <c r="AI30" s="67" t="n"/>
      <c r="AJ30" s="67" t="n"/>
    </row>
    <row r="31" ht="15" customHeight="1" s="39">
      <c r="A31" s="64" t="n"/>
      <c r="B31" s="65" t="n"/>
      <c r="C31" s="66" t="n"/>
      <c r="D31" s="66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8" t="n"/>
      <c r="P31" s="69" t="n"/>
      <c r="Q31" s="59">
        <f>IF(OR($N31="",$P31=""),0,IF($N31="CPM",$O31*$P31/1000,IF($N31="Sabit",$O31,$O31*$P31)))</f>
        <v/>
      </c>
      <c r="R31" s="61" t="n"/>
      <c r="S31" s="61" t="n"/>
      <c r="T31" s="61" t="n"/>
      <c r="U31" s="70" t="n"/>
      <c r="V31" s="67" t="n"/>
      <c r="W31" s="68" t="n"/>
      <c r="X31" s="59">
        <f>IF($V31="",0,IF(OR($V31="Fatura",$V31="Platform Raporu"),$W31,IF($R31="",0,IF($N31="CPM",$O31*$R31/1000,IF($N31="Sabit",$O31,$O31*$R31)))))</f>
        <v/>
      </c>
      <c r="Y31" s="59">
        <f>IF(OR($X31=0,$N31="Sabit"),"",IFERROR(IF($N31="CPM",$X31/$R31*1000,$X31/$R31),""))</f>
        <v/>
      </c>
      <c r="Z31" s="63">
        <f>IF($AI31&lt;&gt;"Yayınlandı","",IFERROR($R31/$P31,""))</f>
        <v/>
      </c>
      <c r="AA31" s="63">
        <f>IF($Y31="","",IFERROR($Y31/$O31-1,""))</f>
        <v/>
      </c>
      <c r="AB31" s="70" t="n"/>
      <c r="AC31" s="59">
        <f>$X31*$AB31</f>
        <v/>
      </c>
      <c r="AD31" s="70" t="n"/>
      <c r="AE31" s="59">
        <f>$X31*$AD31</f>
        <v/>
      </c>
      <c r="AF31" s="68" t="n"/>
      <c r="AG31" s="59">
        <f>$X31+$AC31+$AE31+$AF31</f>
        <v/>
      </c>
      <c r="AH31" s="59">
        <f>$Q31-$X31</f>
        <v/>
      </c>
      <c r="AI31" s="67" t="n"/>
      <c r="AJ31" s="67" t="n"/>
    </row>
    <row r="32" ht="15" customHeight="1" s="39">
      <c r="A32" s="64" t="n"/>
      <c r="B32" s="65" t="n"/>
      <c r="C32" s="66" t="n"/>
      <c r="D32" s="66" t="n"/>
      <c r="E32" s="67" t="n"/>
      <c r="F32" s="67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8" t="n"/>
      <c r="P32" s="69" t="n"/>
      <c r="Q32" s="59">
        <f>IF(OR($N32="",$P32=""),0,IF($N32="CPM",$O32*$P32/1000,IF($N32="Sabit",$O32,$O32*$P32)))</f>
        <v/>
      </c>
      <c r="R32" s="61" t="n"/>
      <c r="S32" s="61" t="n"/>
      <c r="T32" s="61" t="n"/>
      <c r="U32" s="70" t="n"/>
      <c r="V32" s="67" t="n"/>
      <c r="W32" s="68" t="n"/>
      <c r="X32" s="59">
        <f>IF($V32="",0,IF(OR($V32="Fatura",$V32="Platform Raporu"),$W32,IF($R32="",0,IF($N32="CPM",$O32*$R32/1000,IF($N32="Sabit",$O32,$O32*$R32)))))</f>
        <v/>
      </c>
      <c r="Y32" s="59">
        <f>IF(OR($X32=0,$N32="Sabit"),"",IFERROR(IF($N32="CPM",$X32/$R32*1000,$X32/$R32),""))</f>
        <v/>
      </c>
      <c r="Z32" s="63">
        <f>IF($AI32&lt;&gt;"Yayınlandı","",IFERROR($R32/$P32,""))</f>
        <v/>
      </c>
      <c r="AA32" s="63">
        <f>IF($Y32="","",IFERROR($Y32/$O32-1,""))</f>
        <v/>
      </c>
      <c r="AB32" s="70" t="n"/>
      <c r="AC32" s="59">
        <f>$X32*$AB32</f>
        <v/>
      </c>
      <c r="AD32" s="70" t="n"/>
      <c r="AE32" s="59">
        <f>$X32*$AD32</f>
        <v/>
      </c>
      <c r="AF32" s="68" t="n"/>
      <c r="AG32" s="59">
        <f>$X32+$AC32+$AE32+$AF32</f>
        <v/>
      </c>
      <c r="AH32" s="59">
        <f>$Q32-$X32</f>
        <v/>
      </c>
      <c r="AI32" s="67" t="n"/>
      <c r="AJ32" s="67" t="n"/>
    </row>
    <row r="33" ht="15" customHeight="1" s="39">
      <c r="A33" s="64" t="n"/>
      <c r="B33" s="65" t="n"/>
      <c r="C33" s="66" t="n"/>
      <c r="D33" s="66" t="n"/>
      <c r="E33" s="67" t="n"/>
      <c r="F33" s="67" t="n"/>
      <c r="G33" s="67" t="n"/>
      <c r="H33" s="67" t="n"/>
      <c r="I33" s="67" t="n"/>
      <c r="J33" s="67" t="n"/>
      <c r="K33" s="67" t="n"/>
      <c r="L33" s="67" t="n"/>
      <c r="M33" s="67" t="n"/>
      <c r="N33" s="67" t="n"/>
      <c r="O33" s="68" t="n"/>
      <c r="P33" s="69" t="n"/>
      <c r="Q33" s="59">
        <f>IF(OR($N33="",$P33=""),0,IF($N33="CPM",$O33*$P33/1000,IF($N33="Sabit",$O33,$O33*$P33)))</f>
        <v/>
      </c>
      <c r="R33" s="61" t="n"/>
      <c r="S33" s="61" t="n"/>
      <c r="T33" s="61" t="n"/>
      <c r="U33" s="70" t="n"/>
      <c r="V33" s="67" t="n"/>
      <c r="W33" s="68" t="n"/>
      <c r="X33" s="59">
        <f>IF($V33="",0,IF(OR($V33="Fatura",$V33="Platform Raporu"),$W33,IF($R33="",0,IF($N33="CPM",$O33*$R33/1000,IF($N33="Sabit",$O33,$O33*$R33)))))</f>
        <v/>
      </c>
      <c r="Y33" s="59">
        <f>IF(OR($X33=0,$N33="Sabit"),"",IFERROR(IF($N33="CPM",$X33/$R33*1000,$X33/$R33),""))</f>
        <v/>
      </c>
      <c r="Z33" s="63">
        <f>IF($AI33&lt;&gt;"Yayınlandı","",IFERROR($R33/$P33,""))</f>
        <v/>
      </c>
      <c r="AA33" s="63">
        <f>IF($Y33="","",IFERROR($Y33/$O33-1,""))</f>
        <v/>
      </c>
      <c r="AB33" s="70" t="n"/>
      <c r="AC33" s="59">
        <f>$X33*$AB33</f>
        <v/>
      </c>
      <c r="AD33" s="70" t="n"/>
      <c r="AE33" s="59">
        <f>$X33*$AD33</f>
        <v/>
      </c>
      <c r="AF33" s="68" t="n"/>
      <c r="AG33" s="59">
        <f>$X33+$AC33+$AE33+$AF33</f>
        <v/>
      </c>
      <c r="AH33" s="59">
        <f>$Q33-$X33</f>
        <v/>
      </c>
      <c r="AI33" s="67" t="n"/>
      <c r="AJ33" s="67" t="n"/>
    </row>
    <row r="34" ht="15" customHeight="1" s="39">
      <c r="A34" s="64" t="n"/>
      <c r="B34" s="65" t="n"/>
      <c r="C34" s="66" t="n"/>
      <c r="D34" s="66" t="n"/>
      <c r="E34" s="67" t="n"/>
      <c r="F34" s="67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8" t="n"/>
      <c r="P34" s="69" t="n"/>
      <c r="Q34" s="59">
        <f>IF(OR($N34="",$P34=""),0,IF($N34="CPM",$O34*$P34/1000,IF($N34="Sabit",$O34,$O34*$P34)))</f>
        <v/>
      </c>
      <c r="R34" s="61" t="n"/>
      <c r="S34" s="61" t="n"/>
      <c r="T34" s="61" t="n"/>
      <c r="U34" s="70" t="n"/>
      <c r="V34" s="67" t="n"/>
      <c r="W34" s="68" t="n"/>
      <c r="X34" s="59">
        <f>IF($V34="",0,IF(OR($V34="Fatura",$V34="Platform Raporu"),$W34,IF($R34="",0,IF($N34="CPM",$O34*$R34/1000,IF($N34="Sabit",$O34,$O34*$R34)))))</f>
        <v/>
      </c>
      <c r="Y34" s="59">
        <f>IF(OR($X34=0,$N34="Sabit"),"",IFERROR(IF($N34="CPM",$X34/$R34*1000,$X34/$R34),""))</f>
        <v/>
      </c>
      <c r="Z34" s="63">
        <f>IF($AI34&lt;&gt;"Yayınlandı","",IFERROR($R34/$P34,""))</f>
        <v/>
      </c>
      <c r="AA34" s="63">
        <f>IF($Y34="","",IFERROR($Y34/$O34-1,""))</f>
        <v/>
      </c>
      <c r="AB34" s="70" t="n"/>
      <c r="AC34" s="59">
        <f>$X34*$AB34</f>
        <v/>
      </c>
      <c r="AD34" s="70" t="n"/>
      <c r="AE34" s="59">
        <f>$X34*$AD34</f>
        <v/>
      </c>
      <c r="AF34" s="68" t="n"/>
      <c r="AG34" s="59">
        <f>$X34+$AC34+$AE34+$AF34</f>
        <v/>
      </c>
      <c r="AH34" s="59">
        <f>$Q34-$X34</f>
        <v/>
      </c>
      <c r="AI34" s="67" t="n"/>
      <c r="AJ34" s="67" t="n"/>
    </row>
    <row r="35" ht="15" customHeight="1" s="39">
      <c r="A35" s="64" t="n"/>
      <c r="B35" s="65" t="n"/>
      <c r="C35" s="66" t="n"/>
      <c r="D35" s="66" t="n"/>
      <c r="E35" s="67" t="n"/>
      <c r="F35" s="67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8" t="n"/>
      <c r="P35" s="69" t="n"/>
      <c r="Q35" s="59">
        <f>IF(OR($N35="",$P35=""),0,IF($N35="CPM",$O35*$P35/1000,IF($N35="Sabit",$O35,$O35*$P35)))</f>
        <v/>
      </c>
      <c r="R35" s="61" t="n"/>
      <c r="S35" s="61" t="n"/>
      <c r="T35" s="61" t="n"/>
      <c r="U35" s="70" t="n"/>
      <c r="V35" s="67" t="n"/>
      <c r="W35" s="68" t="n"/>
      <c r="X35" s="59">
        <f>IF($V35="",0,IF(OR($V35="Fatura",$V35="Platform Raporu"),$W35,IF($R35="",0,IF($N35="CPM",$O35*$R35/1000,IF($N35="Sabit",$O35,$O35*$R35)))))</f>
        <v/>
      </c>
      <c r="Y35" s="59">
        <f>IF(OR($X35=0,$N35="Sabit"),"",IFERROR(IF($N35="CPM",$X35/$R35*1000,$X35/$R35),""))</f>
        <v/>
      </c>
      <c r="Z35" s="63">
        <f>IF($AI35&lt;&gt;"Yayınlandı","",IFERROR($R35/$P35,""))</f>
        <v/>
      </c>
      <c r="AA35" s="63">
        <f>IF($Y35="","",IFERROR($Y35/$O35-1,""))</f>
        <v/>
      </c>
      <c r="AB35" s="70" t="n"/>
      <c r="AC35" s="59">
        <f>$X35*$AB35</f>
        <v/>
      </c>
      <c r="AD35" s="70" t="n"/>
      <c r="AE35" s="59">
        <f>$X35*$AD35</f>
        <v/>
      </c>
      <c r="AF35" s="68" t="n"/>
      <c r="AG35" s="59">
        <f>$X35+$AC35+$AE35+$AF35</f>
        <v/>
      </c>
      <c r="AH35" s="59">
        <f>$Q35-$X35</f>
        <v/>
      </c>
      <c r="AI35" s="67" t="n"/>
      <c r="AJ35" s="67" t="n"/>
    </row>
    <row r="36" ht="15" customHeight="1" s="39">
      <c r="A36" s="64" t="n"/>
      <c r="B36" s="65" t="n"/>
      <c r="C36" s="66" t="n"/>
      <c r="D36" s="66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8" t="n"/>
      <c r="P36" s="69" t="n"/>
      <c r="Q36" s="59">
        <f>IF(OR($N36="",$P36=""),0,IF($N36="CPM",$O36*$P36/1000,IF($N36="Sabit",$O36,$O36*$P36)))</f>
        <v/>
      </c>
      <c r="R36" s="61" t="n"/>
      <c r="S36" s="61" t="n"/>
      <c r="T36" s="61" t="n"/>
      <c r="U36" s="70" t="n"/>
      <c r="V36" s="67" t="n"/>
      <c r="W36" s="68" t="n"/>
      <c r="X36" s="59">
        <f>IF($V36="",0,IF(OR($V36="Fatura",$V36="Platform Raporu"),$W36,IF($R36="",0,IF($N36="CPM",$O36*$R36/1000,IF($N36="Sabit",$O36,$O36*$R36)))))</f>
        <v/>
      </c>
      <c r="Y36" s="59">
        <f>IF(OR($X36=0,$N36="Sabit"),"",IFERROR(IF($N36="CPM",$X36/$R36*1000,$X36/$R36),""))</f>
        <v/>
      </c>
      <c r="Z36" s="63">
        <f>IF($AI36&lt;&gt;"Yayınlandı","",IFERROR($R36/$P36,""))</f>
        <v/>
      </c>
      <c r="AA36" s="63">
        <f>IF($Y36="","",IFERROR($Y36/$O36-1,""))</f>
        <v/>
      </c>
      <c r="AB36" s="70" t="n"/>
      <c r="AC36" s="59">
        <f>$X36*$AB36</f>
        <v/>
      </c>
      <c r="AD36" s="70" t="n"/>
      <c r="AE36" s="59">
        <f>$X36*$AD36</f>
        <v/>
      </c>
      <c r="AF36" s="68" t="n"/>
      <c r="AG36" s="59">
        <f>$X36+$AC36+$AE36+$AF36</f>
        <v/>
      </c>
      <c r="AH36" s="59">
        <f>$Q36-$X36</f>
        <v/>
      </c>
      <c r="AI36" s="67" t="n"/>
      <c r="AJ36" s="67" t="n"/>
    </row>
    <row r="37" ht="15" customHeight="1" s="39">
      <c r="A37" s="64" t="n"/>
      <c r="B37" s="65" t="n"/>
      <c r="C37" s="66" t="n"/>
      <c r="D37" s="66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8" t="n"/>
      <c r="P37" s="69" t="n"/>
      <c r="Q37" s="59">
        <f>IF(OR($N37="",$P37=""),0,IF($N37="CPM",$O37*$P37/1000,IF($N37="Sabit",$O37,$O37*$P37)))</f>
        <v/>
      </c>
      <c r="R37" s="61" t="n"/>
      <c r="S37" s="61" t="n"/>
      <c r="T37" s="61" t="n"/>
      <c r="U37" s="70" t="n"/>
      <c r="V37" s="67" t="n"/>
      <c r="W37" s="68" t="n"/>
      <c r="X37" s="59">
        <f>IF($V37="",0,IF(OR($V37="Fatura",$V37="Platform Raporu"),$W37,IF($R37="",0,IF($N37="CPM",$O37*$R37/1000,IF($N37="Sabit",$O37,$O37*$R37)))))</f>
        <v/>
      </c>
      <c r="Y37" s="59">
        <f>IF(OR($X37=0,$N37="Sabit"),"",IFERROR(IF($N37="CPM",$X37/$R37*1000,$X37/$R37),""))</f>
        <v/>
      </c>
      <c r="Z37" s="63">
        <f>IF($AI37&lt;&gt;"Yayınlandı","",IFERROR($R37/$P37,""))</f>
        <v/>
      </c>
      <c r="AA37" s="63">
        <f>IF($Y37="","",IFERROR($Y37/$O37-1,""))</f>
        <v/>
      </c>
      <c r="AB37" s="70" t="n"/>
      <c r="AC37" s="59">
        <f>$X37*$AB37</f>
        <v/>
      </c>
      <c r="AD37" s="70" t="n"/>
      <c r="AE37" s="59">
        <f>$X37*$AD37</f>
        <v/>
      </c>
      <c r="AF37" s="68" t="n"/>
      <c r="AG37" s="59">
        <f>$X37+$AC37+$AE37+$AF37</f>
        <v/>
      </c>
      <c r="AH37" s="59">
        <f>$Q37-$X37</f>
        <v/>
      </c>
      <c r="AI37" s="67" t="n"/>
      <c r="AJ37" s="67" t="n"/>
    </row>
    <row r="38" ht="15" customHeight="1" s="39">
      <c r="A38" s="64" t="n"/>
      <c r="B38" s="65" t="n"/>
      <c r="C38" s="66" t="n"/>
      <c r="D38" s="66" t="n"/>
      <c r="E38" s="67" t="n"/>
      <c r="F38" s="67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8" t="n"/>
      <c r="P38" s="69" t="n"/>
      <c r="Q38" s="59">
        <f>IF(OR($N38="",$P38=""),0,IF($N38="CPM",$O38*$P38/1000,IF($N38="Sabit",$O38,$O38*$P38)))</f>
        <v/>
      </c>
      <c r="R38" s="61" t="n"/>
      <c r="S38" s="61" t="n"/>
      <c r="T38" s="61" t="n"/>
      <c r="U38" s="70" t="n"/>
      <c r="V38" s="67" t="n"/>
      <c r="W38" s="68" t="n"/>
      <c r="X38" s="59">
        <f>IF($V38="",0,IF(OR($V38="Fatura",$V38="Platform Raporu"),$W38,IF($R38="",0,IF($N38="CPM",$O38*$R38/1000,IF($N38="Sabit",$O38,$O38*$R38)))))</f>
        <v/>
      </c>
      <c r="Y38" s="59">
        <f>IF(OR($X38=0,$N38="Sabit"),"",IFERROR(IF($N38="CPM",$X38/$R38*1000,$X38/$R38),""))</f>
        <v/>
      </c>
      <c r="Z38" s="63">
        <f>IF($AI38&lt;&gt;"Yayınlandı","",IFERROR($R38/$P38,""))</f>
        <v/>
      </c>
      <c r="AA38" s="63">
        <f>IF($Y38="","",IFERROR($Y38/$O38-1,""))</f>
        <v/>
      </c>
      <c r="AB38" s="70" t="n"/>
      <c r="AC38" s="59">
        <f>$X38*$AB38</f>
        <v/>
      </c>
      <c r="AD38" s="70" t="n"/>
      <c r="AE38" s="59">
        <f>$X38*$AD38</f>
        <v/>
      </c>
      <c r="AF38" s="68" t="n"/>
      <c r="AG38" s="59">
        <f>$X38+$AC38+$AE38+$AF38</f>
        <v/>
      </c>
      <c r="AH38" s="59">
        <f>$Q38-$X38</f>
        <v/>
      </c>
      <c r="AI38" s="67" t="n"/>
      <c r="AJ38" s="67" t="n"/>
    </row>
    <row r="39" ht="15" customHeight="1" s="39">
      <c r="A39" s="64" t="n"/>
      <c r="B39" s="65" t="n"/>
      <c r="C39" s="66" t="n"/>
      <c r="D39" s="66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8" t="n"/>
      <c r="P39" s="69" t="n"/>
      <c r="Q39" s="59">
        <f>IF(OR($N39="",$P39=""),0,IF($N39="CPM",$O39*$P39/1000,IF($N39="Sabit",$O39,$O39*$P39)))</f>
        <v/>
      </c>
      <c r="R39" s="61" t="n"/>
      <c r="S39" s="61" t="n"/>
      <c r="T39" s="61" t="n"/>
      <c r="U39" s="70" t="n"/>
      <c r="V39" s="67" t="n"/>
      <c r="W39" s="68" t="n"/>
      <c r="X39" s="59">
        <f>IF($V39="",0,IF(OR($V39="Fatura",$V39="Platform Raporu"),$W39,IF($R39="",0,IF($N39="CPM",$O39*$R39/1000,IF($N39="Sabit",$O39,$O39*$R39)))))</f>
        <v/>
      </c>
      <c r="Y39" s="59">
        <f>IF(OR($X39=0,$N39="Sabit"),"",IFERROR(IF($N39="CPM",$X39/$R39*1000,$X39/$R39),""))</f>
        <v/>
      </c>
      <c r="Z39" s="63">
        <f>IF($AI39&lt;&gt;"Yayınlandı","",IFERROR($R39/$P39,""))</f>
        <v/>
      </c>
      <c r="AA39" s="63">
        <f>IF($Y39="","",IFERROR($Y39/$O39-1,""))</f>
        <v/>
      </c>
      <c r="AB39" s="70" t="n"/>
      <c r="AC39" s="59">
        <f>$X39*$AB39</f>
        <v/>
      </c>
      <c r="AD39" s="70" t="n"/>
      <c r="AE39" s="59">
        <f>$X39*$AD39</f>
        <v/>
      </c>
      <c r="AF39" s="68" t="n"/>
      <c r="AG39" s="59">
        <f>$X39+$AC39+$AE39+$AF39</f>
        <v/>
      </c>
      <c r="AH39" s="59">
        <f>$Q39-$X39</f>
        <v/>
      </c>
      <c r="AI39" s="67" t="n"/>
      <c r="AJ39" s="67" t="n"/>
    </row>
    <row r="40" ht="15" customHeight="1" s="39">
      <c r="A40" s="64" t="n"/>
      <c r="B40" s="65" t="n"/>
      <c r="C40" s="66" t="n"/>
      <c r="D40" s="66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8" t="n"/>
      <c r="P40" s="69" t="n"/>
      <c r="Q40" s="59">
        <f>IF(OR($N40="",$P40=""),0,IF($N40="CPM",$O40*$P40/1000,IF($N40="Sabit",$O40,$O40*$P40)))</f>
        <v/>
      </c>
      <c r="R40" s="61" t="n"/>
      <c r="S40" s="61" t="n"/>
      <c r="T40" s="61" t="n"/>
      <c r="U40" s="70" t="n"/>
      <c r="V40" s="67" t="n"/>
      <c r="W40" s="68" t="n"/>
      <c r="X40" s="59">
        <f>IF($V40="",0,IF(OR($V40="Fatura",$V40="Platform Raporu"),$W40,IF($R40="",0,IF($N40="CPM",$O40*$R40/1000,IF($N40="Sabit",$O40,$O40*$R40)))))</f>
        <v/>
      </c>
      <c r="Y40" s="59">
        <f>IF(OR($X40=0,$N40="Sabit"),"",IFERROR(IF($N40="CPM",$X40/$R40*1000,$X40/$R40),""))</f>
        <v/>
      </c>
      <c r="Z40" s="63">
        <f>IF($AI40&lt;&gt;"Yayınlandı","",IFERROR($R40/$P40,""))</f>
        <v/>
      </c>
      <c r="AA40" s="63">
        <f>IF($Y40="","",IFERROR($Y40/$O40-1,""))</f>
        <v/>
      </c>
      <c r="AB40" s="70" t="n"/>
      <c r="AC40" s="59">
        <f>$X40*$AB40</f>
        <v/>
      </c>
      <c r="AD40" s="70" t="n"/>
      <c r="AE40" s="59">
        <f>$X40*$AD40</f>
        <v/>
      </c>
      <c r="AF40" s="68" t="n"/>
      <c r="AG40" s="59">
        <f>$X40+$AC40+$AE40+$AF40</f>
        <v/>
      </c>
      <c r="AH40" s="59">
        <f>$Q40-$X40</f>
        <v/>
      </c>
      <c r="AI40" s="67" t="n"/>
      <c r="AJ40" s="67" t="n"/>
    </row>
    <row r="41" ht="15" customHeight="1" s="39">
      <c r="A41" s="64" t="n"/>
      <c r="B41" s="65" t="n"/>
      <c r="C41" s="66" t="n"/>
      <c r="D41" s="66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8" t="n"/>
      <c r="P41" s="69" t="n"/>
      <c r="Q41" s="59">
        <f>IF(OR($N41="",$P41=""),0,IF($N41="CPM",$O41*$P41/1000,IF($N41="Sabit",$O41,$O41*$P41)))</f>
        <v/>
      </c>
      <c r="R41" s="61" t="n"/>
      <c r="S41" s="61" t="n"/>
      <c r="T41" s="61" t="n"/>
      <c r="U41" s="70" t="n"/>
      <c r="V41" s="67" t="n"/>
      <c r="W41" s="68" t="n"/>
      <c r="X41" s="59">
        <f>IF($V41="",0,IF(OR($V41="Fatura",$V41="Platform Raporu"),$W41,IF($R41="",0,IF($N41="CPM",$O41*$R41/1000,IF($N41="Sabit",$O41,$O41*$R41)))))</f>
        <v/>
      </c>
      <c r="Y41" s="59">
        <f>IF(OR($X41=0,$N41="Sabit"),"",IFERROR(IF($N41="CPM",$X41/$R41*1000,$X41/$R41),""))</f>
        <v/>
      </c>
      <c r="Z41" s="63">
        <f>IF($AI41&lt;&gt;"Yayınlandı","",IFERROR($R41/$P41,""))</f>
        <v/>
      </c>
      <c r="AA41" s="63">
        <f>IF($Y41="","",IFERROR($Y41/$O41-1,""))</f>
        <v/>
      </c>
      <c r="AB41" s="70" t="n"/>
      <c r="AC41" s="59">
        <f>$X41*$AB41</f>
        <v/>
      </c>
      <c r="AD41" s="70" t="n"/>
      <c r="AE41" s="59">
        <f>$X41*$AD41</f>
        <v/>
      </c>
      <c r="AF41" s="68" t="n"/>
      <c r="AG41" s="59">
        <f>$X41+$AC41+$AE41+$AF41</f>
        <v/>
      </c>
      <c r="AH41" s="59">
        <f>$Q41-$X41</f>
        <v/>
      </c>
      <c r="AI41" s="67" t="n"/>
      <c r="AJ41" s="67" t="n"/>
    </row>
    <row r="42" ht="15" customHeight="1" s="39">
      <c r="A42" s="64" t="n"/>
      <c r="B42" s="65" t="n"/>
      <c r="C42" s="66" t="n"/>
      <c r="D42" s="66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8" t="n"/>
      <c r="P42" s="69" t="n"/>
      <c r="Q42" s="59">
        <f>IF(OR($N42="",$P42=""),0,IF($N42="CPM",$O42*$P42/1000,IF($N42="Sabit",$O42,$O42*$P42)))</f>
        <v/>
      </c>
      <c r="R42" s="61" t="n"/>
      <c r="S42" s="61" t="n"/>
      <c r="T42" s="61" t="n"/>
      <c r="U42" s="70" t="n"/>
      <c r="V42" s="67" t="n"/>
      <c r="W42" s="68" t="n"/>
      <c r="X42" s="59">
        <f>IF($V42="",0,IF(OR($V42="Fatura",$V42="Platform Raporu"),$W42,IF($R42="",0,IF($N42="CPM",$O42*$R42/1000,IF($N42="Sabit",$O42,$O42*$R42)))))</f>
        <v/>
      </c>
      <c r="Y42" s="59">
        <f>IF(OR($X42=0,$N42="Sabit"),"",IFERROR(IF($N42="CPM",$X42/$R42*1000,$X42/$R42),""))</f>
        <v/>
      </c>
      <c r="Z42" s="63">
        <f>IF($AI42&lt;&gt;"Yayınlandı","",IFERROR($R42/$P42,""))</f>
        <v/>
      </c>
      <c r="AA42" s="63">
        <f>IF($Y42="","",IFERROR($Y42/$O42-1,""))</f>
        <v/>
      </c>
      <c r="AB42" s="70" t="n"/>
      <c r="AC42" s="59">
        <f>$X42*$AB42</f>
        <v/>
      </c>
      <c r="AD42" s="70" t="n"/>
      <c r="AE42" s="59">
        <f>$X42*$AD42</f>
        <v/>
      </c>
      <c r="AF42" s="68" t="n"/>
      <c r="AG42" s="59">
        <f>$X42+$AC42+$AE42+$AF42</f>
        <v/>
      </c>
      <c r="AH42" s="59">
        <f>$Q42-$X42</f>
        <v/>
      </c>
      <c r="AI42" s="67" t="n"/>
      <c r="AJ42" s="67" t="n"/>
    </row>
    <row r="43" ht="15" customHeight="1" s="39">
      <c r="A43" s="64" t="n"/>
      <c r="B43" s="65" t="n"/>
      <c r="C43" s="66" t="n"/>
      <c r="D43" s="66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68" t="n"/>
      <c r="P43" s="69" t="n"/>
      <c r="Q43" s="59">
        <f>IF(OR($N43="",$P43=""),0,IF($N43="CPM",$O43*$P43/1000,IF($N43="Sabit",$O43,$O43*$P43)))</f>
        <v/>
      </c>
      <c r="R43" s="61" t="n"/>
      <c r="S43" s="61" t="n"/>
      <c r="T43" s="61" t="n"/>
      <c r="U43" s="70" t="n"/>
      <c r="V43" s="67" t="n"/>
      <c r="W43" s="68" t="n"/>
      <c r="X43" s="59">
        <f>IF($V43="",0,IF(OR($V43="Fatura",$V43="Platform Raporu"),$W43,IF($R43="",0,IF($N43="CPM",$O43*$R43/1000,IF($N43="Sabit",$O43,$O43*$R43)))))</f>
        <v/>
      </c>
      <c r="Y43" s="59">
        <f>IF(OR($X43=0,$N43="Sabit"),"",IFERROR(IF($N43="CPM",$X43/$R43*1000,$X43/$R43),""))</f>
        <v/>
      </c>
      <c r="Z43" s="63">
        <f>IF($AI43&lt;&gt;"Yayınlandı","",IFERROR($R43/$P43,""))</f>
        <v/>
      </c>
      <c r="AA43" s="63">
        <f>IF($Y43="","",IFERROR($Y43/$O43-1,""))</f>
        <v/>
      </c>
      <c r="AB43" s="70" t="n"/>
      <c r="AC43" s="59">
        <f>$X43*$AB43</f>
        <v/>
      </c>
      <c r="AD43" s="70" t="n"/>
      <c r="AE43" s="59">
        <f>$X43*$AD43</f>
        <v/>
      </c>
      <c r="AF43" s="68" t="n"/>
      <c r="AG43" s="59">
        <f>$X43+$AC43+$AE43+$AF43</f>
        <v/>
      </c>
      <c r="AH43" s="59">
        <f>$Q43-$X43</f>
        <v/>
      </c>
      <c r="AI43" s="67" t="n"/>
      <c r="AJ43" s="67" t="n"/>
    </row>
    <row r="44" ht="15" customHeight="1" s="39">
      <c r="A44" s="64" t="n"/>
      <c r="B44" s="65" t="n"/>
      <c r="C44" s="66" t="n"/>
      <c r="D44" s="66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8" t="n"/>
      <c r="P44" s="69" t="n"/>
      <c r="Q44" s="59">
        <f>IF(OR($N44="",$P44=""),0,IF($N44="CPM",$O44*$P44/1000,IF($N44="Sabit",$O44,$O44*$P44)))</f>
        <v/>
      </c>
      <c r="R44" s="61" t="n"/>
      <c r="S44" s="61" t="n"/>
      <c r="T44" s="61" t="n"/>
      <c r="U44" s="70" t="n"/>
      <c r="V44" s="67" t="n"/>
      <c r="W44" s="68" t="n"/>
      <c r="X44" s="59">
        <f>IF($V44="",0,IF(OR($V44="Fatura",$V44="Platform Raporu"),$W44,IF($R44="",0,IF($N44="CPM",$O44*$R44/1000,IF($N44="Sabit",$O44,$O44*$R44)))))</f>
        <v/>
      </c>
      <c r="Y44" s="59">
        <f>IF(OR($X44=0,$N44="Sabit"),"",IFERROR(IF($N44="CPM",$X44/$R44*1000,$X44/$R44),""))</f>
        <v/>
      </c>
      <c r="Z44" s="63">
        <f>IF($AI44&lt;&gt;"Yayınlandı","",IFERROR($R44/$P44,""))</f>
        <v/>
      </c>
      <c r="AA44" s="63">
        <f>IF($Y44="","",IFERROR($Y44/$O44-1,""))</f>
        <v/>
      </c>
      <c r="AB44" s="70" t="n"/>
      <c r="AC44" s="59">
        <f>$X44*$AB44</f>
        <v/>
      </c>
      <c r="AD44" s="70" t="n"/>
      <c r="AE44" s="59">
        <f>$X44*$AD44</f>
        <v/>
      </c>
      <c r="AF44" s="68" t="n"/>
      <c r="AG44" s="59">
        <f>$X44+$AC44+$AE44+$AF44</f>
        <v/>
      </c>
      <c r="AH44" s="59">
        <f>$Q44-$X44</f>
        <v/>
      </c>
      <c r="AI44" s="67" t="n"/>
      <c r="AJ44" s="67" t="n"/>
    </row>
    <row r="45" ht="15" customHeight="1" s="39">
      <c r="A45" s="64" t="n"/>
      <c r="B45" s="65" t="n"/>
      <c r="C45" s="66" t="n"/>
      <c r="D45" s="66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8" t="n"/>
      <c r="P45" s="69" t="n"/>
      <c r="Q45" s="59">
        <f>IF(OR($N45="",$P45=""),0,IF($N45="CPM",$O45*$P45/1000,IF($N45="Sabit",$O45,$O45*$P45)))</f>
        <v/>
      </c>
      <c r="R45" s="61" t="n"/>
      <c r="S45" s="61" t="n"/>
      <c r="T45" s="61" t="n"/>
      <c r="U45" s="70" t="n"/>
      <c r="V45" s="67" t="n"/>
      <c r="W45" s="68" t="n"/>
      <c r="X45" s="59">
        <f>IF($V45="",0,IF(OR($V45="Fatura",$V45="Platform Raporu"),$W45,IF($R45="",0,IF($N45="CPM",$O45*$R45/1000,IF($N45="Sabit",$O45,$O45*$R45)))))</f>
        <v/>
      </c>
      <c r="Y45" s="59">
        <f>IF(OR($X45=0,$N45="Sabit"),"",IFERROR(IF($N45="CPM",$X45/$R45*1000,$X45/$R45),""))</f>
        <v/>
      </c>
      <c r="Z45" s="63">
        <f>IF($AI45&lt;&gt;"Yayınlandı","",IFERROR($R45/$P45,""))</f>
        <v/>
      </c>
      <c r="AA45" s="63">
        <f>IF($Y45="","",IFERROR($Y45/$O45-1,""))</f>
        <v/>
      </c>
      <c r="AB45" s="70" t="n"/>
      <c r="AC45" s="59">
        <f>$X45*$AB45</f>
        <v/>
      </c>
      <c r="AD45" s="70" t="n"/>
      <c r="AE45" s="59">
        <f>$X45*$AD45</f>
        <v/>
      </c>
      <c r="AF45" s="68" t="n"/>
      <c r="AG45" s="59">
        <f>$X45+$AC45+$AE45+$AF45</f>
        <v/>
      </c>
      <c r="AH45" s="59">
        <f>$Q45-$X45</f>
        <v/>
      </c>
      <c r="AI45" s="67" t="n"/>
      <c r="AJ45" s="67" t="n"/>
    </row>
    <row r="46" ht="15" customHeight="1" s="39">
      <c r="A46" s="64" t="n"/>
      <c r="B46" s="65" t="n"/>
      <c r="C46" s="66" t="n"/>
      <c r="D46" s="66" t="n"/>
      <c r="E46" s="67" t="n"/>
      <c r="F46" s="67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68" t="n"/>
      <c r="P46" s="69" t="n"/>
      <c r="Q46" s="59">
        <f>IF(OR($N46="",$P46=""),0,IF($N46="CPM",$O46*$P46/1000,IF($N46="Sabit",$O46,$O46*$P46)))</f>
        <v/>
      </c>
      <c r="R46" s="61" t="n"/>
      <c r="S46" s="61" t="n"/>
      <c r="T46" s="61" t="n"/>
      <c r="U46" s="70" t="n"/>
      <c r="V46" s="67" t="n"/>
      <c r="W46" s="68" t="n"/>
      <c r="X46" s="59">
        <f>IF($V46="",0,IF(OR($V46="Fatura",$V46="Platform Raporu"),$W46,IF($R46="",0,IF($N46="CPM",$O46*$R46/1000,IF($N46="Sabit",$O46,$O46*$R46)))))</f>
        <v/>
      </c>
      <c r="Y46" s="59">
        <f>IF(OR($X46=0,$N46="Sabit"),"",IFERROR(IF($N46="CPM",$X46/$R46*1000,$X46/$R46),""))</f>
        <v/>
      </c>
      <c r="Z46" s="63">
        <f>IF($AI46&lt;&gt;"Yayınlandı","",IFERROR($R46/$P46,""))</f>
        <v/>
      </c>
      <c r="AA46" s="63">
        <f>IF($Y46="","",IFERROR($Y46/$O46-1,""))</f>
        <v/>
      </c>
      <c r="AB46" s="70" t="n"/>
      <c r="AC46" s="59">
        <f>$X46*$AB46</f>
        <v/>
      </c>
      <c r="AD46" s="70" t="n"/>
      <c r="AE46" s="59">
        <f>$X46*$AD46</f>
        <v/>
      </c>
      <c r="AF46" s="68" t="n"/>
      <c r="AG46" s="59">
        <f>$X46+$AC46+$AE46+$AF46</f>
        <v/>
      </c>
      <c r="AH46" s="59">
        <f>$Q46-$X46</f>
        <v/>
      </c>
      <c r="AI46" s="67" t="n"/>
      <c r="AJ46" s="67" t="n"/>
    </row>
    <row r="47" ht="15" customHeight="1" s="39">
      <c r="A47" s="64" t="n"/>
      <c r="B47" s="65" t="n"/>
      <c r="C47" s="66" t="n"/>
      <c r="D47" s="66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8" t="n"/>
      <c r="P47" s="69" t="n"/>
      <c r="Q47" s="59">
        <f>IF(OR($N47="",$P47=""),0,IF($N47="CPM",$O47*$P47/1000,IF($N47="Sabit",$O47,$O47*$P47)))</f>
        <v/>
      </c>
      <c r="R47" s="61" t="n"/>
      <c r="S47" s="61" t="n"/>
      <c r="T47" s="61" t="n"/>
      <c r="U47" s="70" t="n"/>
      <c r="V47" s="67" t="n"/>
      <c r="W47" s="68" t="n"/>
      <c r="X47" s="59">
        <f>IF($V47="",0,IF(OR($V47="Fatura",$V47="Platform Raporu"),$W47,IF($R47="",0,IF($N47="CPM",$O47*$R47/1000,IF($N47="Sabit",$O47,$O47*$R47)))))</f>
        <v/>
      </c>
      <c r="Y47" s="59">
        <f>IF(OR($X47=0,$N47="Sabit"),"",IFERROR(IF($N47="CPM",$X47/$R47*1000,$X47/$R47),""))</f>
        <v/>
      </c>
      <c r="Z47" s="63">
        <f>IF($AI47&lt;&gt;"Yayınlandı","",IFERROR($R47/$P47,""))</f>
        <v/>
      </c>
      <c r="AA47" s="63">
        <f>IF($Y47="","",IFERROR($Y47/$O47-1,""))</f>
        <v/>
      </c>
      <c r="AB47" s="70" t="n"/>
      <c r="AC47" s="59">
        <f>$X47*$AB47</f>
        <v/>
      </c>
      <c r="AD47" s="70" t="n"/>
      <c r="AE47" s="59">
        <f>$X47*$AD47</f>
        <v/>
      </c>
      <c r="AF47" s="68" t="n"/>
      <c r="AG47" s="59">
        <f>$X47+$AC47+$AE47+$AF47</f>
        <v/>
      </c>
      <c r="AH47" s="59">
        <f>$Q47-$X47</f>
        <v/>
      </c>
      <c r="AI47" s="67" t="n"/>
      <c r="AJ47" s="67" t="n"/>
    </row>
    <row r="48" ht="15" customHeight="1" s="39">
      <c r="A48" s="64" t="n"/>
      <c r="B48" s="65" t="n"/>
      <c r="C48" s="66" t="n"/>
      <c r="D48" s="66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8" t="n"/>
      <c r="P48" s="69" t="n"/>
      <c r="Q48" s="59">
        <f>IF(OR($N48="",$P48=""),0,IF($N48="CPM",$O48*$P48/1000,IF($N48="Sabit",$O48,$O48*$P48)))</f>
        <v/>
      </c>
      <c r="R48" s="61" t="n"/>
      <c r="S48" s="61" t="n"/>
      <c r="T48" s="61" t="n"/>
      <c r="U48" s="70" t="n"/>
      <c r="V48" s="67" t="n"/>
      <c r="W48" s="68" t="n"/>
      <c r="X48" s="59">
        <f>IF($V48="",0,IF(OR($V48="Fatura",$V48="Platform Raporu"),$W48,IF($R48="",0,IF($N48="CPM",$O48*$R48/1000,IF($N48="Sabit",$O48,$O48*$R48)))))</f>
        <v/>
      </c>
      <c r="Y48" s="59">
        <f>IF(OR($X48=0,$N48="Sabit"),"",IFERROR(IF($N48="CPM",$X48/$R48*1000,$X48/$R48),""))</f>
        <v/>
      </c>
      <c r="Z48" s="63">
        <f>IF($AI48&lt;&gt;"Yayınlandı","",IFERROR($R48/$P48,""))</f>
        <v/>
      </c>
      <c r="AA48" s="63">
        <f>IF($Y48="","",IFERROR($Y48/$O48-1,""))</f>
        <v/>
      </c>
      <c r="AB48" s="70" t="n"/>
      <c r="AC48" s="59">
        <f>$X48*$AB48</f>
        <v/>
      </c>
      <c r="AD48" s="70" t="n"/>
      <c r="AE48" s="59">
        <f>$X48*$AD48</f>
        <v/>
      </c>
      <c r="AF48" s="68" t="n"/>
      <c r="AG48" s="59">
        <f>$X48+$AC48+$AE48+$AF48</f>
        <v/>
      </c>
      <c r="AH48" s="59">
        <f>$Q48-$X48</f>
        <v/>
      </c>
      <c r="AI48" s="67" t="n"/>
      <c r="AJ48" s="67" t="n"/>
    </row>
    <row r="49" ht="15" customHeight="1" s="39">
      <c r="A49" s="64" t="n"/>
      <c r="B49" s="65" t="n"/>
      <c r="C49" s="66" t="n"/>
      <c r="D49" s="66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8" t="n"/>
      <c r="P49" s="69" t="n"/>
      <c r="Q49" s="59">
        <f>IF(OR($N49="",$P49=""),0,IF($N49="CPM",$O49*$P49/1000,IF($N49="Sabit",$O49,$O49*$P49)))</f>
        <v/>
      </c>
      <c r="R49" s="61" t="n"/>
      <c r="S49" s="61" t="n"/>
      <c r="T49" s="61" t="n"/>
      <c r="U49" s="70" t="n"/>
      <c r="V49" s="67" t="n"/>
      <c r="W49" s="68" t="n"/>
      <c r="X49" s="59">
        <f>IF($V49="",0,IF(OR($V49="Fatura",$V49="Platform Raporu"),$W49,IF($R49="",0,IF($N49="CPM",$O49*$R49/1000,IF($N49="Sabit",$O49,$O49*$R49)))))</f>
        <v/>
      </c>
      <c r="Y49" s="59">
        <f>IF(OR($X49=0,$N49="Sabit"),"",IFERROR(IF($N49="CPM",$X49/$R49*1000,$X49/$R49),""))</f>
        <v/>
      </c>
      <c r="Z49" s="63">
        <f>IF($AI49&lt;&gt;"Yayınlandı","",IFERROR($R49/$P49,""))</f>
        <v/>
      </c>
      <c r="AA49" s="63">
        <f>IF($Y49="","",IFERROR($Y49/$O49-1,""))</f>
        <v/>
      </c>
      <c r="AB49" s="70" t="n"/>
      <c r="AC49" s="59">
        <f>$X49*$AB49</f>
        <v/>
      </c>
      <c r="AD49" s="70" t="n"/>
      <c r="AE49" s="59">
        <f>$X49*$AD49</f>
        <v/>
      </c>
      <c r="AF49" s="68" t="n"/>
      <c r="AG49" s="59">
        <f>$X49+$AC49+$AE49+$AF49</f>
        <v/>
      </c>
      <c r="AH49" s="59">
        <f>$Q49-$X49</f>
        <v/>
      </c>
      <c r="AI49" s="67" t="n"/>
      <c r="AJ49" s="67" t="n"/>
    </row>
    <row r="50" ht="15" customHeight="1" s="39">
      <c r="A50" s="64" t="n"/>
      <c r="B50" s="65" t="n"/>
      <c r="C50" s="66" t="n"/>
      <c r="D50" s="66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8" t="n"/>
      <c r="P50" s="69" t="n"/>
      <c r="Q50" s="59">
        <f>IF(OR($N50="",$P50=""),0,IF($N50="CPM",$O50*$P50/1000,IF($N50="Sabit",$O50,$O50*$P50)))</f>
        <v/>
      </c>
      <c r="R50" s="61" t="n"/>
      <c r="S50" s="61" t="n"/>
      <c r="T50" s="61" t="n"/>
      <c r="U50" s="70" t="n"/>
      <c r="V50" s="67" t="n"/>
      <c r="W50" s="68" t="n"/>
      <c r="X50" s="59">
        <f>IF($V50="",0,IF(OR($V50="Fatura",$V50="Platform Raporu"),$W50,IF($R50="",0,IF($N50="CPM",$O50*$R50/1000,IF($N50="Sabit",$O50,$O50*$R50)))))</f>
        <v/>
      </c>
      <c r="Y50" s="59">
        <f>IF(OR($X50=0,$N50="Sabit"),"",IFERROR(IF($N50="CPM",$X50/$R50*1000,$X50/$R50),""))</f>
        <v/>
      </c>
      <c r="Z50" s="63">
        <f>IF($AI50&lt;&gt;"Yayınlandı","",IFERROR($R50/$P50,""))</f>
        <v/>
      </c>
      <c r="AA50" s="63">
        <f>IF($Y50="","",IFERROR($Y50/$O50-1,""))</f>
        <v/>
      </c>
      <c r="AB50" s="70" t="n"/>
      <c r="AC50" s="59">
        <f>$X50*$AB50</f>
        <v/>
      </c>
      <c r="AD50" s="70" t="n"/>
      <c r="AE50" s="59">
        <f>$X50*$AD50</f>
        <v/>
      </c>
      <c r="AF50" s="68" t="n"/>
      <c r="AG50" s="59">
        <f>$X50+$AC50+$AE50+$AF50</f>
        <v/>
      </c>
      <c r="AH50" s="59">
        <f>$Q50-$X50</f>
        <v/>
      </c>
      <c r="AI50" s="67" t="n"/>
      <c r="AJ50" s="67" t="n"/>
    </row>
    <row r="51" ht="15" customHeight="1" s="39">
      <c r="A51" s="64" t="n"/>
      <c r="B51" s="65" t="n"/>
      <c r="C51" s="66" t="n"/>
      <c r="D51" s="66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7" t="n"/>
      <c r="O51" s="68" t="n"/>
      <c r="P51" s="69" t="n"/>
      <c r="Q51" s="59">
        <f>IF(OR($N51="",$P51=""),0,IF($N51="CPM",$O51*$P51/1000,IF($N51="Sabit",$O51,$O51*$P51)))</f>
        <v/>
      </c>
      <c r="R51" s="61" t="n"/>
      <c r="S51" s="61" t="n"/>
      <c r="T51" s="61" t="n"/>
      <c r="U51" s="70" t="n"/>
      <c r="V51" s="67" t="n"/>
      <c r="W51" s="68" t="n"/>
      <c r="X51" s="59">
        <f>IF($V51="",0,IF(OR($V51="Fatura",$V51="Platform Raporu"),$W51,IF($R51="",0,IF($N51="CPM",$O51*$R51/1000,IF($N51="Sabit",$O51,$O51*$R51)))))</f>
        <v/>
      </c>
      <c r="Y51" s="59">
        <f>IF(OR($X51=0,$N51="Sabit"),"",IFERROR(IF($N51="CPM",$X51/$R51*1000,$X51/$R51),""))</f>
        <v/>
      </c>
      <c r="Z51" s="63">
        <f>IF($AI51&lt;&gt;"Yayınlandı","",IFERROR($R51/$P51,""))</f>
        <v/>
      </c>
      <c r="AA51" s="63">
        <f>IF($Y51="","",IFERROR($Y51/$O51-1,""))</f>
        <v/>
      </c>
      <c r="AB51" s="70" t="n"/>
      <c r="AC51" s="59">
        <f>$X51*$AB51</f>
        <v/>
      </c>
      <c r="AD51" s="70" t="n"/>
      <c r="AE51" s="59">
        <f>$X51*$AD51</f>
        <v/>
      </c>
      <c r="AF51" s="68" t="n"/>
      <c r="AG51" s="59">
        <f>$X51+$AC51+$AE51+$AF51</f>
        <v/>
      </c>
      <c r="AH51" s="59">
        <f>$Q51-$X51</f>
        <v/>
      </c>
      <c r="AI51" s="67" t="n"/>
      <c r="AJ51" s="67" t="n"/>
    </row>
    <row r="52" ht="15" customHeight="1" s="39">
      <c r="A52" s="64" t="n"/>
      <c r="B52" s="65" t="n"/>
      <c r="C52" s="66" t="n"/>
      <c r="D52" s="66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8" t="n"/>
      <c r="P52" s="69" t="n"/>
      <c r="Q52" s="59">
        <f>IF(OR($N52="",$P52=""),0,IF($N52="CPM",$O52*$P52/1000,IF($N52="Sabit",$O52,$O52*$P52)))</f>
        <v/>
      </c>
      <c r="R52" s="61" t="n"/>
      <c r="S52" s="61" t="n"/>
      <c r="T52" s="61" t="n"/>
      <c r="U52" s="70" t="n"/>
      <c r="V52" s="67" t="n"/>
      <c r="W52" s="68" t="n"/>
      <c r="X52" s="59">
        <f>IF($V52="",0,IF(OR($V52="Fatura",$V52="Platform Raporu"),$W52,IF($R52="",0,IF($N52="CPM",$O52*$R52/1000,IF($N52="Sabit",$O52,$O52*$R52)))))</f>
        <v/>
      </c>
      <c r="Y52" s="59">
        <f>IF(OR($X52=0,$N52="Sabit"),"",IFERROR(IF($N52="CPM",$X52/$R52*1000,$X52/$R52),""))</f>
        <v/>
      </c>
      <c r="Z52" s="63">
        <f>IF($AI52&lt;&gt;"Yayınlandı","",IFERROR($R52/$P52,""))</f>
        <v/>
      </c>
      <c r="AA52" s="63">
        <f>IF($Y52="","",IFERROR($Y52/$O52-1,""))</f>
        <v/>
      </c>
      <c r="AB52" s="70" t="n"/>
      <c r="AC52" s="59">
        <f>$X52*$AB52</f>
        <v/>
      </c>
      <c r="AD52" s="70" t="n"/>
      <c r="AE52" s="59">
        <f>$X52*$AD52</f>
        <v/>
      </c>
      <c r="AF52" s="68" t="n"/>
      <c r="AG52" s="59">
        <f>$X52+$AC52+$AE52+$AF52</f>
        <v/>
      </c>
      <c r="AH52" s="59">
        <f>$Q52-$X52</f>
        <v/>
      </c>
      <c r="AI52" s="67" t="n"/>
      <c r="AJ52" s="67" t="n"/>
    </row>
  </sheetData>
  <autoFilter ref="A2:AJ52"/>
  <dataValidations count="7">
    <dataValidation sqref="E3:E52" showDropDown="0" showInputMessage="0" showErrorMessage="0" allowBlank="1" type="list" errorStyle="stop" operator="between">
      <formula1>Listeler!$E$2:$E$40</formula1>
      <formula2>0</formula2>
    </dataValidation>
    <dataValidation sqref="F3:F52" showDropDown="0" showInputMessage="0" showErrorMessage="0" allowBlank="1" type="list" errorStyle="stop" operator="between">
      <formula1>Listeler!$I$2:$I$40</formula1>
      <formula2>0</formula2>
    </dataValidation>
    <dataValidation sqref="J3:J52" showDropDown="0" showInputMessage="0" showErrorMessage="0" allowBlank="1" type="list" errorStyle="stop" operator="between">
      <formula1>Listeler!$H$2:$H$40</formula1>
      <formula2>0</formula2>
    </dataValidation>
    <dataValidation sqref="K3:K52" showDropDown="0" showInputMessage="0" showErrorMessage="0" allowBlank="1" type="list" errorStyle="stop" operator="between">
      <formula1>Listeler!$G$2:$G$40</formula1>
      <formula2>0</formula2>
    </dataValidation>
    <dataValidation sqref="N3:N52" showDropDown="0" showInputMessage="0" showErrorMessage="0" allowBlank="1" type="list" errorStyle="stop" operator="between">
      <formula1>Listeler!$A$2:$A$40</formula1>
      <formula2>0</formula2>
    </dataValidation>
    <dataValidation sqref="V3:V52" showDropDown="0" showInputMessage="0" showErrorMessage="0" allowBlank="1" type="list" errorStyle="stop" operator="between">
      <formula1>Listeler!$B$2:$B$40</formula1>
      <formula2>0</formula2>
    </dataValidation>
    <dataValidation sqref="AI3:AI52" showDropDown="0" showInputMessage="0" showErrorMessage="0" allowBlank="1" type="list" errorStyle="stop" operator="between">
      <formula1>Listeler!$C$2:$C$40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H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38" min="2" max="2"/>
    <col width="16" customWidth="1" style="38" min="3" max="6"/>
    <col width="14" customWidth="1" style="38" min="7" max="8"/>
  </cols>
  <sheetData>
    <row r="2" ht="16.15" customHeight="1" s="39">
      <c r="B2" s="40" t="inlineStr">
        <is>
          <t>ÖZET — kendiliğinden hesaplanır, elle bir şey yazmayın</t>
        </is>
      </c>
    </row>
    <row r="4" ht="15" customHeight="1" s="39">
      <c r="B4" s="41" t="inlineStr">
        <is>
          <t>Not: gösterim, izlenme ve tıklama farklı şeylerdir, alt alta toplanmaz. Adetler bu yüzden sadece fiyat tipine göre verilir.</t>
        </is>
      </c>
    </row>
    <row r="6" ht="15" customHeight="1" s="39">
      <c r="B6" s="46" t="inlineStr">
        <is>
          <t>FİYAT TİPİNE GÖRE</t>
        </is>
      </c>
    </row>
    <row r="7" ht="22.35" customHeight="1" s="39">
      <c r="B7" s="71" t="inlineStr">
        <is>
          <t>Fiyat tipi</t>
        </is>
      </c>
      <c r="C7" s="71" t="inlineStr">
        <is>
          <t>Planlanan adet</t>
        </is>
      </c>
      <c r="D7" s="71" t="inlineStr">
        <is>
          <t>Gerçekleşen adet</t>
        </is>
      </c>
      <c r="E7" s="71" t="inlineStr">
        <is>
          <t>Yayınlanma oranı</t>
        </is>
      </c>
      <c r="F7" s="71" t="inlineStr">
        <is>
          <t>Planlanan tutar</t>
        </is>
      </c>
      <c r="G7" s="71" t="inlineStr">
        <is>
          <t>Gerçekleşen tutar</t>
        </is>
      </c>
      <c r="H7" s="71" t="inlineStr">
        <is>
          <t>Fiyat farkı</t>
        </is>
      </c>
    </row>
    <row r="8" ht="15" customHeight="1" s="39">
      <c r="B8" s="72" t="inlineStr">
        <is>
          <t>CPM</t>
        </is>
      </c>
      <c r="C8" s="73">
        <f>SUMIFS('Plan ve Gerçekleşen'!$P$3:$P$52,'Plan ve Gerçekleşen'!$N$3:$N$52,$B8,'Plan ve Gerçekleşen'!$AI$3:$AI$52,"Yayınlandı")</f>
        <v/>
      </c>
      <c r="D8" s="73">
        <f>SUMIFS('Plan ve Gerçekleşen'!$R$3:$R$52,'Plan ve Gerçekleşen'!$N$3:$N$52,$B8,'Plan ve Gerçekleşen'!$AI$3:$AI$52,"Yayınlandı")</f>
        <v/>
      </c>
      <c r="E8" s="74">
        <f>IFERROR($D8/$C8,"")</f>
        <v/>
      </c>
      <c r="F8" s="73">
        <f>SUMIFS('Plan ve Gerçekleşen'!$Q$3:$Q$52,'Plan ve Gerçekleşen'!$N$3:$N$52,$B8)</f>
        <v/>
      </c>
      <c r="G8" s="73">
        <f>SUMIFS('Plan ve Gerçekleşen'!$X$3:$X$52,'Plan ve Gerçekleşen'!$N$3:$N$52,$B8)</f>
        <v/>
      </c>
      <c r="H8" s="74">
        <f>IFERROR((SUMIFS('Plan ve Gerçekleşen'!$X$3:$X$52,'Plan ve Gerçekleşen'!$N$3:$N$52,$B8,'Plan ve Gerçekleşen'!$AI$3:$AI$52,"Yayınlandı")/SUMIFS('Plan ve Gerçekleşen'!$R$3:$R$52,'Plan ve Gerçekleşen'!$N$3:$N$52,$B8,'Plan ve Gerçekleşen'!$AI$3:$AI$52,"Yayınlandı"))/(SUMIFS('Plan ve Gerçekleşen'!$Q$3:$Q$52,'Plan ve Gerçekleşen'!$N$3:$N$52,$B8,'Plan ve Gerçekleşen'!$AI$3:$AI$52,"Yayınlandı")/SUMIFS('Plan ve Gerçekleşen'!$P$3:$P$52,'Plan ve Gerçekleşen'!$N$3:$N$52,$B8,'Plan ve Gerçekleşen'!$AI$3:$AI$52,"Yayınlandı"))-1,"")</f>
        <v/>
      </c>
    </row>
    <row r="9" ht="15" customHeight="1" s="39">
      <c r="B9" s="72" t="inlineStr">
        <is>
          <t>CPV</t>
        </is>
      </c>
      <c r="C9" s="73">
        <f>SUMIFS('Plan ve Gerçekleşen'!$P$3:$P$52,'Plan ve Gerçekleşen'!$N$3:$N$52,$B9,'Plan ve Gerçekleşen'!$AI$3:$AI$52,"Yayınlandı")</f>
        <v/>
      </c>
      <c r="D9" s="73">
        <f>SUMIFS('Plan ve Gerçekleşen'!$R$3:$R$52,'Plan ve Gerçekleşen'!$N$3:$N$52,$B9,'Plan ve Gerçekleşen'!$AI$3:$AI$52,"Yayınlandı")</f>
        <v/>
      </c>
      <c r="E9" s="74">
        <f>IFERROR($D9/$C9,"")</f>
        <v/>
      </c>
      <c r="F9" s="73">
        <f>SUMIFS('Plan ve Gerçekleşen'!$Q$3:$Q$52,'Plan ve Gerçekleşen'!$N$3:$N$52,$B9)</f>
        <v/>
      </c>
      <c r="G9" s="73">
        <f>SUMIFS('Plan ve Gerçekleşen'!$X$3:$X$52,'Plan ve Gerçekleşen'!$N$3:$N$52,$B9)</f>
        <v/>
      </c>
      <c r="H9" s="74">
        <f>IFERROR((SUMIFS('Plan ve Gerçekleşen'!$X$3:$X$52,'Plan ve Gerçekleşen'!$N$3:$N$52,$B9,'Plan ve Gerçekleşen'!$AI$3:$AI$52,"Yayınlandı")/SUMIFS('Plan ve Gerçekleşen'!$R$3:$R$52,'Plan ve Gerçekleşen'!$N$3:$N$52,$B9,'Plan ve Gerçekleşen'!$AI$3:$AI$52,"Yayınlandı"))/(SUMIFS('Plan ve Gerçekleşen'!$Q$3:$Q$52,'Plan ve Gerçekleşen'!$N$3:$N$52,$B9,'Plan ve Gerçekleşen'!$AI$3:$AI$52,"Yayınlandı")/SUMIFS('Plan ve Gerçekleşen'!$P$3:$P$52,'Plan ve Gerçekleşen'!$N$3:$N$52,$B9,'Plan ve Gerçekleşen'!$AI$3:$AI$52,"Yayınlandı"))-1,"")</f>
        <v/>
      </c>
    </row>
    <row r="10" ht="15" customHeight="1" s="39">
      <c r="B10" s="72" t="inlineStr">
        <is>
          <t>CPC</t>
        </is>
      </c>
      <c r="C10" s="73">
        <f>SUMIFS('Plan ve Gerçekleşen'!$P$3:$P$52,'Plan ve Gerçekleşen'!$N$3:$N$52,$B10,'Plan ve Gerçekleşen'!$AI$3:$AI$52,"Yayınlandı")</f>
        <v/>
      </c>
      <c r="D10" s="73">
        <f>SUMIFS('Plan ve Gerçekleşen'!$R$3:$R$52,'Plan ve Gerçekleşen'!$N$3:$N$52,$B10,'Plan ve Gerçekleşen'!$AI$3:$AI$52,"Yayınlandı")</f>
        <v/>
      </c>
      <c r="E10" s="74">
        <f>IFERROR($D10/$C10,"")</f>
        <v/>
      </c>
      <c r="F10" s="73">
        <f>SUMIFS('Plan ve Gerçekleşen'!$Q$3:$Q$52,'Plan ve Gerçekleşen'!$N$3:$N$52,$B10)</f>
        <v/>
      </c>
      <c r="G10" s="73">
        <f>SUMIFS('Plan ve Gerçekleşen'!$X$3:$X$52,'Plan ve Gerçekleşen'!$N$3:$N$52,$B10)</f>
        <v/>
      </c>
      <c r="H10" s="74">
        <f>IFERROR((SUMIFS('Plan ve Gerçekleşen'!$X$3:$X$52,'Plan ve Gerçekleşen'!$N$3:$N$52,$B10,'Plan ve Gerçekleşen'!$AI$3:$AI$52,"Yayınlandı")/SUMIFS('Plan ve Gerçekleşen'!$R$3:$R$52,'Plan ve Gerçekleşen'!$N$3:$N$52,$B10,'Plan ve Gerçekleşen'!$AI$3:$AI$52,"Yayınlandı"))/(SUMIFS('Plan ve Gerçekleşen'!$Q$3:$Q$52,'Plan ve Gerçekleşen'!$N$3:$N$52,$B10,'Plan ve Gerçekleşen'!$AI$3:$AI$52,"Yayınlandı")/SUMIFS('Plan ve Gerçekleşen'!$P$3:$P$52,'Plan ve Gerçekleşen'!$N$3:$N$52,$B10,'Plan ve Gerçekleşen'!$AI$3:$AI$52,"Yayınlandı"))-1,"")</f>
        <v/>
      </c>
    </row>
    <row r="11" ht="15" customHeight="1" s="39">
      <c r="B11" s="72" t="inlineStr">
        <is>
          <t>CPL</t>
        </is>
      </c>
      <c r="C11" s="73">
        <f>SUMIFS('Plan ve Gerçekleşen'!$P$3:$P$52,'Plan ve Gerçekleşen'!$N$3:$N$52,$B11,'Plan ve Gerçekleşen'!$AI$3:$AI$52,"Yayınlandı")</f>
        <v/>
      </c>
      <c r="D11" s="73">
        <f>SUMIFS('Plan ve Gerçekleşen'!$R$3:$R$52,'Plan ve Gerçekleşen'!$N$3:$N$52,$B11,'Plan ve Gerçekleşen'!$AI$3:$AI$52,"Yayınlandı")</f>
        <v/>
      </c>
      <c r="E11" s="74">
        <f>IFERROR($D11/$C11,"")</f>
        <v/>
      </c>
      <c r="F11" s="73">
        <f>SUMIFS('Plan ve Gerçekleşen'!$Q$3:$Q$52,'Plan ve Gerçekleşen'!$N$3:$N$52,$B11)</f>
        <v/>
      </c>
      <c r="G11" s="73">
        <f>SUMIFS('Plan ve Gerçekleşen'!$X$3:$X$52,'Plan ve Gerçekleşen'!$N$3:$N$52,$B11)</f>
        <v/>
      </c>
      <c r="H11" s="74">
        <f>IFERROR((SUMIFS('Plan ve Gerçekleşen'!$X$3:$X$52,'Plan ve Gerçekleşen'!$N$3:$N$52,$B11,'Plan ve Gerçekleşen'!$AI$3:$AI$52,"Yayınlandı")/SUMIFS('Plan ve Gerçekleşen'!$R$3:$R$52,'Plan ve Gerçekleşen'!$N$3:$N$52,$B11,'Plan ve Gerçekleşen'!$AI$3:$AI$52,"Yayınlandı"))/(SUMIFS('Plan ve Gerçekleşen'!$Q$3:$Q$52,'Plan ve Gerçekleşen'!$N$3:$N$52,$B11,'Plan ve Gerçekleşen'!$AI$3:$AI$52,"Yayınlandı")/SUMIFS('Plan ve Gerçekleşen'!$P$3:$P$52,'Plan ve Gerçekleşen'!$N$3:$N$52,$B11,'Plan ve Gerçekleşen'!$AI$3:$AI$52,"Yayınlandı"))-1,"")</f>
        <v/>
      </c>
    </row>
    <row r="12" ht="15" customHeight="1" s="39">
      <c r="B12" s="72" t="inlineStr">
        <is>
          <t>CPCV</t>
        </is>
      </c>
      <c r="C12" s="73">
        <f>SUMIFS('Plan ve Gerçekleşen'!$P$3:$P$52,'Plan ve Gerçekleşen'!$N$3:$N$52,$B12,'Plan ve Gerçekleşen'!$AI$3:$AI$52,"Yayınlandı")</f>
        <v/>
      </c>
      <c r="D12" s="73">
        <f>SUMIFS('Plan ve Gerçekleşen'!$R$3:$R$52,'Plan ve Gerçekleşen'!$N$3:$N$52,$B12,'Plan ve Gerçekleşen'!$AI$3:$AI$52,"Yayınlandı")</f>
        <v/>
      </c>
      <c r="E12" s="74">
        <f>IFERROR($D12/$C12,"")</f>
        <v/>
      </c>
      <c r="F12" s="73">
        <f>SUMIFS('Plan ve Gerçekleşen'!$Q$3:$Q$52,'Plan ve Gerçekleşen'!$N$3:$N$52,$B12)</f>
        <v/>
      </c>
      <c r="G12" s="73">
        <f>SUMIFS('Plan ve Gerçekleşen'!$X$3:$X$52,'Plan ve Gerçekleşen'!$N$3:$N$52,$B12)</f>
        <v/>
      </c>
      <c r="H12" s="74">
        <f>IFERROR((SUMIFS('Plan ve Gerçekleşen'!$X$3:$X$52,'Plan ve Gerçekleşen'!$N$3:$N$52,$B12,'Plan ve Gerçekleşen'!$AI$3:$AI$52,"Yayınlandı")/SUMIFS('Plan ve Gerçekleşen'!$R$3:$R$52,'Plan ve Gerçekleşen'!$N$3:$N$52,$B12,'Plan ve Gerçekleşen'!$AI$3:$AI$52,"Yayınlandı"))/(SUMIFS('Plan ve Gerçekleşen'!$Q$3:$Q$52,'Plan ve Gerçekleşen'!$N$3:$N$52,$B12,'Plan ve Gerçekleşen'!$AI$3:$AI$52,"Yayınlandı")/SUMIFS('Plan ve Gerçekleşen'!$P$3:$P$52,'Plan ve Gerçekleşen'!$N$3:$N$52,$B12,'Plan ve Gerçekleşen'!$AI$3:$AI$52,"Yayınlandı"))-1,"")</f>
        <v/>
      </c>
    </row>
    <row r="13" ht="15" customHeight="1" s="39">
      <c r="B13" s="72" t="inlineStr">
        <is>
          <t>Sabit</t>
        </is>
      </c>
      <c r="C13" s="73">
        <f>SUMIFS('Plan ve Gerçekleşen'!$P$3:$P$52,'Plan ve Gerçekleşen'!$N$3:$N$52,$B13,'Plan ve Gerçekleşen'!$AI$3:$AI$52,"Yayınlandı")</f>
        <v/>
      </c>
      <c r="D13" s="73">
        <f>SUMIFS('Plan ve Gerçekleşen'!$R$3:$R$52,'Plan ve Gerçekleşen'!$N$3:$N$52,$B13,'Plan ve Gerçekleşen'!$AI$3:$AI$52,"Yayınlandı")</f>
        <v/>
      </c>
      <c r="E13" s="74">
        <f>IFERROR($D13/$C13,"")</f>
        <v/>
      </c>
      <c r="F13" s="73">
        <f>SUMIFS('Plan ve Gerçekleşen'!$Q$3:$Q$52,'Plan ve Gerçekleşen'!$N$3:$N$52,$B13)</f>
        <v/>
      </c>
      <c r="G13" s="73">
        <f>SUMIFS('Plan ve Gerçekleşen'!$X$3:$X$52,'Plan ve Gerçekleşen'!$N$3:$N$52,$B13)</f>
        <v/>
      </c>
      <c r="H13" s="74">
        <f>IFERROR((SUMIFS('Plan ve Gerçekleşen'!$X$3:$X$52,'Plan ve Gerçekleşen'!$N$3:$N$52,$B13,'Plan ve Gerçekleşen'!$AI$3:$AI$52,"Yayınlandı")/SUMIFS('Plan ve Gerçekleşen'!$R$3:$R$52,'Plan ve Gerçekleşen'!$N$3:$N$52,$B13,'Plan ve Gerçekleşen'!$AI$3:$AI$52,"Yayınlandı"))/(SUMIFS('Plan ve Gerçekleşen'!$Q$3:$Q$52,'Plan ve Gerçekleşen'!$N$3:$N$52,$B13,'Plan ve Gerçekleşen'!$AI$3:$AI$52,"Yayınlandı")/SUMIFS('Plan ve Gerçekleşen'!$P$3:$P$52,'Plan ve Gerçekleşen'!$N$3:$N$52,$B13,'Plan ve Gerçekleşen'!$AI$3:$AI$52,"Yayınlandı"))-1,"")</f>
        <v/>
      </c>
    </row>
    <row r="15" ht="15" customHeight="1" s="39">
      <c r="B15" s="46" t="inlineStr">
        <is>
          <t>NE İSTEDİĞİMİZE GÖRE</t>
        </is>
      </c>
    </row>
    <row r="16" ht="15" customHeight="1" s="39">
      <c r="B16" s="71" t="inlineStr">
        <is>
          <t>Kırılım</t>
        </is>
      </c>
      <c r="C16" s="71" t="inlineStr">
        <is>
          <t>Planlanan tutar</t>
        </is>
      </c>
      <c r="D16" s="71" t="inlineStr">
        <is>
          <t>Harcanan tutar</t>
        </is>
      </c>
      <c r="E16" s="71" t="inlineStr">
        <is>
          <t>Bütçe kullanımı</t>
        </is>
      </c>
      <c r="F16" s="71" t="inlineStr">
        <is>
          <t>Bütçe payı</t>
        </is>
      </c>
      <c r="G16" s="71" t="inlineStr">
        <is>
          <t>Kaç satır</t>
        </is>
      </c>
      <c r="H16" s="71" t="inlineStr">
        <is>
          <t>Yayınlanan satır</t>
        </is>
      </c>
    </row>
    <row r="17" ht="15" customHeight="1" s="39">
      <c r="B17" s="72" t="inlineStr">
        <is>
          <t>Çok kişiye ulaşmak</t>
        </is>
      </c>
      <c r="C17" s="73">
        <f>SUMIFS('Plan ve Gerçekleşen'!$Q$3:$Q$52,'Plan ve Gerçekleşen'!$E$3:$E$52,$B17)</f>
        <v/>
      </c>
      <c r="D17" s="73">
        <f>SUMIFS('Plan ve Gerçekleşen'!$X$3:$X$52,'Plan ve Gerçekleşen'!$E$3:$E$52,$B17)</f>
        <v/>
      </c>
      <c r="E17" s="74">
        <f>IFERROR($D17/$C17,"")</f>
        <v/>
      </c>
      <c r="F17" s="74">
        <f>IFERROR($D17/SUM($D$17:$D$24),"")</f>
        <v/>
      </c>
      <c r="G17" s="75">
        <f>COUNTIFS('Plan ve Gerçekleşen'!$E$3:$E$52,$B17)</f>
        <v/>
      </c>
      <c r="H17" s="75">
        <f>COUNTIFS('Plan ve Gerçekleşen'!$E$3:$E$52,$B17,'Plan ve Gerçekleşen'!$AI$3:$AI$52,"Yayınlandı")</f>
        <v/>
      </c>
    </row>
    <row r="18" ht="15" customHeight="1" s="39">
      <c r="B18" s="72" t="inlineStr">
        <is>
          <t>Gösterim almak</t>
        </is>
      </c>
      <c r="C18" s="73">
        <f>SUMIFS('Plan ve Gerçekleşen'!$Q$3:$Q$52,'Plan ve Gerçekleşen'!$E$3:$E$52,$B18)</f>
        <v/>
      </c>
      <c r="D18" s="73">
        <f>SUMIFS('Plan ve Gerçekleşen'!$X$3:$X$52,'Plan ve Gerçekleşen'!$E$3:$E$52,$B18)</f>
        <v/>
      </c>
      <c r="E18" s="74">
        <f>IFERROR($D18/$C18,"")</f>
        <v/>
      </c>
      <c r="F18" s="74">
        <f>IFERROR($D18/SUM($D$17:$D$24),"")</f>
        <v/>
      </c>
      <c r="G18" s="75">
        <f>COUNTIFS('Plan ve Gerçekleşen'!$E$3:$E$52,$B18)</f>
        <v/>
      </c>
      <c r="H18" s="75">
        <f>COUNTIFS('Plan ve Gerçekleşen'!$E$3:$E$52,$B18,'Plan ve Gerçekleşen'!$AI$3:$AI$52,"Yayınlandı")</f>
        <v/>
      </c>
    </row>
    <row r="19" ht="15" customHeight="1" s="39">
      <c r="B19" s="72" t="inlineStr">
        <is>
          <t>Video izletmek</t>
        </is>
      </c>
      <c r="C19" s="73">
        <f>SUMIFS('Plan ve Gerçekleşen'!$Q$3:$Q$52,'Plan ve Gerçekleşen'!$E$3:$E$52,$B19)</f>
        <v/>
      </c>
      <c r="D19" s="73">
        <f>SUMIFS('Plan ve Gerçekleşen'!$X$3:$X$52,'Plan ve Gerçekleşen'!$E$3:$E$52,$B19)</f>
        <v/>
      </c>
      <c r="E19" s="74">
        <f>IFERROR($D19/$C19,"")</f>
        <v/>
      </c>
      <c r="F19" s="74">
        <f>IFERROR($D19/SUM($D$17:$D$24),"")</f>
        <v/>
      </c>
      <c r="G19" s="75">
        <f>COUNTIFS('Plan ve Gerçekleşen'!$E$3:$E$52,$B19)</f>
        <v/>
      </c>
      <c r="H19" s="75">
        <f>COUNTIFS('Plan ve Gerçekleşen'!$E$3:$E$52,$B19,'Plan ve Gerçekleşen'!$AI$3:$AI$52,"Yayınlandı")</f>
        <v/>
      </c>
    </row>
    <row r="20" ht="15" customHeight="1" s="39">
      <c r="B20" s="72" t="inlineStr">
        <is>
          <t>Siteye trafik</t>
        </is>
      </c>
      <c r="C20" s="73">
        <f>SUMIFS('Plan ve Gerçekleşen'!$Q$3:$Q$52,'Plan ve Gerçekleşen'!$E$3:$E$52,$B20)</f>
        <v/>
      </c>
      <c r="D20" s="73">
        <f>SUMIFS('Plan ve Gerçekleşen'!$X$3:$X$52,'Plan ve Gerçekleşen'!$E$3:$E$52,$B20)</f>
        <v/>
      </c>
      <c r="E20" s="74">
        <f>IFERROR($D20/$C20,"")</f>
        <v/>
      </c>
      <c r="F20" s="74">
        <f>IFERROR($D20/SUM($D$17:$D$24),"")</f>
        <v/>
      </c>
      <c r="G20" s="75">
        <f>COUNTIFS('Plan ve Gerçekleşen'!$E$3:$E$52,$B20)</f>
        <v/>
      </c>
      <c r="H20" s="75">
        <f>COUNTIFS('Plan ve Gerçekleşen'!$E$3:$E$52,$B20,'Plan ve Gerçekleşen'!$AI$3:$AI$52,"Yayınlandı")</f>
        <v/>
      </c>
    </row>
    <row r="21" ht="15" customHeight="1" s="39">
      <c r="B21" s="72" t="inlineStr">
        <is>
          <t>Etkileşim almak</t>
        </is>
      </c>
      <c r="C21" s="73">
        <f>SUMIFS('Plan ve Gerçekleşen'!$Q$3:$Q$52,'Plan ve Gerçekleşen'!$E$3:$E$52,$B21)</f>
        <v/>
      </c>
      <c r="D21" s="73">
        <f>SUMIFS('Plan ve Gerçekleşen'!$X$3:$X$52,'Plan ve Gerçekleşen'!$E$3:$E$52,$B21)</f>
        <v/>
      </c>
      <c r="E21" s="74">
        <f>IFERROR($D21/$C21,"")</f>
        <v/>
      </c>
      <c r="F21" s="74">
        <f>IFERROR($D21/SUM($D$17:$D$24),"")</f>
        <v/>
      </c>
      <c r="G21" s="75">
        <f>COUNTIFS('Plan ve Gerçekleşen'!$E$3:$E$52,$B21)</f>
        <v/>
      </c>
      <c r="H21" s="75">
        <f>COUNTIFS('Plan ve Gerçekleşen'!$E$3:$E$52,$B21,'Plan ve Gerçekleşen'!$AI$3:$AI$52,"Yayınlandı")</f>
        <v/>
      </c>
    </row>
    <row r="22" ht="15" customHeight="1" s="39">
      <c r="B22" s="72" t="inlineStr">
        <is>
          <t>Form doldurtmak</t>
        </is>
      </c>
      <c r="C22" s="73">
        <f>SUMIFS('Plan ve Gerçekleşen'!$Q$3:$Q$52,'Plan ve Gerçekleşen'!$E$3:$E$52,$B22)</f>
        <v/>
      </c>
      <c r="D22" s="73">
        <f>SUMIFS('Plan ve Gerçekleşen'!$X$3:$X$52,'Plan ve Gerçekleşen'!$E$3:$E$52,$B22)</f>
        <v/>
      </c>
      <c r="E22" s="74">
        <f>IFERROR($D22/$C22,"")</f>
        <v/>
      </c>
      <c r="F22" s="74">
        <f>IFERROR($D22/SUM($D$17:$D$24),"")</f>
        <v/>
      </c>
      <c r="G22" s="75">
        <f>COUNTIFS('Plan ve Gerçekleşen'!$E$3:$E$52,$B22)</f>
        <v/>
      </c>
      <c r="H22" s="75">
        <f>COUNTIFS('Plan ve Gerçekleşen'!$E$3:$E$52,$B22,'Plan ve Gerçekleşen'!$AI$3:$AI$52,"Yayınlandı")</f>
        <v/>
      </c>
    </row>
    <row r="23" ht="15" customHeight="1" s="39">
      <c r="B23" s="72" t="inlineStr">
        <is>
          <t>Satış yaptırmak</t>
        </is>
      </c>
      <c r="C23" s="73">
        <f>SUMIFS('Plan ve Gerçekleşen'!$Q$3:$Q$52,'Plan ve Gerçekleşen'!$E$3:$E$52,$B23)</f>
        <v/>
      </c>
      <c r="D23" s="73">
        <f>SUMIFS('Plan ve Gerçekleşen'!$X$3:$X$52,'Plan ve Gerçekleşen'!$E$3:$E$52,$B23)</f>
        <v/>
      </c>
      <c r="E23" s="74">
        <f>IFERROR($D23/$C23,"")</f>
        <v/>
      </c>
      <c r="F23" s="74">
        <f>IFERROR($D23/SUM($D$17:$D$24),"")</f>
        <v/>
      </c>
      <c r="G23" s="75">
        <f>COUNTIFS('Plan ve Gerçekleşen'!$E$3:$E$52,$B23)</f>
        <v/>
      </c>
      <c r="H23" s="75">
        <f>COUNTIFS('Plan ve Gerçekleşen'!$E$3:$E$52,$B23,'Plan ve Gerçekleşen'!$AI$3:$AI$52,"Yayınlandı")</f>
        <v/>
      </c>
    </row>
    <row r="24" ht="15" customHeight="1" s="39">
      <c r="B24" s="72" t="inlineStr">
        <is>
          <t>Uygulama indirtmek</t>
        </is>
      </c>
      <c r="C24" s="73">
        <f>SUMIFS('Plan ve Gerçekleşen'!$Q$3:$Q$52,'Plan ve Gerçekleşen'!$E$3:$E$52,$B24)</f>
        <v/>
      </c>
      <c r="D24" s="73">
        <f>SUMIFS('Plan ve Gerçekleşen'!$X$3:$X$52,'Plan ve Gerçekleşen'!$E$3:$E$52,$B24)</f>
        <v/>
      </c>
      <c r="E24" s="74">
        <f>IFERROR($D24/$C24,"")</f>
        <v/>
      </c>
      <c r="F24" s="74">
        <f>IFERROR($D24/SUM($D$17:$D$24),"")</f>
        <v/>
      </c>
      <c r="G24" s="75">
        <f>COUNTIFS('Plan ve Gerçekleşen'!$E$3:$E$52,$B24)</f>
        <v/>
      </c>
      <c r="H24" s="75">
        <f>COUNTIFS('Plan ve Gerçekleşen'!$E$3:$E$52,$B24,'Plan ve Gerçekleşen'!$AI$3:$AI$52,"Yayınlandı")</f>
        <v/>
      </c>
    </row>
    <row r="26" ht="15" customHeight="1" s="39">
      <c r="B26" s="46" t="inlineStr">
        <is>
          <t>YAYINCI GRUBUNA GÖRE (bütçe yığılması)</t>
        </is>
      </c>
    </row>
    <row r="27" ht="15" customHeight="1" s="39">
      <c r="B27" s="71" t="inlineStr">
        <is>
          <t>Kırılım</t>
        </is>
      </c>
      <c r="C27" s="71" t="inlineStr">
        <is>
          <t>Planlanan tutar</t>
        </is>
      </c>
      <c r="D27" s="71" t="inlineStr">
        <is>
          <t>Harcanan tutar</t>
        </is>
      </c>
      <c r="E27" s="71" t="inlineStr">
        <is>
          <t>Bütçe kullanımı</t>
        </is>
      </c>
      <c r="F27" s="71" t="inlineStr">
        <is>
          <t>Bütçe payı</t>
        </is>
      </c>
      <c r="G27" s="71" t="inlineStr">
        <is>
          <t>Kaç satır</t>
        </is>
      </c>
      <c r="H27" s="71" t="inlineStr">
        <is>
          <t>Yayınlanan satır</t>
        </is>
      </c>
    </row>
    <row r="28" ht="15" customHeight="1" s="39">
      <c r="B28" s="72" t="inlineStr">
        <is>
          <t>Google</t>
        </is>
      </c>
      <c r="C28" s="73">
        <f>SUMIFS('Plan ve Gerçekleşen'!$Q$3:$Q$52,'Plan ve Gerçekleşen'!$F$3:$F$52,$B28)</f>
        <v/>
      </c>
      <c r="D28" s="73">
        <f>SUMIFS('Plan ve Gerçekleşen'!$X$3:$X$52,'Plan ve Gerçekleşen'!$F$3:$F$52,$B28)</f>
        <v/>
      </c>
      <c r="E28" s="74">
        <f>IFERROR($D28/$C28,"")</f>
        <v/>
      </c>
      <c r="F28" s="74">
        <f>IFERROR($D28/SUM($D$28:$D$41),"")</f>
        <v/>
      </c>
      <c r="G28" s="75">
        <f>COUNTIFS('Plan ve Gerçekleşen'!$F$3:$F$52,$B28)</f>
        <v/>
      </c>
      <c r="H28" s="75">
        <f>COUNTIFS('Plan ve Gerçekleşen'!$F$3:$F$52,$B28,'Plan ve Gerçekleşen'!$AI$3:$AI$52,"Yayınlandı")</f>
        <v/>
      </c>
    </row>
    <row r="29" ht="15" customHeight="1" s="39">
      <c r="B29" s="72" t="inlineStr">
        <is>
          <t>Meta</t>
        </is>
      </c>
      <c r="C29" s="73">
        <f>SUMIFS('Plan ve Gerçekleşen'!$Q$3:$Q$52,'Plan ve Gerçekleşen'!$F$3:$F$52,$B29)</f>
        <v/>
      </c>
      <c r="D29" s="73">
        <f>SUMIFS('Plan ve Gerçekleşen'!$X$3:$X$52,'Plan ve Gerçekleşen'!$F$3:$F$52,$B29)</f>
        <v/>
      </c>
      <c r="E29" s="74">
        <f>IFERROR($D29/$C29,"")</f>
        <v/>
      </c>
      <c r="F29" s="74">
        <f>IFERROR($D29/SUM($D$28:$D$41),"")</f>
        <v/>
      </c>
      <c r="G29" s="75">
        <f>COUNTIFS('Plan ve Gerçekleşen'!$F$3:$F$52,$B29)</f>
        <v/>
      </c>
      <c r="H29" s="75">
        <f>COUNTIFS('Plan ve Gerçekleşen'!$F$3:$F$52,$B29,'Plan ve Gerçekleşen'!$AI$3:$AI$52,"Yayınlandı")</f>
        <v/>
      </c>
    </row>
    <row r="30" ht="15" customHeight="1" s="39">
      <c r="B30" s="72" t="inlineStr">
        <is>
          <t>TikTok</t>
        </is>
      </c>
      <c r="C30" s="73">
        <f>SUMIFS('Plan ve Gerçekleşen'!$Q$3:$Q$52,'Plan ve Gerçekleşen'!$F$3:$F$52,$B30)</f>
        <v/>
      </c>
      <c r="D30" s="73">
        <f>SUMIFS('Plan ve Gerçekleşen'!$X$3:$X$52,'Plan ve Gerçekleşen'!$F$3:$F$52,$B30)</f>
        <v/>
      </c>
      <c r="E30" s="74">
        <f>IFERROR($D30/$C30,"")</f>
        <v/>
      </c>
      <c r="F30" s="74">
        <f>IFERROR($D30/SUM($D$28:$D$41),"")</f>
        <v/>
      </c>
      <c r="G30" s="75">
        <f>COUNTIFS('Plan ve Gerçekleşen'!$F$3:$F$52,$B30)</f>
        <v/>
      </c>
      <c r="H30" s="75">
        <f>COUNTIFS('Plan ve Gerçekleşen'!$F$3:$F$52,$B30,'Plan ve Gerçekleşen'!$AI$3:$AI$52,"Yayınlandı")</f>
        <v/>
      </c>
    </row>
    <row r="31" ht="15" customHeight="1" s="39">
      <c r="B31" s="72" t="inlineStr">
        <is>
          <t>Spotify</t>
        </is>
      </c>
      <c r="C31" s="73">
        <f>SUMIFS('Plan ve Gerçekleşen'!$Q$3:$Q$52,'Plan ve Gerçekleşen'!$F$3:$F$52,$B31)</f>
        <v/>
      </c>
      <c r="D31" s="73">
        <f>SUMIFS('Plan ve Gerçekleşen'!$X$3:$X$52,'Plan ve Gerçekleşen'!$F$3:$F$52,$B31)</f>
        <v/>
      </c>
      <c r="E31" s="74">
        <f>IFERROR($D31/$C31,"")</f>
        <v/>
      </c>
      <c r="F31" s="74">
        <f>IFERROR($D31/SUM($D$28:$D$41),"")</f>
        <v/>
      </c>
      <c r="G31" s="75">
        <f>COUNTIFS('Plan ve Gerçekleşen'!$F$3:$F$52,$B31)</f>
        <v/>
      </c>
      <c r="H31" s="75">
        <f>COUNTIFS('Plan ve Gerçekleşen'!$F$3:$F$52,$B31,'Plan ve Gerçekleşen'!$AI$3:$AI$52,"Yayınlandı")</f>
        <v/>
      </c>
    </row>
    <row r="32" ht="15" customHeight="1" s="39">
      <c r="B32" s="72" t="inlineStr">
        <is>
          <t>Disney</t>
        </is>
      </c>
      <c r="C32" s="73">
        <f>SUMIFS('Plan ve Gerçekleşen'!$Q$3:$Q$52,'Plan ve Gerçekleşen'!$F$3:$F$52,$B32)</f>
        <v/>
      </c>
      <c r="D32" s="73">
        <f>SUMIFS('Plan ve Gerçekleşen'!$X$3:$X$52,'Plan ve Gerçekleşen'!$F$3:$F$52,$B32)</f>
        <v/>
      </c>
      <c r="E32" s="74">
        <f>IFERROR($D32/$C32,"")</f>
        <v/>
      </c>
      <c r="F32" s="74">
        <f>IFERROR($D32/SUM($D$28:$D$41),"")</f>
        <v/>
      </c>
      <c r="G32" s="75">
        <f>COUNTIFS('Plan ve Gerçekleşen'!$F$3:$F$52,$B32)</f>
        <v/>
      </c>
      <c r="H32" s="75">
        <f>COUNTIFS('Plan ve Gerçekleşen'!$F$3:$F$52,$B32,'Plan ve Gerçekleşen'!$AI$3:$AI$52,"Yayınlandı")</f>
        <v/>
      </c>
    </row>
    <row r="33" ht="15" customHeight="1" s="39">
      <c r="B33" s="72" t="inlineStr">
        <is>
          <t>Turkuvaz</t>
        </is>
      </c>
      <c r="C33" s="73">
        <f>SUMIFS('Plan ve Gerçekleşen'!$Q$3:$Q$52,'Plan ve Gerçekleşen'!$F$3:$F$52,$B33)</f>
        <v/>
      </c>
      <c r="D33" s="73">
        <f>SUMIFS('Plan ve Gerçekleşen'!$X$3:$X$52,'Plan ve Gerçekleşen'!$F$3:$F$52,$B33)</f>
        <v/>
      </c>
      <c r="E33" s="74">
        <f>IFERROR($D33/$C33,"")</f>
        <v/>
      </c>
      <c r="F33" s="74">
        <f>IFERROR($D33/SUM($D$28:$D$41),"")</f>
        <v/>
      </c>
      <c r="G33" s="75">
        <f>COUNTIFS('Plan ve Gerçekleşen'!$F$3:$F$52,$B33)</f>
        <v/>
      </c>
      <c r="H33" s="75">
        <f>COUNTIFS('Plan ve Gerçekleşen'!$F$3:$F$52,$B33,'Plan ve Gerçekleşen'!$AI$3:$AI$52,"Yayınlandı")</f>
        <v/>
      </c>
    </row>
    <row r="34" ht="15" customHeight="1" s="39">
      <c r="B34" s="72" t="inlineStr">
        <is>
          <t>Doğuş</t>
        </is>
      </c>
      <c r="C34" s="73">
        <f>SUMIFS('Plan ve Gerçekleşen'!$Q$3:$Q$52,'Plan ve Gerçekleşen'!$F$3:$F$52,$B34)</f>
        <v/>
      </c>
      <c r="D34" s="73">
        <f>SUMIFS('Plan ve Gerçekleşen'!$X$3:$X$52,'Plan ve Gerçekleşen'!$F$3:$F$52,$B34)</f>
        <v/>
      </c>
      <c r="E34" s="74">
        <f>IFERROR($D34/$C34,"")</f>
        <v/>
      </c>
      <c r="F34" s="74">
        <f>IFERROR($D34/SUM($D$28:$D$41),"")</f>
        <v/>
      </c>
      <c r="G34" s="75">
        <f>COUNTIFS('Plan ve Gerçekleşen'!$F$3:$F$52,$B34)</f>
        <v/>
      </c>
      <c r="H34" s="75">
        <f>COUNTIFS('Plan ve Gerçekleşen'!$F$3:$F$52,$B34,'Plan ve Gerçekleşen'!$AI$3:$AI$52,"Yayınlandı")</f>
        <v/>
      </c>
    </row>
    <row r="35" ht="15" customHeight="1" s="39">
      <c r="B35" s="72" t="inlineStr">
        <is>
          <t>Demirören</t>
        </is>
      </c>
      <c r="C35" s="73">
        <f>SUMIFS('Plan ve Gerçekleşen'!$Q$3:$Q$52,'Plan ve Gerçekleşen'!$F$3:$F$52,$B35)</f>
        <v/>
      </c>
      <c r="D35" s="73">
        <f>SUMIFS('Plan ve Gerçekleşen'!$X$3:$X$52,'Plan ve Gerçekleşen'!$F$3:$F$52,$B35)</f>
        <v/>
      </c>
      <c r="E35" s="74">
        <f>IFERROR($D35/$C35,"")</f>
        <v/>
      </c>
      <c r="F35" s="74">
        <f>IFERROR($D35/SUM($D$28:$D$41),"")</f>
        <v/>
      </c>
      <c r="G35" s="75">
        <f>COUNTIFS('Plan ve Gerçekleşen'!$F$3:$F$52,$B35)</f>
        <v/>
      </c>
      <c r="H35" s="75">
        <f>COUNTIFS('Plan ve Gerçekleşen'!$F$3:$F$52,$B35,'Plan ve Gerçekleşen'!$AI$3:$AI$52,"Yayınlandı")</f>
        <v/>
      </c>
    </row>
    <row r="36" ht="15" customHeight="1" s="39">
      <c r="B36" s="72" t="inlineStr">
        <is>
          <t>Can</t>
        </is>
      </c>
      <c r="C36" s="73">
        <f>SUMIFS('Plan ve Gerçekleşen'!$Q$3:$Q$52,'Plan ve Gerçekleşen'!$F$3:$F$52,$B36)</f>
        <v/>
      </c>
      <c r="D36" s="73">
        <f>SUMIFS('Plan ve Gerçekleşen'!$X$3:$X$52,'Plan ve Gerçekleşen'!$F$3:$F$52,$B36)</f>
        <v/>
      </c>
      <c r="E36" s="74">
        <f>IFERROR($D36/$C36,"")</f>
        <v/>
      </c>
      <c r="F36" s="74">
        <f>IFERROR($D36/SUM($D$28:$D$41),"")</f>
        <v/>
      </c>
      <c r="G36" s="75">
        <f>COUNTIFS('Plan ve Gerçekleşen'!$F$3:$F$52,$B36)</f>
        <v/>
      </c>
      <c r="H36" s="75">
        <f>COUNTIFS('Plan ve Gerçekleşen'!$F$3:$F$52,$B36,'Plan ve Gerçekleşen'!$AI$3:$AI$52,"Yayınlandı")</f>
        <v/>
      </c>
    </row>
    <row r="37" ht="15" customHeight="1" s="39">
      <c r="B37" s="72" t="inlineStr">
        <is>
          <t>TRT</t>
        </is>
      </c>
      <c r="C37" s="73">
        <f>SUMIFS('Plan ve Gerçekleşen'!$Q$3:$Q$52,'Plan ve Gerçekleşen'!$F$3:$F$52,$B37)</f>
        <v/>
      </c>
      <c r="D37" s="73">
        <f>SUMIFS('Plan ve Gerçekleşen'!$X$3:$X$52,'Plan ve Gerçekleşen'!$F$3:$F$52,$B37)</f>
        <v/>
      </c>
      <c r="E37" s="74">
        <f>IFERROR($D37/$C37,"")</f>
        <v/>
      </c>
      <c r="F37" s="74">
        <f>IFERROR($D37/SUM($D$28:$D$41),"")</f>
        <v/>
      </c>
      <c r="G37" s="75">
        <f>COUNTIFS('Plan ve Gerçekleşen'!$F$3:$F$52,$B37)</f>
        <v/>
      </c>
      <c r="H37" s="75">
        <f>COUNTIFS('Plan ve Gerçekleşen'!$F$3:$F$52,$B37,'Plan ve Gerçekleşen'!$AI$3:$AI$52,"Yayınlandı")</f>
        <v/>
      </c>
    </row>
    <row r="38" ht="15" customHeight="1" s="39">
      <c r="B38" s="72" t="inlineStr">
        <is>
          <t>Now</t>
        </is>
      </c>
      <c r="C38" s="73">
        <f>SUMIFS('Plan ve Gerçekleşen'!$Q$3:$Q$52,'Plan ve Gerçekleşen'!$F$3:$F$52,$B38)</f>
        <v/>
      </c>
      <c r="D38" s="73">
        <f>SUMIFS('Plan ve Gerçekleşen'!$X$3:$X$52,'Plan ve Gerçekleşen'!$F$3:$F$52,$B38)</f>
        <v/>
      </c>
      <c r="E38" s="74">
        <f>IFERROR($D38/$C38,"")</f>
        <v/>
      </c>
      <c r="F38" s="74">
        <f>IFERROR($D38/SUM($D$28:$D$41),"")</f>
        <v/>
      </c>
      <c r="G38" s="75">
        <f>COUNTIFS('Plan ve Gerçekleşen'!$F$3:$F$52,$B38)</f>
        <v/>
      </c>
      <c r="H38" s="75">
        <f>COUNTIFS('Plan ve Gerçekleşen'!$F$3:$F$52,$B38,'Plan ve Gerçekleşen'!$AI$3:$AI$52,"Yayınlandı")</f>
        <v/>
      </c>
    </row>
    <row r="39" ht="15" customHeight="1" s="39">
      <c r="B39" s="72" t="inlineStr">
        <is>
          <t>Mimeda</t>
        </is>
      </c>
      <c r="C39" s="73">
        <f>SUMIFS('Plan ve Gerçekleşen'!$Q$3:$Q$52,'Plan ve Gerçekleşen'!$F$3:$F$52,$B39)</f>
        <v/>
      </c>
      <c r="D39" s="73">
        <f>SUMIFS('Plan ve Gerçekleşen'!$X$3:$X$52,'Plan ve Gerçekleşen'!$F$3:$F$52,$B39)</f>
        <v/>
      </c>
      <c r="E39" s="74">
        <f>IFERROR($D39/$C39,"")</f>
        <v/>
      </c>
      <c r="F39" s="74">
        <f>IFERROR($D39/SUM($D$28:$D$41),"")</f>
        <v/>
      </c>
      <c r="G39" s="75">
        <f>COUNTIFS('Plan ve Gerçekleşen'!$F$3:$F$52,$B39)</f>
        <v/>
      </c>
      <c r="H39" s="75">
        <f>COUNTIFS('Plan ve Gerçekleşen'!$F$3:$F$52,$B39,'Plan ve Gerçekleşen'!$AI$3:$AI$52,"Yayınlandı")</f>
        <v/>
      </c>
    </row>
    <row r="40" ht="15" customHeight="1" s="39">
      <c r="B40" s="72" t="inlineStr">
        <is>
          <t>Warner Bros. Discovery</t>
        </is>
      </c>
      <c r="C40" s="73">
        <f>SUMIFS('Plan ve Gerçekleşen'!$Q$3:$Q$52,'Plan ve Gerçekleşen'!$F$3:$F$52,$B40)</f>
        <v/>
      </c>
      <c r="D40" s="73">
        <f>SUMIFS('Plan ve Gerçekleşen'!$X$3:$X$52,'Plan ve Gerçekleşen'!$F$3:$F$52,$B40)</f>
        <v/>
      </c>
      <c r="E40" s="74">
        <f>IFERROR($D40/$C40,"")</f>
        <v/>
      </c>
      <c r="F40" s="74">
        <f>IFERROR($D40/SUM($D$28:$D$41),"")</f>
        <v/>
      </c>
      <c r="G40" s="75">
        <f>COUNTIFS('Plan ve Gerçekleşen'!$F$3:$F$52,$B40)</f>
        <v/>
      </c>
      <c r="H40" s="75">
        <f>COUNTIFS('Plan ve Gerçekleşen'!$F$3:$F$52,$B40,'Plan ve Gerçekleşen'!$AI$3:$AI$52,"Yayınlandı")</f>
        <v/>
      </c>
    </row>
    <row r="41" ht="15" customHeight="1" s="39">
      <c r="B41" s="72" t="inlineStr">
        <is>
          <t>Diğer</t>
        </is>
      </c>
      <c r="C41" s="73">
        <f>SUMIFS('Plan ve Gerçekleşen'!$Q$3:$Q$52,'Plan ve Gerçekleşen'!$F$3:$F$52,$B41)</f>
        <v/>
      </c>
      <c r="D41" s="73">
        <f>SUMIFS('Plan ve Gerçekleşen'!$X$3:$X$52,'Plan ve Gerçekleşen'!$F$3:$F$52,$B41)</f>
        <v/>
      </c>
      <c r="E41" s="74">
        <f>IFERROR($D41/$C41,"")</f>
        <v/>
      </c>
      <c r="F41" s="74">
        <f>IFERROR($D41/SUM($D$28:$D$41),"")</f>
        <v/>
      </c>
      <c r="G41" s="75">
        <f>COUNTIFS('Plan ve Gerçekleşen'!$F$3:$F$52,$B41)</f>
        <v/>
      </c>
      <c r="H41" s="75">
        <f>COUNTIFS('Plan ve Gerçekleşen'!$F$3:$F$52,$B41,'Plan ve Gerçekleşen'!$AI$3:$AI$52,"Yayınlandı")</f>
        <v/>
      </c>
    </row>
    <row r="43" ht="15" customHeight="1" s="39">
      <c r="B43" s="41" t="inlineStr">
        <is>
          <t>Tek bir yayıncı grubuna bütçenin %30'undan fazlası gidiyorsa Kontroller sayfası uyarır.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38" min="2" max="2"/>
    <col width="52" customWidth="1" style="38" min="3" max="3"/>
    <col width="18" customWidth="1" style="38" min="4" max="4"/>
    <col width="12" customWidth="1" style="38" min="5" max="5"/>
    <col width="46" customWidth="1" style="38" min="6" max="6"/>
  </cols>
  <sheetData>
    <row r="2" ht="16.15" customHeight="1" s="39">
      <c r="B2" s="40" t="inlineStr">
        <is>
          <t>KONTROLLER — hepsi TAMAM yazmadan raporu göndermeyin</t>
        </is>
      </c>
    </row>
    <row r="4" ht="15" customHeight="1" s="39">
      <c r="B4" s="76" t="inlineStr">
        <is>
          <t>#</t>
        </is>
      </c>
      <c r="C4" s="76" t="inlineStr">
        <is>
          <t>Ne kontrol ediliyor</t>
        </is>
      </c>
      <c r="D4" s="76" t="inlineStr">
        <is>
          <t>Sonuç</t>
        </is>
      </c>
      <c r="E4" s="76" t="inlineStr">
        <is>
          <t>Durum</t>
        </is>
      </c>
      <c r="F4" s="76" t="inlineStr">
        <is>
          <t>Neden önemli</t>
        </is>
      </c>
    </row>
    <row r="5" ht="27.75" customHeight="1" s="39">
      <c r="B5" s="72" t="n">
        <v>1</v>
      </c>
      <c r="C5" s="72" t="inlineStr">
        <is>
          <t>Fiyat tipi (CPM/CPC) yazılmamış satır sayısı</t>
        </is>
      </c>
      <c r="D5" s="77">
        <f>COUNTIFS('Plan ve Gerçekleşen'!$G$3:$G$52,"&lt;&gt;",'Plan ve Gerçekleşen'!$N$3:$N$52,"")</f>
        <v/>
      </c>
      <c r="E5" s="78">
        <f>IF(D5=0,"TAMAM","İNCELE")</f>
        <v/>
      </c>
      <c r="F5" s="79" t="inlineStr">
        <is>
          <t>Fiyat tipi yazılmazsa sistem CPM ile CPC'yi ayırt edemez, yayıncıları karşılaştıramaz.</t>
        </is>
      </c>
    </row>
    <row r="6" ht="27.75" customHeight="1" s="39">
      <c r="B6" s="72" t="n">
        <v>2</v>
      </c>
      <c r="C6" s="72" t="inlineStr">
        <is>
          <t>Tutarın nereden geldiği yazılmamış satır sayısı</t>
        </is>
      </c>
      <c r="D6" s="77">
        <f>COUNTIFS('Plan ve Gerçekleşen'!$G$3:$G$52,"&lt;&gt;",'Plan ve Gerçekleşen'!$V$3:$V$52,"")</f>
        <v/>
      </c>
      <c r="E6" s="78">
        <f>IF(D6=0,"TAMAM","İNCELE")</f>
        <v/>
      </c>
      <c r="F6" s="79" t="inlineStr">
        <is>
          <t>Gerçek fatura ile tahmini tutar birbirine karışırsa fiyat karşılaştırması yanlış çıkar.</t>
        </is>
      </c>
    </row>
    <row r="7" ht="27.75" customHeight="1" s="39">
      <c r="B7" s="72" t="n">
        <v>3</v>
      </c>
      <c r="C7" s="72" t="inlineStr">
        <is>
          <t>Faturaya değil hesaba dayanan tutarın oranı</t>
        </is>
      </c>
      <c r="D7" s="74">
        <f>IFERROR(SUMIFS('Plan ve Gerçekleşen'!$X$3:$X$52,'Plan ve Gerçekleşen'!$V$3:$V$52,"Hesaplanan")/SUM('Plan ve Gerçekleşen'!$X$3:$X$52),0)</f>
        <v/>
      </c>
      <c r="E7" s="78">
        <f>IF(Kampanya!C13="Kapanış",IF(D7=0,"TAMAM","İNCELE"),"BİLGİ")</f>
        <v/>
      </c>
      <c r="F7" s="79" t="inlineStr">
        <is>
          <t>Kapanış raporunda hiçbir satır tahminle kapatılmamalı.</t>
        </is>
      </c>
    </row>
    <row r="8" ht="27.75" customHeight="1" s="39">
      <c r="B8" s="72" t="n">
        <v>4</v>
      </c>
      <c r="C8" s="72" t="inlineStr">
        <is>
          <t>Bütçe kalemleri toplamı ile anlaşılan tutar farkı</t>
        </is>
      </c>
      <c r="D8" s="80">
        <f>Kampanya!C22-Kampanya!C23</f>
        <v/>
      </c>
      <c r="E8" s="78">
        <f>IF(ABS(D8)&lt;1,"TAMAM","İNCELE")</f>
        <v/>
      </c>
      <c r="F8" s="79" t="inlineStr">
        <is>
          <t>Plandaki toplam ile sözleşmedeki tutar farklıysa sebebi açıklanmadan rapor gönderilmemeli.</t>
        </is>
      </c>
    </row>
    <row r="9" ht="27.75" customHeight="1" s="39">
      <c r="B9" s="72" t="n">
        <v>5</v>
      </c>
      <c r="C9" s="72" t="inlineStr">
        <is>
          <t>İptal / Veri Gelmedi yazdığı halde rakamı olan satır</t>
        </is>
      </c>
      <c r="D9" s="77">
        <f>COUNTIFS('Plan ve Gerçekleşen'!$AI$3:$AI$52,"İptal",'Plan ve Gerçekleşen'!$R$3:$R$52,"&gt;0")+COUNTIFS('Plan ve Gerçekleşen'!$AI$3:$AI$52,"Veri Gelmedi",'Plan ve Gerçekleşen'!$R$3:$R$52,"&gt;0")</f>
        <v/>
      </c>
      <c r="E9" s="78">
        <f>IF(D9=0,"TAMAM","İNCELE")</f>
        <v/>
      </c>
      <c r="F9" s="79" t="inlineStr">
        <is>
          <t>Satırın durumu ile rakamı birbirini tutmuyor. Sisteme yanlış bilgi gider.</t>
        </is>
      </c>
    </row>
    <row r="10" ht="27.75" customHeight="1" s="39">
      <c r="B10" s="72" t="n">
        <v>6</v>
      </c>
      <c r="C10" s="72" t="inlineStr">
        <is>
          <t>Yayınlandı yazdığı halde rakamı boş olan satır</t>
        </is>
      </c>
      <c r="D10" s="77">
        <f>COUNTIFS('Plan ve Gerçekleşen'!$AI$3:$AI$52,"Yayınlandı",'Plan ve Gerçekleşen'!$R$3:$R$52,"")</f>
        <v/>
      </c>
      <c r="E10" s="78">
        <f>IF(D10=0,"TAMAM","İNCELE")</f>
        <v/>
      </c>
      <c r="F10" s="79" t="inlineStr">
        <is>
          <t>Yayınlanmamış bir işi sıfır performans olarak kaydedersek yayıncıya haksızlık ederiz.</t>
        </is>
      </c>
    </row>
    <row r="11" ht="27.75" customHeight="1" s="39">
      <c r="B11" s="72" t="n">
        <v>7</v>
      </c>
      <c r="C11" s="72" t="inlineStr">
        <is>
          <t>Söz verdiğinin yarısından azını ya da 1,5 katını yayınlayan satır</t>
        </is>
      </c>
      <c r="D11" s="77">
        <f>COUNTIFS('Plan ve Gerçekleşen'!$Z$3:$Z$52,"&lt;0.5")+COUNTIFS('Plan ve Gerçekleşen'!$Z$3:$Z$52,"&gt;1.5")</f>
        <v/>
      </c>
      <c r="E11" s="78">
        <f>IF(D11=0,"TAMAM","İNCELE")</f>
        <v/>
      </c>
      <c r="F11" s="79" t="inlineStr">
        <is>
          <t>Bu kadar büyük fark ya bir işlem hatasıdır ya da veri sorunudur. İkisi de not gerektirir.</t>
        </is>
      </c>
    </row>
    <row r="12" ht="27.75" customHeight="1" s="39">
      <c r="B12" s="72" t="n">
        <v>8</v>
      </c>
      <c r="C12" s="72" t="inlineStr">
        <is>
          <t>Fiyatı plandan %25'ten fazla farklı olan satır sayısı</t>
        </is>
      </c>
      <c r="D12" s="77">
        <f>COUNTIFS('Plan ve Gerçekleşen'!$AA$3:$AA$52,"&lt;-0.25")+COUNTIFS('Plan ve Gerçekleşen'!$AA$3:$AA$52,"&gt;0.25")</f>
        <v/>
      </c>
      <c r="E12" s="78">
        <f>IF(D12=0,"TAMAM","İNCELE")</f>
        <v/>
      </c>
      <c r="F12" s="79" t="inlineStr">
        <is>
          <t>Anlaşılan fiyat ile gerçekleşen fiyat çok farklıysa faturadan teyit edin.</t>
        </is>
      </c>
    </row>
    <row r="13" ht="27.75" customHeight="1" s="39">
      <c r="B13" s="72" t="n">
        <v>9</v>
      </c>
      <c r="C13" s="72" t="inlineStr">
        <is>
          <t>Beklenenden çok farklı olup sebebi yazılmamış satır</t>
        </is>
      </c>
      <c r="D13" s="77">
        <f>COUNTIFS('Plan ve Gerçekleşen'!$Z$3:$Z$52,"&lt;0.5",'Plan ve Gerçekleşen'!$AJ$3:$AJ$52,"")</f>
        <v/>
      </c>
      <c r="E13" s="78">
        <f>IF(D13=0,"TAMAM","İNCELE")</f>
        <v/>
      </c>
      <c r="F13" s="79" t="inlineStr">
        <is>
          <t>Sebebi yazılmayan değişiklikler zamanla kimin nereye bütçe kaydırdığını görünmez yapar.</t>
        </is>
      </c>
    </row>
    <row r="14" ht="27.75" customHeight="1" s="39">
      <c r="B14" s="72" t="n">
        <v>10</v>
      </c>
      <c r="C14" s="72" t="inlineStr">
        <is>
          <t>Tek yayıncı grubuna giden en yüksek bütçe payı</t>
        </is>
      </c>
      <c r="D14" s="74">
        <f>IFERROR(MAX(Özet!$F$28:$F$41),0)</f>
        <v/>
      </c>
      <c r="E14" s="78">
        <f>IF(D14&lt;=0.3,"TAMAM","İNCELE")</f>
        <v/>
      </c>
      <c r="F14" s="79" t="inlineStr">
        <is>
          <t>Bütçenin %30'undan fazlası tek bir gruba gidiyorsa uyarı verilir.</t>
        </is>
      </c>
    </row>
    <row r="15" ht="27.75" customHeight="1" s="39">
      <c r="B15" s="72" t="n">
        <v>11</v>
      </c>
      <c r="C15" s="72" t="inlineStr">
        <is>
          <t>Reklam filmi kodu yazılmamış yayınlanan satır sayısı</t>
        </is>
      </c>
      <c r="D15" s="77">
        <f>COUNTIFS('Plan ve Gerçekleşen'!$AI$3:$AI$52,"Yayınlandı",'Plan ve Gerçekleşen'!$M$3:$M$52,"")</f>
        <v/>
      </c>
      <c r="E15" s="78">
        <f>IF(D15=0,"TAMAM","İNCELE")</f>
        <v/>
      </c>
      <c r="F15" s="79" t="inlineStr">
        <is>
          <t>Bu kod olmadan kötü sonucun yayıncıdan mı reklam filminden mi geldiğini anlayamayız.</t>
        </is>
      </c>
    </row>
    <row r="16" ht="27.75" customHeight="1" s="39">
      <c r="B16" s="72" t="n">
        <v>12</v>
      </c>
      <c r="C16" s="72" t="inlineStr">
        <is>
          <t>Yayın tarihi yazılmamış satır sayısı</t>
        </is>
      </c>
      <c r="D16" s="77">
        <f>COUNTIFS('Plan ve Gerçekleşen'!$G$3:$G$52,"&lt;&gt;",'Plan ve Gerçekleşen'!$C$3:$C$52,"")+COUNTIFS('Plan ve Gerçekleşen'!$G$3:$G$52,"&lt;&gt;",'Plan ve Gerçekleşen'!$D$3:$D$52,"")</f>
        <v/>
      </c>
      <c r="E16" s="78">
        <f>IF(D16=0,"TAMAM","İNCELE")</f>
        <v/>
      </c>
      <c r="F16" s="79" t="inlineStr">
        <is>
          <t>Satır tarihi olmadan dönemler karşılaştırılamaz, eski veriler ayırt edilemez.</t>
        </is>
      </c>
    </row>
    <row r="18" ht="15" customHeight="1" s="39">
      <c r="C18" s="43" t="inlineStr">
        <is>
          <t>SONUÇ</t>
        </is>
      </c>
      <c r="E18" s="81">
        <f>IF(COUNTIF($E$5:$E$16,"İNCELE")=0,"RAPOR HAZIR","EKSİK VAR")</f>
        <v/>
      </c>
    </row>
    <row r="20" ht="15" customHeight="1" s="39">
      <c r="C20" s="41" t="inlineStr">
        <is>
          <t>Şablondaki örnek satırlar yüzünden bazı kontroller İNCELE görünebilir. Örnek satırları sildiğinizde bunlar TAMAM olur.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8" min="1" max="9"/>
  </cols>
  <sheetData>
    <row r="1" ht="15" customHeight="1" s="39">
      <c r="A1" s="76" t="inlineStr">
        <is>
          <t>Birim Tipi</t>
        </is>
      </c>
      <c r="B1" s="76" t="inlineStr">
        <is>
          <t>Bedel Kaynagi</t>
        </is>
      </c>
      <c r="C1" s="76" t="inlineStr">
        <is>
          <t>Satir Durumu</t>
        </is>
      </c>
      <c r="D1" s="76" t="inlineStr">
        <is>
          <t>Rapor Durumu</t>
        </is>
      </c>
      <c r="E1" s="76" t="inlineStr">
        <is>
          <t>Amac</t>
        </is>
      </c>
      <c r="F1" s="76" t="inlineStr">
        <is>
          <t>Sektor L1</t>
        </is>
      </c>
      <c r="G1" s="76" t="inlineStr">
        <is>
          <t>Format</t>
        </is>
      </c>
      <c r="H1" s="76" t="inlineStr">
        <is>
          <t>Cihaz</t>
        </is>
      </c>
      <c r="I1" s="76" t="inlineStr">
        <is>
          <t>Yayinci Grubu</t>
        </is>
      </c>
      <c r="K1" s="41" t="inlineStr">
        <is>
          <t>Bu sayfa, diğer sayfalardaki açılır listeleri besler. Yeni bir seçenek eklemek isterseniz</t>
        </is>
      </c>
    </row>
    <row r="2" ht="15" customHeight="1" s="39">
      <c r="A2" s="82" t="inlineStr">
        <is>
          <t>CPM</t>
        </is>
      </c>
      <c r="B2" s="82" t="inlineStr">
        <is>
          <t>Fatura</t>
        </is>
      </c>
      <c r="C2" s="82" t="inlineStr">
        <is>
          <t>Planlandı</t>
        </is>
      </c>
      <c r="D2" s="82" t="inlineStr">
        <is>
          <t>Kampanya sürüyor</t>
        </is>
      </c>
      <c r="E2" s="82" t="inlineStr">
        <is>
          <t>Çok kişiye ulaşmak</t>
        </is>
      </c>
      <c r="F2" s="82" t="inlineStr">
        <is>
          <t>FMCG</t>
        </is>
      </c>
      <c r="G2" s="82" t="inlineStr">
        <is>
          <t>Display</t>
        </is>
      </c>
      <c r="H2" s="82" t="inlineStr">
        <is>
          <t>Desktop</t>
        </is>
      </c>
      <c r="I2" s="82" t="inlineStr">
        <is>
          <t>Google</t>
        </is>
      </c>
      <c r="K2" s="41" t="inlineStr">
        <is>
          <t>ilgili kolonun en altına yazın. Kolonların sırasını değiştirmeyin.</t>
        </is>
      </c>
    </row>
    <row r="3" ht="15" customHeight="1" s="39">
      <c r="A3" s="82" t="inlineStr">
        <is>
          <t>CPV</t>
        </is>
      </c>
      <c r="B3" s="82" t="inlineStr">
        <is>
          <t>Platform Raporu</t>
        </is>
      </c>
      <c r="C3" s="82" t="inlineStr">
        <is>
          <t>Yayınlandı</t>
        </is>
      </c>
      <c r="D3" s="82" t="inlineStr">
        <is>
          <t>Kapanış</t>
        </is>
      </c>
      <c r="E3" s="82" t="inlineStr">
        <is>
          <t>Gösterim almak</t>
        </is>
      </c>
      <c r="F3" s="82" t="inlineStr">
        <is>
          <t>İnşaat</t>
        </is>
      </c>
      <c r="G3" s="82" t="inlineStr">
        <is>
          <t>Native</t>
        </is>
      </c>
      <c r="H3" s="82" t="inlineStr">
        <is>
          <t>Mobile</t>
        </is>
      </c>
      <c r="I3" s="82" t="inlineStr">
        <is>
          <t>Meta</t>
        </is>
      </c>
    </row>
    <row r="4" ht="15" customHeight="1" s="39">
      <c r="A4" s="82" t="inlineStr">
        <is>
          <t>CPC</t>
        </is>
      </c>
      <c r="B4" s="82" t="inlineStr">
        <is>
          <t>Hesaplanan</t>
        </is>
      </c>
      <c r="C4" s="82" t="inlineStr">
        <is>
          <t>İptal</t>
        </is>
      </c>
      <c r="E4" s="82" t="inlineStr">
        <is>
          <t>Video izletmek</t>
        </is>
      </c>
      <c r="F4" s="82" t="inlineStr">
        <is>
          <t>Emlak</t>
        </is>
      </c>
      <c r="G4" s="82" t="inlineStr">
        <is>
          <t>Advertorial</t>
        </is>
      </c>
      <c r="H4" s="82" t="inlineStr">
        <is>
          <t>Desktop / Mobile</t>
        </is>
      </c>
      <c r="I4" s="82" t="inlineStr">
        <is>
          <t>TikTok</t>
        </is>
      </c>
    </row>
    <row r="5" ht="15" customHeight="1" s="39">
      <c r="A5" s="82" t="inlineStr">
        <is>
          <t>CPL</t>
        </is>
      </c>
      <c r="C5" s="82" t="inlineStr">
        <is>
          <t>Veri Gelmedi</t>
        </is>
      </c>
      <c r="E5" s="82" t="inlineStr">
        <is>
          <t>Siteye trafik</t>
        </is>
      </c>
      <c r="F5" s="82" t="inlineStr">
        <is>
          <t>Finans</t>
        </is>
      </c>
      <c r="G5" s="82" t="inlineStr">
        <is>
          <t>Preroll</t>
        </is>
      </c>
      <c r="H5" s="82" t="inlineStr">
        <is>
          <t>CTV</t>
        </is>
      </c>
      <c r="I5" s="82" t="inlineStr">
        <is>
          <t>Spotify</t>
        </is>
      </c>
    </row>
    <row r="6" ht="15" customHeight="1" s="39">
      <c r="A6" s="82" t="inlineStr">
        <is>
          <t>CPCV</t>
        </is>
      </c>
      <c r="E6" s="82" t="inlineStr">
        <is>
          <t>Etkileşim almak</t>
        </is>
      </c>
      <c r="F6" s="82" t="inlineStr">
        <is>
          <t>Otomotiv</t>
        </is>
      </c>
      <c r="G6" s="82" t="inlineStr">
        <is>
          <t>Midroll</t>
        </is>
      </c>
      <c r="H6" s="82" t="inlineStr">
        <is>
          <t>App</t>
        </is>
      </c>
      <c r="I6" s="82" t="inlineStr">
        <is>
          <t>Disney</t>
        </is>
      </c>
    </row>
    <row r="7" ht="15" customHeight="1" s="39">
      <c r="A7" s="82" t="inlineStr">
        <is>
          <t>Sabit</t>
        </is>
      </c>
      <c r="E7" s="82" t="inlineStr">
        <is>
          <t>Form doldurtmak</t>
        </is>
      </c>
      <c r="F7" s="82" t="inlineStr">
        <is>
          <t>Perakende</t>
        </is>
      </c>
      <c r="G7" s="82" t="inlineStr">
        <is>
          <t>Masthead</t>
        </is>
      </c>
      <c r="H7" s="82" t="inlineStr">
        <is>
          <t>Audio</t>
        </is>
      </c>
      <c r="I7" s="82" t="inlineStr">
        <is>
          <t>Turkuvaz</t>
        </is>
      </c>
    </row>
    <row r="8" ht="15" customHeight="1" s="39">
      <c r="E8" s="82" t="inlineStr">
        <is>
          <t>Satış yaptırmak</t>
        </is>
      </c>
      <c r="F8" s="82" t="inlineStr">
        <is>
          <t>Telekom</t>
        </is>
      </c>
      <c r="G8" s="82" t="inlineStr">
        <is>
          <t>Non-Skippable</t>
        </is>
      </c>
      <c r="I8" s="82" t="inlineStr">
        <is>
          <t>Doğuş</t>
        </is>
      </c>
    </row>
    <row r="9" ht="15" customHeight="1" s="39">
      <c r="E9" s="82" t="inlineStr">
        <is>
          <t>Uygulama indirtmek</t>
        </is>
      </c>
      <c r="F9" s="82" t="inlineStr">
        <is>
          <t>Turizm</t>
        </is>
      </c>
      <c r="G9" s="82" t="inlineStr">
        <is>
          <t>Bumper</t>
        </is>
      </c>
      <c r="I9" s="82" t="inlineStr">
        <is>
          <t>Demirören</t>
        </is>
      </c>
    </row>
    <row r="10" ht="15" customHeight="1" s="39">
      <c r="F10" s="82" t="inlineStr">
        <is>
          <t>Sağlık</t>
        </is>
      </c>
      <c r="G10" s="82" t="inlineStr">
        <is>
          <t>Audio</t>
        </is>
      </c>
      <c r="I10" s="82" t="inlineStr">
        <is>
          <t>Can</t>
        </is>
      </c>
    </row>
    <row r="11" ht="15" customHeight="1" s="39">
      <c r="F11" s="82" t="inlineStr">
        <is>
          <t>Teknoloji</t>
        </is>
      </c>
      <c r="G11" s="82" t="inlineStr">
        <is>
          <t>Sponsorluk</t>
        </is>
      </c>
      <c r="I11" s="82" t="inlineStr">
        <is>
          <t>TRT</t>
        </is>
      </c>
    </row>
    <row r="12" ht="15" customHeight="1" s="39">
      <c r="F12" s="82" t="inlineStr">
        <is>
          <t>Diğer</t>
        </is>
      </c>
      <c r="G12" s="82" t="inlineStr">
        <is>
          <t>Alt Bant</t>
        </is>
      </c>
      <c r="I12" s="82" t="inlineStr">
        <is>
          <t>Now</t>
        </is>
      </c>
    </row>
    <row r="13" ht="15" customHeight="1" s="39">
      <c r="G13" s="82" t="inlineStr">
        <is>
          <t>In-Feed Video</t>
        </is>
      </c>
      <c r="I13" s="82" t="inlineStr">
        <is>
          <t>Mimeda</t>
        </is>
      </c>
    </row>
    <row r="14" ht="15" customHeight="1" s="39">
      <c r="G14" s="82" t="inlineStr">
        <is>
          <t>Story</t>
        </is>
      </c>
      <c r="I14" s="82" t="inlineStr">
        <is>
          <t>Warner Bros. Discovery</t>
        </is>
      </c>
    </row>
    <row r="15" ht="15" customHeight="1" s="39">
      <c r="G15" s="82" t="inlineStr">
        <is>
          <t>CTV</t>
        </is>
      </c>
      <c r="I15" s="82" t="inlineStr">
        <is>
          <t>Diğer</t>
        </is>
      </c>
    </row>
    <row r="16" ht="15" customHeight="1" s="39">
      <c r="G16" s="82" t="inlineStr">
        <is>
          <t>Diğer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2026-08-03T18:53:36Z</dcterms:created>
  <dcterms:modified xmlns:dcterms="http://purl.org/dc/terms/" xmlns:xsi="http://www.w3.org/2001/XMLSchema-instance" xsi:type="dcterms:W3CDTF">2026-08-04T18:21:28Z</dcterms:modified>
  <cp:revision>0</cp:revision>
</cp:coreProperties>
</file>