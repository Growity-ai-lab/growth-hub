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dia\Digital\2024\Markalar\ZÜBER\11_Kasım\Gerçekten - Nasıl Yedik\Rapor\"/>
    </mc:Choice>
  </mc:AlternateContent>
  <xr:revisionPtr revIDLastSave="0" documentId="13_ncr:1_{C6023D11-79B1-4534-8B1B-C4BAA8B785E7}" xr6:coauthVersionLast="47" xr6:coauthVersionMax="47" xr10:uidLastSave="{00000000-0000-0000-0000-000000000000}"/>
  <bookViews>
    <workbookView xWindow="-108" yWindow="-108" windowWidth="23256" windowHeight="12576" tabRatio="820" xr2:uid="{00000000-000D-0000-FFFF-FFFF00000000}"/>
  </bookViews>
  <sheets>
    <sheet name="Gerçekten Nasıl Yedik" sheetId="23" r:id="rId1"/>
    <sheet name="Sayfa1" sheetId="21" state="hidden" r:id="rId2"/>
  </sheets>
  <definedNames>
    <definedName name="\a">#REF!</definedName>
    <definedName name="_______der1">#REF!</definedName>
    <definedName name="_______der2">#REF!</definedName>
    <definedName name="_______ME1">#REF!</definedName>
    <definedName name="_______ME2">#REF!</definedName>
    <definedName name="_______ME3">#REF!</definedName>
    <definedName name="_______ME4">#REF!</definedName>
    <definedName name="_______ME5">#REF!</definedName>
    <definedName name="_______ME6">#REF!</definedName>
    <definedName name="_______ME7">#REF!</definedName>
    <definedName name="_______ME8">#REF!</definedName>
    <definedName name="_______per3">#REF!</definedName>
    <definedName name="_______piv3">#REF!</definedName>
    <definedName name="_______TOZ2">#REF!</definedName>
    <definedName name="_______TRT1">#REF!</definedName>
    <definedName name="_______TV8">#REF!</definedName>
    <definedName name="____der2">#REF!</definedName>
    <definedName name="____KAN7">#REF!</definedName>
    <definedName name="____per3">#REF!</definedName>
    <definedName name="____piv3">#REF!</definedName>
    <definedName name="____TOZ2">#REF!</definedName>
    <definedName name="____TRT1">#REF!</definedName>
    <definedName name="____TV8">#REF!</definedName>
    <definedName name="___der1">#REF!</definedName>
    <definedName name="___der2">#REF!</definedName>
    <definedName name="___ME1">#REF!</definedName>
    <definedName name="___ME2">#REF!</definedName>
    <definedName name="___ME3">#REF!</definedName>
    <definedName name="___ME4">#REF!</definedName>
    <definedName name="___ME5">#REF!</definedName>
    <definedName name="___ME6">#REF!</definedName>
    <definedName name="___ME7">#REF!</definedName>
    <definedName name="___ME8">#REF!</definedName>
    <definedName name="___per3">#REF!</definedName>
    <definedName name="___piv3">#REF!</definedName>
    <definedName name="___TOZ2">#REF!</definedName>
    <definedName name="___TRT1">#REF!</definedName>
    <definedName name="___TV8">#REF!</definedName>
    <definedName name="__der1">#REF!</definedName>
    <definedName name="__der2">#REF!</definedName>
    <definedName name="__ME1">#REF!</definedName>
    <definedName name="__ME2">#REF!</definedName>
    <definedName name="__ME3">#REF!</definedName>
    <definedName name="__ME4">#REF!</definedName>
    <definedName name="__ME5">#REF!</definedName>
    <definedName name="__ME6">#REF!</definedName>
    <definedName name="__ME7">#REF!</definedName>
    <definedName name="__ME8">#REF!</definedName>
    <definedName name="__per3">#REF!</definedName>
    <definedName name="__piv3">#REF!</definedName>
    <definedName name="__TOP2000">#REF!</definedName>
    <definedName name="__TOP97">#REF!</definedName>
    <definedName name="__TOP98">#REF!</definedName>
    <definedName name="__TOP99">#REF!</definedName>
    <definedName name="__TOZ2">#REF!</definedName>
    <definedName name="__TRT1">#REF!</definedName>
    <definedName name="__TV8">#REF!</definedName>
    <definedName name="_der1">#REF!</definedName>
    <definedName name="_der2">#REF!</definedName>
    <definedName name="_Fill" hidden="1">#REF!</definedName>
    <definedName name="_Key1" hidden="1">#REF!</definedName>
    <definedName name="_Key2" hidden="1">#REF!</definedName>
    <definedName name="_ME1">#REF!</definedName>
    <definedName name="_ME2">#REF!</definedName>
    <definedName name="_ME3">#REF!</definedName>
    <definedName name="_ME4">#REF!</definedName>
    <definedName name="_ME5">#REF!</definedName>
    <definedName name="_ME6">#REF!</definedName>
    <definedName name="_ME7">#REF!</definedName>
    <definedName name="_ME8">#REF!</definedName>
    <definedName name="_Order1" hidden="1">255</definedName>
    <definedName name="_Order2" hidden="1">255</definedName>
    <definedName name="_per3">#REF!</definedName>
    <definedName name="_piv3">#REF!</definedName>
    <definedName name="_Sort" hidden="1">#REF!</definedName>
    <definedName name="_TOP2000">#REF!</definedName>
    <definedName name="_TOP97">#REF!</definedName>
    <definedName name="_TOP98">#REF!</definedName>
    <definedName name="_TOP99">#REF!</definedName>
    <definedName name="_TOZ2">#REF!</definedName>
    <definedName name="_TRT1">#REF!</definedName>
    <definedName name="_TV8">#REF!</definedName>
    <definedName name="A">#REF!</definedName>
    <definedName name="A_new">#REF!</definedName>
    <definedName name="aa" hidden="1">{#N/A,#N/A,FALSE,"Sheet1 (2)"}</definedName>
    <definedName name="aaa">#REF!</definedName>
    <definedName name="AAAAAAAAAAA" hidden="1">{#N/A,#N/A,FALSE,"Sheet1 (2)"}</definedName>
    <definedName name="aaaaaaaaaaaaaaa" hidden="1">{#N/A,#N/A,FALSE,"Sheet1 (2)"}</definedName>
    <definedName name="acık" hidden="1">{#N/A,#N/A,FALSE,"Sheet1 (2)"}</definedName>
    <definedName name="açıkhava" hidden="1">{#N/A,#N/A,FALSE,"Sheet1 (2)"}</definedName>
    <definedName name="AD">#REF!</definedName>
    <definedName name="ADET">#REF!</definedName>
    <definedName name="ADULTS">#REF!</definedName>
    <definedName name="AGENCY_DISCOUNTS">#REF!</definedName>
    <definedName name="ALL">#REF!</definedName>
    <definedName name="Altın">#REF!</definedName>
    <definedName name="ALVO">#REF!</definedName>
    <definedName name="ankara" hidden="1">{#N/A,#N/A,FALSE,"Sheet1 (2)"}</definedName>
    <definedName name="Área_impressão_IM">#REF!</definedName>
    <definedName name="As">#REF!</definedName>
    <definedName name="asda" hidden="1">{#N/A,#N/A,FALSE,"Sheet1 (2)"}</definedName>
    <definedName name="asda1" hidden="1">{#N/A,#N/A,FALSE,"Sheet1 (2)"}</definedName>
    <definedName name="asdad">#REF!</definedName>
    <definedName name="asdas">#REF!</definedName>
    <definedName name="ASPETTI_COMMERCIALI">#REF!</definedName>
    <definedName name="asss">#REF!</definedName>
    <definedName name="assssdddd">#REF!</definedName>
    <definedName name="ATVIND">#REF!</definedName>
    <definedName name="AYBIM">#REF!</definedName>
    <definedName name="AYBIM10">#REF!</definedName>
    <definedName name="AYBIM11">#REF!</definedName>
    <definedName name="AYBIM12">#REF!</definedName>
    <definedName name="AYBIM13">#REF!</definedName>
    <definedName name="AYBIM2">#REF!</definedName>
    <definedName name="AYBIM3">#REF!</definedName>
    <definedName name="AYBIM4">#REF!</definedName>
    <definedName name="AYBIM5">#REF!</definedName>
    <definedName name="AYBIM6">#REF!</definedName>
    <definedName name="AYBIM7">#REF!</definedName>
    <definedName name="AYBIM8">#REF!</definedName>
    <definedName name="AYBIM9">#REF!</definedName>
    <definedName name="B">#REF!</definedName>
    <definedName name="BAC">#REF!</definedName>
    <definedName name="BASK_GRAFICO">#REF!</definedName>
    <definedName name="BASK_MODELLO">#REF!</definedName>
    <definedName name="BASK_VERSIONE">#REF!</definedName>
    <definedName name="bb">#REF!</definedName>
    <definedName name="bbb">#REF!</definedName>
    <definedName name="Best">#REF!</definedName>
    <definedName name="BIMAS">#REF!</definedName>
    <definedName name="BİMPAŞ">#REF!</definedName>
    <definedName name="bnhk" hidden="1">{#N/A,#N/A,FALSE,"Sheet1 (2)"}</definedName>
    <definedName name="BOXER">#REF!</definedName>
    <definedName name="BrandNames">#REF!</definedName>
    <definedName name="CAMBIO">#REF!</definedName>
    <definedName name="Campaign">#REF!</definedName>
    <definedName name="cbhgj" hidden="1">{#N/A,#N/A,FALSE,"Sheet1 (2)"}</definedName>
    <definedName name="ccccc">#REF!</definedName>
    <definedName name="CINE5">#REF!</definedName>
    <definedName name="CINQU">#REF!</definedName>
    <definedName name="CINQUM">#REF!</definedName>
    <definedName name="cinque">#REF!</definedName>
    <definedName name="CLIENTE">#REF!</definedName>
    <definedName name="Client">#REF!</definedName>
    <definedName name="CNBC">#REF!</definedName>
    <definedName name="CNN">#REF!</definedName>
    <definedName name="CopyLengths">#REF!</definedName>
    <definedName name="CopyNames">#REF!</definedName>
    <definedName name="cppant">#REF!</definedName>
    <definedName name="CREATED_WITH">"OptiPlan.xls"</definedName>
    <definedName name="CUSTO_TOTAL_NEGOCIADO">136730.04</definedName>
    <definedName name="CUSTO_TOTAL_TABELA">601707.21</definedName>
    <definedName name="çç" hidden="1">{#N/A,#N/A,FALSE,"Sheet1 (2)"}</definedName>
    <definedName name="das">#REF!</definedName>
    <definedName name="_xlnm.Database">#REF!</definedName>
    <definedName name="DataMonth">#REF!</definedName>
    <definedName name="DataMonthIM">#REF!</definedName>
    <definedName name="DDD" hidden="1">{#N/A,#N/A,FALSE,"Sheet1 (2)"}</definedName>
    <definedName name="DDDD">#REF!</definedName>
    <definedName name="DDDDD">#REF!</definedName>
    <definedName name="DDDDDD">#REF!</definedName>
    <definedName name="de_grubu">#REF!</definedName>
    <definedName name="de_ratecard">#REF!</definedName>
    <definedName name="de_tutar">#REF!</definedName>
    <definedName name="Deal">#REF!</definedName>
    <definedName name="DEGI">#REF!</definedName>
    <definedName name="DENİZBANK" hidden="1">{#N/A,#N/A,FALSE,"Sheet1 (2)"}</definedName>
    <definedName name="DER">#REF!</definedName>
    <definedName name="der_adi">#REF!</definedName>
    <definedName name="der_grubu">#REF!</definedName>
    <definedName name="der_ratecard">#REF!</definedName>
    <definedName name="der_tutar">#REF!</definedName>
    <definedName name="DERGI" hidden="1">{#N/A,#N/A,FALSE,"Sheet1 (2)"}</definedName>
    <definedName name="df">#REF!</definedName>
    <definedName name="DFG">#REF!</definedName>
    <definedName name="dfs">#REF!</definedName>
    <definedName name="dfsd">#REF!</definedName>
    <definedName name="DFSSFSDSS" hidden="1">{#N/A,#N/A,FALSE,"Sheet1 (2)"}</definedName>
    <definedName name="DIGER">#REF!</definedName>
    <definedName name="DIXI">#REF!</definedName>
    <definedName name="DIXIOD">#REF!</definedName>
    <definedName name="Dimensions">#REF!</definedName>
    <definedName name="Discovery">#REF!</definedName>
    <definedName name="DİXİP">#REF!</definedName>
    <definedName name="DİXİPÖDEME">#REF!</definedName>
    <definedName name="DİZİ_KANAL">#REF!</definedName>
    <definedName name="Dönem">#REF!</definedName>
    <definedName name="DU">#REF!</definedName>
    <definedName name="due">#REF!</definedName>
    <definedName name="DUM">#REF!</definedName>
    <definedName name="e" hidden="1">{#N/A,#N/A,FALSE,"Sheet1 (2)"}</definedName>
    <definedName name="eaeıi" hidden="1">{#N/A,#N/A,FALSE,"Sheet1 (2)"}</definedName>
    <definedName name="EEEE" hidden="1">{#N/A,#N/A,FALSE,"Sheet1 (2)"}</definedName>
    <definedName name="EEEEEE" hidden="1">{#N/A,#N/A,FALSE,"Sheet1 (2)"}</definedName>
    <definedName name="eeeeeeee">#REF!</definedName>
    <definedName name="eski" hidden="1">{#N/A,#N/A,FALSE,"Sheet1 (2)"}</definedName>
    <definedName name="ExchangeRates">#REF!</definedName>
    <definedName name="ezel">#REF!</definedName>
    <definedName name="FA">#REF!</definedName>
    <definedName name="Faber" localSheetId="0">VLOOKUP("ALL_MONTH_9",LANG_STRS_RNG,[0]!LANG_CELL+1,FALSE) &amp; " " &amp;  2006</definedName>
    <definedName name="Faber">VLOOKUP("ALL_MONTH_9",LANG_STRS_RNG,[0]!LANG_CELL+1,FALSE) &amp; " " &amp;  2006</definedName>
    <definedName name="FAÖD">#REF!</definedName>
    <definedName name="FASA">#REF!</definedName>
    <definedName name="FASAOD">#REF!</definedName>
    <definedName name="fdddgg">#REF!</definedName>
    <definedName name="FeeCli">#REF!</definedName>
    <definedName name="FeeIM">#REF!</definedName>
    <definedName name="fersda" hidden="1">{#N/A,#N/A,FALSE,"Sheet1 (2)"}</definedName>
    <definedName name="fff" hidden="1">{#N/A,#N/A,FALSE,"Sheet1 (2)"}</definedName>
    <definedName name="FFFF" hidden="1">{#N/A,#N/A,FALSE,"Sheet1 (2)"}</definedName>
    <definedName name="FFFFFFF">#REF!</definedName>
    <definedName name="fgn" hidden="1">{#N/A,#N/A,FALSE,"Sheet1 (2)"}</definedName>
    <definedName name="FIATZONENR">#REF!</definedName>
    <definedName name="FIYAT1">#REF!</definedName>
    <definedName name="FİLM">#REF!</definedName>
    <definedName name="FİRMA">#REF!</definedName>
    <definedName name="fiyat">#REF!</definedName>
    <definedName name="fiyat_list">#REF!</definedName>
    <definedName name="FLASH">#REF!</definedName>
    <definedName name="Form.Quota">IF(#REF!=0,0,#REF!*#REF!/#REF!)</definedName>
    <definedName name="gaz_ahp_tutar">#REF!</definedName>
    <definedName name="gaz_ratecard">#REF!</definedName>
    <definedName name="gaz_tutar">#REF!</definedName>
    <definedName name="gaz1_adi">#REF!</definedName>
    <definedName name="gaz1_adi_brut">#REF!</definedName>
    <definedName name="gaz1_adibrut">#REF!</definedName>
    <definedName name="gaz1_ahp_tutar">#REF!</definedName>
    <definedName name="gaz1_ahp_tutartl">#REF!</definedName>
    <definedName name="gaz1_brut">#REF!</definedName>
    <definedName name="gaz1_ratecard">#REF!</definedName>
    <definedName name="gaz1_tiraj">#REF!</definedName>
    <definedName name="gaz1_tutar">#REF!</definedName>
    <definedName name="gaz2_adi">#REF!</definedName>
    <definedName name="gaz2_ratecard">#REF!</definedName>
    <definedName name="gaz2_tutar">#REF!</definedName>
    <definedName name="gaze1_ahp_tutar">#REF!</definedName>
    <definedName name="gaze1_ratecard">#REF!</definedName>
    <definedName name="gaze1_tutar">#REF!</definedName>
    <definedName name="gazet1_adi">#REF!</definedName>
    <definedName name="gazet1_ahp_tutar">#REF!</definedName>
    <definedName name="gazet1_ratecard">#REF!</definedName>
    <definedName name="gazet1_tutar">#REF!</definedName>
    <definedName name="Genc">#REF!</definedName>
    <definedName name="gfdşlkgşl" hidden="1">{#N/A,#N/A,FALSE,"Sheet1 (2)"}</definedName>
    <definedName name="GFTED">#REF!</definedName>
    <definedName name="gggg">#REF!</definedName>
    <definedName name="ggggg">#REF!</definedName>
    <definedName name="gggggg" hidden="1">#REF!</definedName>
    <definedName name="GGGGT">#REF!</definedName>
    <definedName name="got">#REF!</definedName>
    <definedName name="GRP">#REF!</definedName>
    <definedName name="gunler">#REF!</definedName>
    <definedName name="H">#REF!</definedName>
    <definedName name="hafta">#REF!</definedName>
    <definedName name="hbfghh" hidden="1">{#N/A,#N/A,FALSE,"Sheet1 (2)"}</definedName>
    <definedName name="Header">#REF!</definedName>
    <definedName name="HeaderDim">#REF!</definedName>
    <definedName name="hfgfgfg">#REF!</definedName>
    <definedName name="HHH" hidden="1">{#N/A,#N/A,FALSE,"Sheet1 (2)"}</definedName>
    <definedName name="hjhjh">#REF!</definedName>
    <definedName name="HJUI" hidden="1">{#N/A,#N/A,FALSE,"Sheet1 (2)"}</definedName>
    <definedName name="HT">#REF!</definedName>
    <definedName name="ı" hidden="1">{#N/A,#N/A,FALSE,"Sheet1 (2)"}</definedName>
    <definedName name="IMPRESS">#REF!</definedName>
    <definedName name="INSERT">#REF!</definedName>
    <definedName name="INTZONNR">#REF!</definedName>
    <definedName name="ilan">#REF!</definedName>
    <definedName name="İLAN_BOYUTU_1">#REF!</definedName>
    <definedName name="İLAN_BOYUTU_2">#REF!</definedName>
    <definedName name="ima">#REF!</definedName>
    <definedName name="JJJ" hidden="1">{#N/A,#N/A,FALSE,"Sheet1 (2)"}</definedName>
    <definedName name="JKIO" hidden="1">{#N/A,#N/A,FALSE,"Sheet1 (2)"}</definedName>
    <definedName name="JOYFM_S1">#REF!</definedName>
    <definedName name="JUO" hidden="1">{#N/A,#N/A,FALSE,"Sheet1 (2)"}</definedName>
    <definedName name="K1_">#REF!</definedName>
    <definedName name="K10_">#REF!</definedName>
    <definedName name="K11_">#REF!</definedName>
    <definedName name="K12_">#REF!</definedName>
    <definedName name="K13_">#REF!</definedName>
    <definedName name="K14_">#REF!</definedName>
    <definedName name="K15_">#REF!</definedName>
    <definedName name="K16_">#REF!</definedName>
    <definedName name="K17_">#REF!</definedName>
    <definedName name="K18_">#REF!</definedName>
    <definedName name="K19_">#REF!</definedName>
    <definedName name="K2_">#REF!</definedName>
    <definedName name="K20_">#REF!</definedName>
    <definedName name="K21_">#REF!</definedName>
    <definedName name="K22_">#REF!</definedName>
    <definedName name="K3_">#REF!</definedName>
    <definedName name="K4_">#REF!</definedName>
    <definedName name="K5_">#REF!</definedName>
    <definedName name="K6_">#REF!</definedName>
    <definedName name="K7_">#REF!</definedName>
    <definedName name="K8_">#REF!</definedName>
    <definedName name="K9_">#REF!</definedName>
    <definedName name="KALAMIŞ_FENER_CADDESİ_IGRIP_SOKAK_KÖŞESİ">#REF!</definedName>
    <definedName name="KAMPANYA">#REF!</definedName>
    <definedName name="kampanya_süresi">#REF!</definedName>
    <definedName name="KANAL">#REF!</definedName>
    <definedName name="KANAL7">#REF!</definedName>
    <definedName name="KANALD">#REF!</definedName>
    <definedName name="kanallar">#REF!</definedName>
    <definedName name="KANDYENI">#REF!</definedName>
    <definedName name="KANE">#REF!</definedName>
    <definedName name="KATEGORI">#REF!</definedName>
    <definedName name="KATLIST">#REF!</definedName>
    <definedName name="KDIND">#REF!</definedName>
    <definedName name="KISSTV">#REF!</definedName>
    <definedName name="KOD">#REF!</definedName>
    <definedName name="KOLŞ" hidden="1">{#N/A,#N/A,FALSE,"Sheet1 (2)"}</definedName>
    <definedName name="KOP" hidden="1">{#N/A,#N/A,FALSE,"Sheet1 (2)"}</definedName>
    <definedName name="KÖ1">#REF!</definedName>
    <definedName name="KÖ10">#REF!</definedName>
    <definedName name="KÖ11">#REF!</definedName>
    <definedName name="KÖ12">#REF!</definedName>
    <definedName name="KÖ13">#REF!</definedName>
    <definedName name="KÖ14">#REF!</definedName>
    <definedName name="KÖ15">#REF!</definedName>
    <definedName name="KÖ16">#REF!</definedName>
    <definedName name="KÖ17">#REF!</definedName>
    <definedName name="KÖ18">#REF!</definedName>
    <definedName name="KÖ19">#REF!</definedName>
    <definedName name="KÖ2">#REF!</definedName>
    <definedName name="KÖ20">#REF!</definedName>
    <definedName name="KÖ21">#REF!</definedName>
    <definedName name="KÖ22">#REF!</definedName>
    <definedName name="KÖ3">#REF!</definedName>
    <definedName name="KÖ4">#REF!</definedName>
    <definedName name="KÖ5">#REF!</definedName>
    <definedName name="KÖ6">#REF!</definedName>
    <definedName name="KÖ7">#REF!</definedName>
    <definedName name="KÖ8">#REF!</definedName>
    <definedName name="KÖ9">#REF!</definedName>
    <definedName name="KÜMBIM">#REF!</definedName>
    <definedName name="KÜMBİM10">#REF!</definedName>
    <definedName name="KÜMBİM11">#REF!</definedName>
    <definedName name="KÜMBİM12">#REF!</definedName>
    <definedName name="KÜMBİM2">#REF!</definedName>
    <definedName name="KÜMBİM3">#REF!</definedName>
    <definedName name="KÜMBİM4">#REF!</definedName>
    <definedName name="KÜMBİM5">#REF!</definedName>
    <definedName name="KÜMBİM6">#REF!</definedName>
    <definedName name="KÜMBİM7">#REF!</definedName>
    <definedName name="KÜMBİM8">#REF!</definedName>
    <definedName name="KÜMBİM9">#REF!</definedName>
    <definedName name="L_E">#REF!</definedName>
    <definedName name="L_Eq_new">#REF!</definedName>
    <definedName name="LANG_CELL">#REF!</definedName>
    <definedName name="ListStart">#REF!</definedName>
    <definedName name="M" hidden="1">{#N/A,#N/A,FALSE,"Sheet1 (2)"}</definedName>
    <definedName name="mag" hidden="1">{#N/A,#N/A,FALSE,"Sheet1 (2)"}</definedName>
    <definedName name="MART2">#REF!</definedName>
    <definedName name="MART444">#REF!</definedName>
    <definedName name="MARTOD2">#REF!</definedName>
    <definedName name="MARTODEME">#REF!</definedName>
    <definedName name="MAYIS">#REF!</definedName>
    <definedName name="Meio">"TV"</definedName>
    <definedName name="Mepas">#REF!</definedName>
    <definedName name="Mo">#REF!</definedName>
    <definedName name="mod">#REF!</definedName>
    <definedName name="Month">#REF!</definedName>
    <definedName name="MonthIM">#REF!</definedName>
    <definedName name="musteri">#REF!</definedName>
    <definedName name="NET_TOTAL">#REF!</definedName>
    <definedName name="netnews">#REF!</definedName>
    <definedName name="Nickolodeon">#REF!</definedName>
    <definedName name="NumberOne">#REF!</definedName>
    <definedName name="OCAK">#REF!</definedName>
    <definedName name="OTT">#REF!</definedName>
    <definedName name="OTTM">#REF!</definedName>
    <definedName name="otto">#REF!</definedName>
    <definedName name="ÖD">#REF!</definedName>
    <definedName name="ödeme">#REF!</definedName>
    <definedName name="ödeme2">#REF!</definedName>
    <definedName name="ÖDEME3">#REF!</definedName>
    <definedName name="ÖDEMEVRL">#REF!</definedName>
    <definedName name="PAY">#REF!</definedName>
    <definedName name="PaymentCodeNames">#REF!</definedName>
    <definedName name="PaymentDropOpt">#REF!</definedName>
    <definedName name="PaymentIndex">#REF!</definedName>
    <definedName name="PaymentNames">#REF!</definedName>
    <definedName name="PER">#REF!</definedName>
    <definedName name="perger">#REF!</definedName>
    <definedName name="PERIODO" localSheetId="0">VLOOKUP("ALL_MONTH_9",LANG_STRS_RNG,[0]!LANG_CELL+1,FALSE) &amp; " " &amp;  2006</definedName>
    <definedName name="PERIODO">VLOOKUP("ALL_MONTH_9",LANG_STRS_RNG,LANG_CELL+1,FALSE) &amp; " " &amp;  2006</definedName>
    <definedName name="PEROD">#REF!</definedName>
    <definedName name="PerOd2">#REF!</definedName>
    <definedName name="PERÖD">#REF!</definedName>
    <definedName name="PERSILOCAK">#REF!</definedName>
    <definedName name="PERSILOD">#REF!</definedName>
    <definedName name="persil">#REF!</definedName>
    <definedName name="PERSİL2">#REF!</definedName>
    <definedName name="PERSİLEKİM">#REF!</definedName>
    <definedName name="persileyl">#REF!</definedName>
    <definedName name="PERSİLÖDEME">#REF!</definedName>
    <definedName name="PKASIM">#REF!</definedName>
    <definedName name="plan">#REF!</definedName>
    <definedName name="PLAN1">#REF!</definedName>
    <definedName name="PRIL">#REF!</definedName>
    <definedName name="PRINT_AREA_MI">#REF!</definedName>
    <definedName name="priceinput">#REF!</definedName>
    <definedName name="_xlnm.Print_Area">#REF!</definedName>
    <definedName name="_xlnm.Print_Titles">#REF!</definedName>
    <definedName name="PRODUTO">#REF!</definedName>
    <definedName name="Prog_List">#REF!</definedName>
    <definedName name="QUATTR">#REF!</definedName>
    <definedName name="QUATTRM">#REF!</definedName>
    <definedName name="quattro">#REF!</definedName>
    <definedName name="RAA" hidden="1">{#N/A,#N/A,FALSE,"Sheet1 (2)"}</definedName>
    <definedName name="RADYO" hidden="1">{#N/A,#N/A,FALSE,"Sheet1 (2)"}</definedName>
    <definedName name="RateCategoryNames">#REF!</definedName>
    <definedName name="RATING">#REF!</definedName>
    <definedName name="REFZONE">#REF!</definedName>
    <definedName name="RRRR" hidden="1">{#N/A,#N/A,FALSE,"Sheet1 (2)"}</definedName>
    <definedName name="RRRRRRRR" hidden="1">{#N/A,#N/A,FALSE,"Sheet1 (2)"}</definedName>
    <definedName name="rrrrrrrrrr" hidden="1">{#N/A,#N/A,FALSE,"Sheet1 (2)"}</definedName>
    <definedName name="s">#REF!</definedName>
    <definedName name="SAAT">#REF!</definedName>
    <definedName name="sdasdadsda">#REF!</definedName>
    <definedName name="sdf">#REF!</definedName>
    <definedName name="sdgsdg">#REF!</definedName>
    <definedName name="SE">#REF!</definedName>
    <definedName name="sei">#REF!</definedName>
    <definedName name="SELECTED">#REF!</definedName>
    <definedName name="SEM">#REF!</definedName>
    <definedName name="SETT">#REF!</definedName>
    <definedName name="sette">#REF!</definedName>
    <definedName name="SETTM">#REF!</definedName>
    <definedName name="sfgdfgsfg">#REF!</definedName>
    <definedName name="sgsdgsg">#REF!</definedName>
    <definedName name="sgsfgsfg">#REF!</definedName>
    <definedName name="SIVI">#REF!</definedName>
    <definedName name="SOFT">#REF!</definedName>
    <definedName name="SOFTOD">#REF!</definedName>
    <definedName name="SPOT">#REF!</definedName>
    <definedName name="SSSS">#REF!</definedName>
    <definedName name="sssss">#REF!</definedName>
    <definedName name="SSSSSS">#REF!</definedName>
    <definedName name="SSSSSSS">#REF!</definedName>
    <definedName name="SSSSSSSS">#REF!</definedName>
    <definedName name="star">#REF!</definedName>
    <definedName name="StationNames">#REF!</definedName>
    <definedName name="STV">#REF!</definedName>
    <definedName name="SURE">#REF!</definedName>
    <definedName name="t">#REF!</definedName>
    <definedName name="TAKSİTCARDGERÇ">#REF!</definedName>
    <definedName name="taksitcardödeme">#REF!</definedName>
    <definedName name="taksitcardözet">#REF!</definedName>
    <definedName name="taksitcardtem">#REF!</definedName>
    <definedName name="taksitcartgerç2">#REF!</definedName>
    <definedName name="taksitödeme">#REF!</definedName>
    <definedName name="TAKSİTÖDEMEGERÇ">#REF!</definedName>
    <definedName name="Target">#REF!</definedName>
    <definedName name="tarifeee">#REF!</definedName>
    <definedName name="TARİH">#REF!</definedName>
    <definedName name="TARYFE">#REF!</definedName>
    <definedName name="tat" hidden="1">{#N/A,#N/A,FALSE,"Sheet1 (2)"}</definedName>
    <definedName name="TCAGUS">#REF!</definedName>
    <definedName name="TEK">#REF!</definedName>
    <definedName name="TELEMONİTÖR">#REF!</definedName>
    <definedName name="TELESPOT">#REF!</definedName>
    <definedName name="TGRTYAZ">#REF!</definedName>
    <definedName name="thş" hidden="1">{#N/A,#N/A,FALSE,"Sheet1 (2)"}</definedName>
    <definedName name="tito">#REF!</definedName>
    <definedName name="Titolo">#REF!</definedName>
    <definedName name="TL">#REF!</definedName>
    <definedName name="TOPLAM">#REF!</definedName>
    <definedName name="TOPLAM1">#REF!</definedName>
    <definedName name="TOPLAM10">#REF!</definedName>
    <definedName name="TOPLAM11">#REF!</definedName>
    <definedName name="TOPLAM12">#REF!</definedName>
    <definedName name="TOPLAM13">#REF!</definedName>
    <definedName name="TOPLAM2">#REF!</definedName>
    <definedName name="TOPLAM2000">#REF!</definedName>
    <definedName name="TOPLAM3">#REF!</definedName>
    <definedName name="TOPLAM4">#REF!</definedName>
    <definedName name="TOPLAM5">#REF!</definedName>
    <definedName name="TOPLAM6">#REF!</definedName>
    <definedName name="TOPLAM7">#REF!</definedName>
    <definedName name="TOPLAM8">#REF!</definedName>
    <definedName name="TOPLAM9">#REF!</definedName>
    <definedName name="TOPLAM99">#REF!</definedName>
    <definedName name="TOPLAMBİM2000">#REF!</definedName>
    <definedName name="TOPLAMBİŞ2000">#REF!</definedName>
    <definedName name="TOPLAMKUM99">#REF!</definedName>
    <definedName name="TOPLAMKÜM99">#REF!</definedName>
    <definedName name="TOPLAMTROY2000">#REF!</definedName>
    <definedName name="TOPTROY2000">#REF!</definedName>
    <definedName name="TOPTUBORG2000">#REF!</definedName>
    <definedName name="toz">#REF!</definedName>
    <definedName name="TR">#REF!</definedName>
    <definedName name="TRE">#REF!</definedName>
    <definedName name="TRM">#REF!</definedName>
    <definedName name="TROY">#REF!</definedName>
    <definedName name="TROYKÜM99">#REF!</definedName>
    <definedName name="TROYTOP">#REF!</definedName>
    <definedName name="TTTTT">#REF!</definedName>
    <definedName name="TTTTTTTT">#REF!</definedName>
    <definedName name="TUBORG">#REF!</definedName>
    <definedName name="TUTAR">#REF!</definedName>
    <definedName name="tutku" hidden="1">{#N/A,#N/A,FALSE,"Sheet1 (2)"}</definedName>
    <definedName name="TÜR">#REF!</definedName>
    <definedName name="TV">#REF!</definedName>
    <definedName name="Typologies">#REF!</definedName>
    <definedName name="uea" hidden="1">{#N/A,#N/A,FALSE,"Sheet1 (2)"}</definedName>
    <definedName name="uid">#REF!</definedName>
    <definedName name="un">#REF!</definedName>
    <definedName name="UNM">#REF!</definedName>
    <definedName name="uno">#REF!</definedName>
    <definedName name="URUN">#REF!</definedName>
    <definedName name="vektorm">#REF!</definedName>
    <definedName name="VERNEL">#REF!</definedName>
    <definedName name="VERNELARALIK">#REF!</definedName>
    <definedName name="vernelekim">#REF!</definedName>
    <definedName name="vernelkasım">#REF!</definedName>
    <definedName name="VERNELOC">#REF!</definedName>
    <definedName name="VERNELÖDEME">#REF!</definedName>
    <definedName name="VERNELPİV">#REF!</definedName>
    <definedName name="VF" hidden="1">{#N/A,#N/A,FALSE,"Sheet1 (2)"}</definedName>
    <definedName name="VINCW">#REF!</definedName>
    <definedName name="vpiv">#REF!</definedName>
    <definedName name="vrnksmödeme">#REF!</definedName>
    <definedName name="vv">#REF!</definedName>
    <definedName name="WAP">#REF!</definedName>
    <definedName name="waphazöd">#REF!</definedName>
    <definedName name="waphazödeme2">#REF!</definedName>
    <definedName name="WAPHAZÖZET">#REF!</definedName>
    <definedName name="waphazözet2">#REF!</definedName>
    <definedName name="WAPÖD2">#REF!</definedName>
    <definedName name="WAPÖDEME">#REF!</definedName>
    <definedName name="WAPÖZ2">#REF!</definedName>
    <definedName name="wcgel">#REF!</definedName>
    <definedName name="wcodeme">#REF!</definedName>
    <definedName name="Work">#REF!</definedName>
    <definedName name="wrn.SSS." hidden="1">{#N/A,#N/A,FALSE,"Sheet1 (2)"}</definedName>
    <definedName name="X" hidden="1">{#N/A,#N/A,FALSE,"Sheet1 (2)"}</definedName>
    <definedName name="xxx" hidden="1">{#N/A,#N/A,FALSE,"Sheet1 (2)"}</definedName>
    <definedName name="YENI">#REF!</definedName>
    <definedName name="yfg">#REF!</definedName>
    <definedName name="YKB">#REF!</definedName>
    <definedName name="ykb2">#REF!</definedName>
    <definedName name="YKBMARTGERÇ">#REF!</definedName>
    <definedName name="ykbod">#REF!</definedName>
    <definedName name="Ze">#REF!</definedName>
    <definedName name="ZEDPAS">#REF!</definedName>
    <definedName name="ZEYNEP" hidden="1">{#N/A,#N/A,FALSE,"Sheet1 (2)"}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40" i="23" l="1"/>
  <c r="J40" i="23" l="1"/>
  <c r="J41" i="23"/>
  <c r="V50" i="23"/>
  <c r="V40" i="23"/>
  <c r="C10" i="23"/>
  <c r="Y50" i="23"/>
  <c r="C9" i="23" s="1"/>
  <c r="W50" i="23"/>
  <c r="U50" i="23"/>
  <c r="X50" i="23"/>
  <c r="Z50" i="23"/>
  <c r="Z49" i="23"/>
  <c r="Z46" i="23"/>
  <c r="Z47" i="23"/>
  <c r="Z48" i="23"/>
  <c r="Z45" i="23"/>
  <c r="Z19" i="23"/>
  <c r="Z20" i="23"/>
  <c r="Z21" i="23"/>
  <c r="Z22" i="23"/>
  <c r="Z23" i="23"/>
  <c r="Z24" i="23"/>
  <c r="Z25" i="23"/>
  <c r="Z26" i="23"/>
  <c r="Z27" i="23"/>
  <c r="Z28" i="23"/>
  <c r="Z29" i="23"/>
  <c r="Z30" i="23"/>
  <c r="Z31" i="23"/>
  <c r="Z18" i="23"/>
  <c r="Y18" i="23"/>
  <c r="X18" i="23"/>
  <c r="W18" i="23"/>
  <c r="W40" i="23"/>
  <c r="Y40" i="23"/>
  <c r="X49" i="23"/>
  <c r="X48" i="23"/>
  <c r="X47" i="23"/>
  <c r="X45" i="23"/>
  <c r="X22" i="23"/>
  <c r="X21" i="23"/>
  <c r="X20" i="23"/>
  <c r="X19" i="23"/>
  <c r="X23" i="23"/>
  <c r="X24" i="23"/>
  <c r="X25" i="23"/>
  <c r="X26" i="23"/>
  <c r="X27" i="23"/>
  <c r="X28" i="23"/>
  <c r="X29" i="23"/>
  <c r="X30" i="23"/>
  <c r="X31" i="23"/>
  <c r="R18" i="23"/>
  <c r="C11" i="23" l="1"/>
  <c r="T18" i="23"/>
  <c r="T20" i="23" l="1"/>
  <c r="T21" i="23"/>
  <c r="T22" i="23"/>
  <c r="T23" i="23"/>
  <c r="T24" i="23"/>
  <c r="T25" i="23"/>
  <c r="T26" i="23"/>
  <c r="T27" i="23"/>
  <c r="T28" i="23"/>
  <c r="T29" i="23"/>
  <c r="T30" i="23"/>
  <c r="T31" i="23"/>
  <c r="T19" i="23"/>
  <c r="T48" i="23"/>
  <c r="T47" i="23"/>
  <c r="T45" i="23"/>
  <c r="R48" i="23"/>
  <c r="R45" i="23"/>
  <c r="R47" i="23"/>
  <c r="R23" i="23"/>
  <c r="N40" i="23" l="1"/>
  <c r="O40" i="23"/>
  <c r="Q40" i="23"/>
  <c r="P40" i="23"/>
  <c r="N50" i="23"/>
  <c r="O50" i="23"/>
  <c r="P50" i="23"/>
  <c r="T49" i="23"/>
  <c r="U46" i="23"/>
  <c r="R25" i="23"/>
  <c r="R24" i="23"/>
  <c r="M50" i="23"/>
  <c r="J49" i="23"/>
  <c r="J48" i="23"/>
  <c r="J47" i="23"/>
  <c r="J45" i="23"/>
  <c r="J50" i="23" s="1"/>
  <c r="Z36" i="23" l="1"/>
  <c r="T36" i="23"/>
  <c r="Z35" i="23"/>
  <c r="T35" i="23"/>
  <c r="J52" i="23"/>
  <c r="Z34" i="23"/>
  <c r="Z38" i="23"/>
  <c r="T38" i="23"/>
  <c r="U40" i="23"/>
  <c r="C8" i="23" s="1"/>
  <c r="Z39" i="23"/>
  <c r="T39" i="23"/>
  <c r="Z33" i="23"/>
  <c r="Z37" i="23"/>
  <c r="T37" i="23"/>
  <c r="J22" i="23"/>
  <c r="J29" i="23"/>
  <c r="J30" i="23"/>
  <c r="J31" i="23"/>
  <c r="J32" i="23"/>
  <c r="J34" i="23"/>
  <c r="Z32" i="23" l="1"/>
  <c r="Z40" i="23" s="1"/>
  <c r="R28" i="23"/>
  <c r="J28" i="23"/>
  <c r="V47" i="23" l="1"/>
  <c r="V48" i="23"/>
  <c r="V49" i="23"/>
  <c r="T40" i="23" l="1"/>
  <c r="Q50" i="23"/>
  <c r="J46" i="23"/>
  <c r="J51" i="23" s="1"/>
  <c r="J39" i="23"/>
  <c r="J38" i="23"/>
  <c r="J37" i="23"/>
  <c r="J36" i="23"/>
  <c r="J35" i="23"/>
  <c r="J33" i="23"/>
  <c r="J27" i="23"/>
  <c r="J26" i="23"/>
  <c r="J25" i="23"/>
  <c r="J24" i="23"/>
  <c r="J23" i="23"/>
  <c r="J21" i="23"/>
  <c r="J20" i="23"/>
  <c r="J19" i="23"/>
  <c r="J18" i="23"/>
  <c r="R27" i="23"/>
  <c r="R26" i="23"/>
  <c r="R22" i="23"/>
  <c r="R21" i="23"/>
  <c r="R29" i="23"/>
  <c r="C12" i="23" l="1"/>
  <c r="C7" i="23" s="1"/>
  <c r="C6" i="23" l="1"/>
</calcChain>
</file>

<file path=xl/sharedStrings.xml><?xml version="1.0" encoding="utf-8"?>
<sst xmlns="http://schemas.openxmlformats.org/spreadsheetml/2006/main" count="398" uniqueCount="112">
  <si>
    <t>Marka</t>
  </si>
  <si>
    <t>Site/Network</t>
  </si>
  <si>
    <t>Yayın Türü</t>
  </si>
  <si>
    <t>Gerçekleşen AHB</t>
  </si>
  <si>
    <t>58,099 1,081,677 416,393 171,667 415,472 229,886 209,792 194,586 397,544 188,000 231,639 247,897</t>
  </si>
  <si>
    <t>Kampanya</t>
  </si>
  <si>
    <t>Platform</t>
  </si>
  <si>
    <t>Medium</t>
  </si>
  <si>
    <t>Mecra</t>
  </si>
  <si>
    <t>Kategori / Hedefleme</t>
  </si>
  <si>
    <t>Planlanan Imp,View,Reach</t>
  </si>
  <si>
    <t>Frekans</t>
  </si>
  <si>
    <t xml:space="preserve">Birim Maliyet </t>
  </si>
  <si>
    <t>Yayın Bedeli</t>
  </si>
  <si>
    <t>Her Şey Dahil Bütçe</t>
  </si>
  <si>
    <t>Süre</t>
  </si>
  <si>
    <t>Yayın Tarihleri</t>
  </si>
  <si>
    <t>Desktop / Mobile</t>
  </si>
  <si>
    <t>Video</t>
  </si>
  <si>
    <t>Google</t>
  </si>
  <si>
    <t>Rotasyon</t>
  </si>
  <si>
    <t>Mobile</t>
  </si>
  <si>
    <t>TikTok</t>
  </si>
  <si>
    <t>Hedeflemeli Yayın</t>
  </si>
  <si>
    <t>Reach</t>
  </si>
  <si>
    <t>Preroll</t>
  </si>
  <si>
    <t>Video View</t>
  </si>
  <si>
    <t>Display</t>
  </si>
  <si>
    <t>Marka:</t>
  </si>
  <si>
    <t>Kampanya Adı:</t>
  </si>
  <si>
    <t>Kampanya Dönemi:</t>
  </si>
  <si>
    <t>Planlanan Kampanya Maliyeti:</t>
  </si>
  <si>
    <t>Gerçekleşen Impression</t>
  </si>
  <si>
    <t>Gerçekleşen View</t>
  </si>
  <si>
    <t>Gerçekleşen Click</t>
  </si>
  <si>
    <t>Gerçekleşen  CPM</t>
  </si>
  <si>
    <t>Gerçekleşen CPV</t>
  </si>
  <si>
    <t>Harcanan Tutar</t>
  </si>
  <si>
    <t>Gerçekleşen Adserver</t>
  </si>
  <si>
    <t>-</t>
  </si>
  <si>
    <t>Kalan Yayın Bütçesi:</t>
  </si>
  <si>
    <t>Gerçekleşen Kampanya Maliyeti:</t>
  </si>
  <si>
    <t>Gerçekleşen Yayın Maliyeti:</t>
  </si>
  <si>
    <t>Gerçekleşen Adserver Maliyeti:</t>
  </si>
  <si>
    <t>Gerçekleşen AHB Maliyeti:</t>
  </si>
  <si>
    <t>Meta</t>
  </si>
  <si>
    <t>Youtube</t>
  </si>
  <si>
    <t>X</t>
  </si>
  <si>
    <t>TV8</t>
  </si>
  <si>
    <t>Facebook</t>
  </si>
  <si>
    <t>Masthead</t>
  </si>
  <si>
    <t>Top View</t>
  </si>
  <si>
    <t>Top Feed</t>
  </si>
  <si>
    <t>Facebook &amp; Instagram</t>
  </si>
  <si>
    <t>Gerçekleşen Stopaj</t>
  </si>
  <si>
    <t>Gerçekleşen İletişim Vergisi</t>
  </si>
  <si>
    <t>Gerçekleşen VCR</t>
  </si>
  <si>
    <t>Engagement</t>
  </si>
  <si>
    <t>DV360</t>
  </si>
  <si>
    <t>Züber</t>
  </si>
  <si>
    <t>Gerçekten Nasıl Yedik</t>
  </si>
  <si>
    <t>Nasıl Yedik?</t>
  </si>
  <si>
    <t>TRT</t>
  </si>
  <si>
    <t>Turkuvaz</t>
  </si>
  <si>
    <t>Demirören</t>
  </si>
  <si>
    <t>Ciner</t>
  </si>
  <si>
    <t>Doğuş</t>
  </si>
  <si>
    <t>Acun Medya</t>
  </si>
  <si>
    <t>Instagram
Feed</t>
  </si>
  <si>
    <t>Instagram
 Reels + Story</t>
  </si>
  <si>
    <t>Instagram
Feed + Reels</t>
  </si>
  <si>
    <t>Programatik</t>
  </si>
  <si>
    <t>ATV</t>
  </si>
  <si>
    <t>Kanald</t>
  </si>
  <si>
    <t>ShowTV</t>
  </si>
  <si>
    <t>StarTV</t>
  </si>
  <si>
    <t>PuhuTV</t>
  </si>
  <si>
    <t>Exxen</t>
  </si>
  <si>
    <t>Line up</t>
  </si>
  <si>
    <t>Mass</t>
  </si>
  <si>
    <t>Diziler - Canlı Yayın</t>
  </si>
  <si>
    <t xml:space="preserve">1.Kategori Diziler </t>
  </si>
  <si>
    <t xml:space="preserve">Trueview in-stream </t>
  </si>
  <si>
    <t>Trueview for Action</t>
  </si>
  <si>
    <t>Video view - Thruplay</t>
  </si>
  <si>
    <t>First View + Spotlight Trend Takeover</t>
  </si>
  <si>
    <t>Video view</t>
  </si>
  <si>
    <t>Preroll Video</t>
  </si>
  <si>
    <t>Preroll Video - Atlanamayan</t>
  </si>
  <si>
    <t>1.Kategori Jenerik-Atlanamayan</t>
  </si>
  <si>
    <t>Programatik NW</t>
  </si>
  <si>
    <t>Traffic</t>
  </si>
  <si>
    <t>Conversion</t>
  </si>
  <si>
    <t>Banner CPC</t>
  </si>
  <si>
    <t>11-30 Kasım</t>
  </si>
  <si>
    <t>13-17 Kasım</t>
  </si>
  <si>
    <t>14-30 Kasım</t>
  </si>
  <si>
    <t>16 Kasım</t>
  </si>
  <si>
    <t>13-30 Kasım</t>
  </si>
  <si>
    <t>Gerçekleşen lp view</t>
  </si>
  <si>
    <t>Gerçekleşen CPC</t>
  </si>
  <si>
    <t>11 Kasım-30 Kasım</t>
  </si>
  <si>
    <t>8.54%</t>
  </si>
  <si>
    <t>8.14%</t>
  </si>
  <si>
    <t>8.79%</t>
  </si>
  <si>
    <t>7.23%</t>
  </si>
  <si>
    <t>13.71%</t>
  </si>
  <si>
    <t>1.67%</t>
  </si>
  <si>
    <t>2.78%</t>
  </si>
  <si>
    <t>3.27%</t>
  </si>
  <si>
    <t>21.99%</t>
  </si>
  <si>
    <t>15.1%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</si>
</sst>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8">
    <numFmt numFmtId="44" formatCode="_-&quot;₺&quot;* #,##0.00_-;\-&quot;₺&quot;* #,##0.00_-;_-&quot;₺&quot;* &quot;-&quot;??_-;_-@_-"/>
    <numFmt numFmtId="164" formatCode="_-* #,##0.00\ _₺_-;\-* #,##0.00\ _₺_-;_-* &quot;-&quot;??\ _₺_-;_-@_-"/>
    <numFmt numFmtId="165" formatCode="_-* #,##0.00\ &quot;TL&quot;_-;\-* #,##0.00\ &quot;TL&quot;_-;_-* &quot;-&quot;??\ &quot;TL&quot;_-;_-@_-"/>
    <numFmt numFmtId="166" formatCode="#,##0;\-#,##0;&quot;-&quot;"/>
    <numFmt numFmtId="167" formatCode="#,##0.00;\-#,##0.00;&quot;-&quot;"/>
    <numFmt numFmtId="168" formatCode="#,##0%;\-#,##0%;&quot;- &quot;"/>
    <numFmt numFmtId="169" formatCode="#,##0.0%;\-#,##0.0%;&quot;- &quot;"/>
    <numFmt numFmtId="170" formatCode="#,##0.00%;\-#,##0.00%;&quot;- &quot;"/>
    <numFmt numFmtId="171" formatCode="#,##0.0;\-#,##0.0;&quot;-&quot;"/>
    <numFmt numFmtId="172" formatCode="_-* #,##0.00\ [$€-1]_-;\-* #,##0.00\ [$€-1]_-;_-* &quot;-&quot;??\ [$€-1]_-"/>
    <numFmt numFmtId="173" formatCode="#,##0;[Red]#,##0&quot;-&quot;"/>
    <numFmt numFmtId="174" formatCode="#,##0.00;[Red]#,##0.00&quot;-&quot;"/>
    <numFmt numFmtId="175" formatCode="_-* #,##0\ _D_M_-;\-* #,##0\ _D_M_-;_-* &quot;-&quot;\ _D_M_-;_-@_-"/>
    <numFmt numFmtId="176" formatCode="_-* #,##0.00\ _D_M_-;\-* #,##0.00\ _D_M_-;_-* &quot;-&quot;??\ _D_M_-;_-@_-"/>
    <numFmt numFmtId="177" formatCode="_-* #,##0\ _F_-;\-* #,##0\ _F_-;_-* &quot;-&quot;\ _F_-;_-@_-"/>
    <numFmt numFmtId="178" formatCode="_-* #,##0.00\ _F_-;\-* #,##0.00\ _F_-;_-* &quot;-&quot;??\ _F_-;_-@_-"/>
    <numFmt numFmtId="179" formatCode="_-* #,##0\ &quot;DM&quot;_-;\-* #,##0\ &quot;DM&quot;_-;_-* &quot;-&quot;\ &quot;DM&quot;_-;_-@_-"/>
    <numFmt numFmtId="180" formatCode="_-* #,##0.00\ &quot;DM&quot;_-;\-* #,##0.00\ &quot;DM&quot;_-;_-* &quot;-&quot;??\ &quot;DM&quot;_-;_-@_-"/>
    <numFmt numFmtId="181" formatCode="_-* #,##0\ &quot;F&quot;_-;\-* #,##0\ &quot;F&quot;_-;_-* &quot;-&quot;\ &quot;F&quot;_-;_-@_-"/>
    <numFmt numFmtId="182" formatCode="_-* #,##0.00\ &quot;F&quot;_-;\-* #,##0.00\ &quot;F&quot;_-;_-* &quot;-&quot;??\ &quot;F&quot;_-;_-@_-"/>
    <numFmt numFmtId="183" formatCode="0%;\(0%\)"/>
    <numFmt numFmtId="184" formatCode="\ \ @"/>
    <numFmt numFmtId="185" formatCode="\ \ \ \ @"/>
    <numFmt numFmtId="186" formatCode="&quot;f.&quot;\ #,##0_-;[Red]&quot;f.&quot;\ #,##0\-"/>
    <numFmt numFmtId="187" formatCode="&quot;f.&quot;\ #,##0.00_-;[Red]&quot;f.&quot;\ #,##0.00\-"/>
    <numFmt numFmtId="188" formatCode="#,##0\ &quot;thruplay&quot;"/>
    <numFmt numFmtId="189" formatCode="#,##0\ &quot;erişim&quot;"/>
    <numFmt numFmtId="190" formatCode="_-[$₺-41F]* #,##0.00_-;\-[$₺-41F]* #,##0.00_-;_-[$₺-41F]* &quot;-&quot;??_-;_-@_-"/>
    <numFmt numFmtId="191" formatCode="#,##0\ &quot;imp&quot;"/>
    <numFmt numFmtId="192" formatCode="#,##0\ &quot;view&quot;"/>
    <numFmt numFmtId="193" formatCode="#,##0\ &quot;gün&quot;"/>
    <numFmt numFmtId="194" formatCode="&quot;₺&quot;#,##0"/>
    <numFmt numFmtId="195" formatCode="#,##0\ &quot;click&quot;"/>
    <numFmt numFmtId="196" formatCode="#,##0\ &quot;dinlenme&quot;"/>
    <numFmt numFmtId="197" formatCode="_-&quot;₺&quot;* #,##0.000_-;\-&quot;₺&quot;* #,##0.000_-;_-&quot;₺&quot;* &quot;-&quot;??_-;_-@_-"/>
    <numFmt numFmtId="198" formatCode="_-[$₺-41F]* #,##0_-;\-[$₺-41F]* #,##0_-;_-[$₺-41F]* &quot;-&quot;??_-;_-@_-"/>
    <numFmt numFmtId="199" formatCode="#,##0\ &quot;engagement&quot;"/>
    <numFmt numFmtId="200" formatCode="#,##0\ &quot;lp view&quot;"/>
  </numFmts>
  <fonts count="55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u/>
      <sz val="10"/>
      <color indexed="12"/>
      <name val="Arial"/>
      <family val="2"/>
      <charset val="162"/>
    </font>
    <font>
      <b/>
      <sz val="11"/>
      <name val="Arial"/>
      <family val="2"/>
      <charset val="162"/>
    </font>
    <font>
      <b/>
      <sz val="19"/>
      <color indexed="9"/>
      <name val="Arial"/>
      <family val="2"/>
      <charset val="162"/>
    </font>
    <font>
      <sz val="8"/>
      <name val="Arial"/>
      <family val="2"/>
      <charset val="162"/>
    </font>
    <font>
      <sz val="10"/>
      <color indexed="8"/>
      <name val="Arial"/>
      <family val="2"/>
    </font>
    <font>
      <sz val="10"/>
      <name val="MS Serif"/>
      <family val="1"/>
      <charset val="162"/>
    </font>
    <font>
      <sz val="10"/>
      <name val="Courier"/>
      <family val="1"/>
      <charset val="162"/>
    </font>
    <font>
      <sz val="10"/>
      <color indexed="12"/>
      <name val="Arial"/>
      <family val="2"/>
    </font>
    <font>
      <sz val="10"/>
      <color indexed="16"/>
      <name val="MS Serif"/>
      <family val="1"/>
      <charset val="162"/>
    </font>
    <font>
      <sz val="9"/>
      <name val="Arial"/>
      <family val="2"/>
      <charset val="162"/>
    </font>
    <font>
      <b/>
      <sz val="16"/>
      <name val="Arial"/>
      <family val="2"/>
      <charset val="162"/>
    </font>
    <font>
      <b/>
      <sz val="24"/>
      <color indexed="8"/>
      <name val="Times New Roman"/>
      <family val="1"/>
      <charset val="162"/>
    </font>
    <font>
      <b/>
      <sz val="12"/>
      <name val="Arial"/>
      <family val="2"/>
    </font>
    <font>
      <b/>
      <sz val="10"/>
      <name val="Helv"/>
    </font>
    <font>
      <sz val="10"/>
      <name val="MS Sans Serif"/>
      <family val="2"/>
      <charset val="162"/>
    </font>
    <font>
      <sz val="10"/>
      <color indexed="14"/>
      <name val="Arial"/>
      <family val="2"/>
    </font>
    <font>
      <sz val="24"/>
      <name val="Arial"/>
      <family val="2"/>
      <charset val="162"/>
    </font>
    <font>
      <b/>
      <sz val="32"/>
      <name val="Arial"/>
      <family val="2"/>
      <charset val="162"/>
    </font>
    <font>
      <b/>
      <sz val="9"/>
      <name val="Arial"/>
      <family val="2"/>
      <charset val="162"/>
    </font>
    <font>
      <sz val="7"/>
      <name val="Small Fonts"/>
      <family val="2"/>
      <charset val="162"/>
    </font>
    <font>
      <sz val="10"/>
      <color indexed="10"/>
      <name val="Arial"/>
      <family val="2"/>
    </font>
    <font>
      <sz val="8"/>
      <name val="Helv"/>
    </font>
    <font>
      <sz val="10"/>
      <name val="Times New Roman"/>
      <family val="1"/>
    </font>
    <font>
      <b/>
      <sz val="8"/>
      <color indexed="8"/>
      <name val="Helv"/>
    </font>
    <font>
      <sz val="10"/>
      <name val="Verdana"/>
      <family val="2"/>
    </font>
    <font>
      <u/>
      <sz val="10"/>
      <color theme="10"/>
      <name val="Verdana"/>
      <family val="2"/>
    </font>
    <font>
      <sz val="10"/>
      <name val="Arial"/>
      <family val="2"/>
    </font>
    <font>
      <sz val="10"/>
      <name val="Verdana"/>
      <family val="2"/>
      <charset val="162"/>
    </font>
    <font>
      <sz val="11"/>
      <color indexed="8"/>
      <name val="Calibri"/>
      <family val="2"/>
    </font>
    <font>
      <sz val="11"/>
      <color theme="1"/>
      <name val="Candara"/>
      <family val="2"/>
      <charset val="162"/>
    </font>
    <font>
      <b/>
      <sz val="14"/>
      <color theme="0"/>
      <name val="Poppins"/>
      <charset val="162"/>
    </font>
    <font>
      <b/>
      <sz val="14"/>
      <color theme="1"/>
      <name val="Poppins"/>
      <charset val="162"/>
    </font>
    <font>
      <sz val="14"/>
      <color theme="1"/>
      <name val="Poppins"/>
      <charset val="162"/>
    </font>
    <font>
      <b/>
      <sz val="14"/>
      <color rgb="FFC00000"/>
      <name val="Poppins"/>
      <charset val="162"/>
    </font>
    <font>
      <u/>
      <sz val="11"/>
      <color theme="10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  <font>
      <sz val="10"/>
      <name val="Arial Tur"/>
    </font>
    <font>
      <sz val="14"/>
      <color theme="0"/>
      <name val="Poppins"/>
      <charset val="162"/>
    </font>
    <font>
      <b/>
      <sz val="13"/>
      <color theme="0"/>
      <name val="Poppins"/>
      <charset val="162"/>
    </font>
    <font>
      <sz val="16"/>
      <color theme="0"/>
      <name val="Poppins"/>
      <charset val="162"/>
    </font>
    <font>
      <b/>
      <sz val="16"/>
      <color theme="0"/>
      <name val="Poppins"/>
      <charset val="162"/>
    </font>
    <font>
      <b/>
      <sz val="16"/>
      <color theme="1"/>
      <name val="Poppins"/>
      <charset val="162"/>
    </font>
    <font>
      <sz val="16"/>
      <color theme="1"/>
      <name val="Poppins"/>
      <charset val="162"/>
    </font>
    <font>
      <b/>
      <sz val="16"/>
      <color theme="3" tint="0.39997558519241921"/>
      <name val="Poppins"/>
      <charset val="162"/>
    </font>
    <font>
      <b/>
      <sz val="16"/>
      <color rgb="FFC00000"/>
      <name val="Poppins"/>
      <charset val="162"/>
    </font>
    <font>
      <b/>
      <sz val="14"/>
      <color theme="1"/>
      <name val="Candara"/>
      <family val="2"/>
      <charset val="162"/>
    </font>
    <font>
      <b/>
      <sz val="26"/>
      <color theme="1"/>
      <name val="Candara"/>
      <family val="2"/>
      <charset val="162"/>
    </font>
    <font>
      <sz val="11"/>
      <color theme="1"/>
      <name val="Poppins"/>
      <charset val="162"/>
    </font>
    <font>
      <b/>
      <u val="singleAccounting"/>
      <sz val="11"/>
      <color rgb="FFC00000"/>
      <name val="Poppins"/>
      <charset val="162"/>
    </font>
    <font>
      <b/>
      <u/>
      <sz val="16"/>
      <color rgb="FFC00000"/>
      <name val="Poppins"/>
      <charset val="162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lightGray"/>
    </fill>
    <fill>
      <patternFill patternType="solid">
        <fgColor indexed="2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ck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97">
    <xf numFmtId="0" fontId="0" fillId="0" borderId="0"/>
    <xf numFmtId="44" fontId="1" fillId="0" borderId="0" applyFont="0" applyFill="0" applyBorder="0" applyAlignment="0" applyProtection="0"/>
    <xf numFmtId="0" fontId="2" fillId="0" borderId="0"/>
    <xf numFmtId="0" fontId="3" fillId="0" borderId="0"/>
    <xf numFmtId="0" fontId="6" fillId="0" borderId="0"/>
    <xf numFmtId="0" fontId="7" fillId="1" borderId="0">
      <alignment horizontal="centerContinuous" vertical="center"/>
    </xf>
    <xf numFmtId="0" fontId="8" fillId="0" borderId="0"/>
    <xf numFmtId="166" fontId="9" fillId="0" borderId="0" applyFill="0" applyBorder="0" applyAlignment="0"/>
    <xf numFmtId="167" fontId="9" fillId="0" borderId="0" applyFill="0" applyBorder="0" applyAlignment="0"/>
    <xf numFmtId="168" fontId="9" fillId="0" borderId="0" applyFill="0" applyBorder="0" applyAlignment="0"/>
    <xf numFmtId="169" fontId="9" fillId="0" borderId="0" applyFill="0" applyBorder="0" applyAlignment="0"/>
    <xf numFmtId="170" fontId="9" fillId="0" borderId="0" applyFill="0" applyBorder="0" applyAlignment="0"/>
    <xf numFmtId="166" fontId="9" fillId="0" borderId="0" applyFill="0" applyBorder="0" applyAlignment="0"/>
    <xf numFmtId="171" fontId="9" fillId="0" borderId="0" applyFill="0" applyBorder="0" applyAlignment="0"/>
    <xf numFmtId="167" fontId="9" fillId="0" borderId="0" applyFill="0" applyBorder="0" applyAlignment="0"/>
    <xf numFmtId="166" fontId="4" fillId="0" borderId="0" applyFont="0" applyFill="0" applyBorder="0" applyAlignment="0" applyProtection="0"/>
    <xf numFmtId="0" fontId="10" fillId="0" borderId="0" applyNumberFormat="0" applyAlignment="0">
      <alignment horizontal="left"/>
    </xf>
    <xf numFmtId="0" fontId="11" fillId="0" borderId="0" applyNumberFormat="0" applyAlignment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4" fontId="9" fillId="0" borderId="0" applyFill="0" applyBorder="0" applyAlignment="0"/>
    <xf numFmtId="166" fontId="12" fillId="0" borderId="0" applyFill="0" applyBorder="0" applyAlignment="0"/>
    <xf numFmtId="167" fontId="12" fillId="0" borderId="0" applyFill="0" applyBorder="0" applyAlignment="0"/>
    <xf numFmtId="166" fontId="12" fillId="0" borderId="0" applyFill="0" applyBorder="0" applyAlignment="0"/>
    <xf numFmtId="171" fontId="12" fillId="0" borderId="0" applyFill="0" applyBorder="0" applyAlignment="0"/>
    <xf numFmtId="167" fontId="12" fillId="0" borderId="0" applyFill="0" applyBorder="0" applyAlignment="0"/>
    <xf numFmtId="0" fontId="13" fillId="0" borderId="0" applyNumberFormat="0" applyAlignment="0">
      <alignment horizontal="left"/>
    </xf>
    <xf numFmtId="172" fontId="4" fillId="0" borderId="0" applyFont="0" applyFill="0" applyBorder="0" applyAlignment="0" applyProtection="0"/>
    <xf numFmtId="3" fontId="14" fillId="0" borderId="0">
      <alignment horizontal="right"/>
    </xf>
    <xf numFmtId="38" fontId="8" fillId="4" borderId="0" applyNumberFormat="0" applyBorder="0" applyAlignment="0" applyProtection="0"/>
    <xf numFmtId="0" fontId="15" fillId="0" borderId="2">
      <alignment vertical="center"/>
    </xf>
    <xf numFmtId="0" fontId="16" fillId="5" borderId="0">
      <alignment horizontal="center"/>
    </xf>
    <xf numFmtId="0" fontId="17" fillId="0" borderId="3" applyNumberFormat="0" applyAlignment="0" applyProtection="0">
      <alignment horizontal="left" vertical="center"/>
    </xf>
    <xf numFmtId="0" fontId="18" fillId="1" borderId="0"/>
    <xf numFmtId="0" fontId="5" fillId="0" borderId="0" applyNumberFormat="0" applyFill="0" applyBorder="0" applyAlignment="0" applyProtection="0">
      <alignment vertical="top"/>
      <protection locked="0"/>
    </xf>
    <xf numFmtId="10" fontId="8" fillId="6" borderId="1" applyNumberFormat="0" applyBorder="0" applyAlignment="0" applyProtection="0"/>
    <xf numFmtId="173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66" fontId="20" fillId="0" borderId="0" applyFill="0" applyBorder="0" applyAlignment="0"/>
    <xf numFmtId="167" fontId="20" fillId="0" borderId="0" applyFill="0" applyBorder="0" applyAlignment="0"/>
    <xf numFmtId="166" fontId="20" fillId="0" borderId="0" applyFill="0" applyBorder="0" applyAlignment="0"/>
    <xf numFmtId="171" fontId="20" fillId="0" borderId="0" applyFill="0" applyBorder="0" applyAlignment="0"/>
    <xf numFmtId="167" fontId="20" fillId="0" borderId="0" applyFill="0" applyBorder="0" applyAlignment="0"/>
    <xf numFmtId="0" fontId="21" fillId="0" borderId="0">
      <alignment horizontal="center"/>
    </xf>
    <xf numFmtId="0" fontId="22" fillId="0" borderId="4">
      <alignment horizontal="centerContinuous"/>
    </xf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0" fontId="23" fillId="0" borderId="0"/>
    <xf numFmtId="179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37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0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66" fontId="25" fillId="0" borderId="0" applyFill="0" applyBorder="0" applyAlignment="0"/>
    <xf numFmtId="167" fontId="25" fillId="0" borderId="0" applyFill="0" applyBorder="0" applyAlignment="0"/>
    <xf numFmtId="166" fontId="25" fillId="0" borderId="0" applyFill="0" applyBorder="0" applyAlignment="0"/>
    <xf numFmtId="171" fontId="25" fillId="0" borderId="0" applyFill="0" applyBorder="0" applyAlignment="0"/>
    <xf numFmtId="167" fontId="25" fillId="0" borderId="0" applyFill="0" applyBorder="0" applyAlignment="0"/>
    <xf numFmtId="14" fontId="26" fillId="0" borderId="0" applyNumberFormat="0" applyFill="0" applyBorder="0" applyAlignment="0" applyProtection="0">
      <alignment horizontal="left"/>
    </xf>
    <xf numFmtId="0" fontId="19" fillId="0" borderId="0"/>
    <xf numFmtId="0" fontId="27" fillId="0" borderId="0"/>
    <xf numFmtId="40" fontId="28" fillId="0" borderId="0" applyBorder="0">
      <alignment horizontal="right"/>
    </xf>
    <xf numFmtId="49" fontId="9" fillId="0" borderId="0" applyFill="0" applyBorder="0" applyAlignment="0"/>
    <xf numFmtId="184" fontId="9" fillId="0" borderId="0" applyFill="0" applyBorder="0" applyAlignment="0"/>
    <xf numFmtId="185" fontId="9" fillId="0" borderId="0" applyFill="0" applyBorder="0" applyAlignment="0"/>
    <xf numFmtId="0" fontId="4" fillId="0" borderId="0"/>
    <xf numFmtId="186" fontId="19" fillId="0" borderId="0" applyFont="0" applyFill="0" applyBorder="0" applyAlignment="0" applyProtection="0"/>
    <xf numFmtId="187" fontId="19" fillId="0" borderId="0" applyFont="0" applyFill="0" applyBorder="0" applyAlignment="0" applyProtection="0"/>
    <xf numFmtId="175" fontId="4" fillId="0" borderId="0" applyFont="0" applyFill="0" applyBorder="0" applyAlignment="0" applyProtection="0"/>
    <xf numFmtId="0" fontId="2" fillId="0" borderId="0"/>
    <xf numFmtId="0" fontId="29" fillId="0" borderId="0"/>
    <xf numFmtId="0" fontId="30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0" fontId="32" fillId="0" borderId="0"/>
    <xf numFmtId="0" fontId="33" fillId="0" borderId="0"/>
    <xf numFmtId="0" fontId="32" fillId="0" borderId="0"/>
    <xf numFmtId="0" fontId="2" fillId="0" borderId="0"/>
    <xf numFmtId="0" fontId="31" fillId="0" borderId="0"/>
    <xf numFmtId="0" fontId="32" fillId="0" borderId="0"/>
    <xf numFmtId="164" fontId="32" fillId="0" borderId="0" applyFont="0" applyFill="0" applyBorder="0" applyAlignment="0" applyProtection="0"/>
    <xf numFmtId="0" fontId="39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41" fillId="0" borderId="0"/>
  </cellStyleXfs>
  <cellXfs count="120">
    <xf numFmtId="0" fontId="0" fillId="0" borderId="0" xfId="0"/>
    <xf numFmtId="0" fontId="34" fillId="0" borderId="0" xfId="0" applyFont="1"/>
    <xf numFmtId="0" fontId="34" fillId="0" borderId="0" xfId="0" applyFont="1" applyAlignment="1">
      <alignment horizontal="center" vertical="center"/>
    </xf>
    <xf numFmtId="44" fontId="38" fillId="0" borderId="0" xfId="0" applyNumberFormat="1" applyFont="1" applyAlignment="1">
      <alignment horizontal="center" vertical="center"/>
    </xf>
    <xf numFmtId="188" fontId="38" fillId="0" borderId="0" xfId="0" applyNumberFormat="1" applyFont="1" applyAlignment="1">
      <alignment horizontal="center" vertical="center"/>
    </xf>
    <xf numFmtId="3" fontId="34" fillId="0" borderId="0" xfId="0" applyNumberFormat="1" applyFont="1" applyAlignment="1">
      <alignment horizontal="center" vertical="center"/>
    </xf>
    <xf numFmtId="0" fontId="39" fillId="0" borderId="0" xfId="94"/>
    <xf numFmtId="0" fontId="40" fillId="0" borderId="0" xfId="0" applyFont="1" applyAlignment="1">
      <alignment horizontal="center" vertical="center"/>
    </xf>
    <xf numFmtId="190" fontId="40" fillId="0" borderId="0" xfId="0" applyNumberFormat="1" applyFont="1" applyAlignment="1">
      <alignment horizontal="center" vertical="center"/>
    </xf>
    <xf numFmtId="0" fontId="40" fillId="0" borderId="0" xfId="0" applyFont="1" applyAlignment="1">
      <alignment horizontal="center" vertical="center" wrapText="1"/>
    </xf>
    <xf numFmtId="190" fontId="40" fillId="0" borderId="0" xfId="0" applyNumberFormat="1" applyFont="1" applyAlignment="1">
      <alignment horizontal="center" vertical="center" wrapText="1"/>
    </xf>
    <xf numFmtId="44" fontId="40" fillId="0" borderId="0" xfId="0" applyNumberFormat="1" applyFont="1" applyAlignment="1">
      <alignment horizontal="center" vertical="center"/>
    </xf>
    <xf numFmtId="0" fontId="37" fillId="0" borderId="13" xfId="0" applyFont="1" applyBorder="1" applyAlignment="1">
      <alignment horizontal="center" vertical="center" wrapText="1"/>
    </xf>
    <xf numFmtId="0" fontId="37" fillId="3" borderId="1" xfId="0" applyFont="1" applyFill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6" fillId="7" borderId="1" xfId="0" applyFont="1" applyFill="1" applyBorder="1" applyAlignment="1">
      <alignment horizontal="center" vertical="center"/>
    </xf>
    <xf numFmtId="0" fontId="37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191" fontId="43" fillId="2" borderId="1" xfId="96" applyNumberFormat="1" applyFont="1" applyFill="1" applyBorder="1" applyAlignment="1">
      <alignment horizontal="center" vertical="center"/>
    </xf>
    <xf numFmtId="192" fontId="36" fillId="0" borderId="1" xfId="96" applyNumberFormat="1" applyFont="1" applyBorder="1" applyAlignment="1">
      <alignment horizontal="center" vertical="center"/>
    </xf>
    <xf numFmtId="190" fontId="37" fillId="0" borderId="1" xfId="0" applyNumberFormat="1" applyFont="1" applyBorder="1" applyAlignment="1">
      <alignment horizontal="center" vertical="center"/>
    </xf>
    <xf numFmtId="192" fontId="43" fillId="2" borderId="1" xfId="96" applyNumberFormat="1" applyFont="1" applyFill="1" applyBorder="1" applyAlignment="1">
      <alignment horizontal="center" vertical="center"/>
    </xf>
    <xf numFmtId="0" fontId="45" fillId="2" borderId="11" xfId="0" applyFont="1" applyFill="1" applyBorder="1" applyAlignment="1">
      <alignment horizontal="center" vertical="center" wrapText="1"/>
    </xf>
    <xf numFmtId="0" fontId="44" fillId="2" borderId="5" xfId="0" applyFont="1" applyFill="1" applyBorder="1" applyAlignment="1">
      <alignment vertical="center"/>
    </xf>
    <xf numFmtId="0" fontId="44" fillId="2" borderId="7" xfId="0" applyFont="1" applyFill="1" applyBorder="1" applyAlignment="1">
      <alignment vertical="center"/>
    </xf>
    <xf numFmtId="0" fontId="44" fillId="10" borderId="7" xfId="0" applyFont="1" applyFill="1" applyBorder="1" applyAlignment="1">
      <alignment vertical="center"/>
    </xf>
    <xf numFmtId="0" fontId="44" fillId="10" borderId="9" xfId="0" applyFont="1" applyFill="1" applyBorder="1" applyAlignment="1">
      <alignment vertical="center"/>
    </xf>
    <xf numFmtId="0" fontId="46" fillId="3" borderId="6" xfId="0" applyFont="1" applyFill="1" applyBorder="1" applyAlignment="1">
      <alignment horizontal="center" vertical="center"/>
    </xf>
    <xf numFmtId="0" fontId="47" fillId="3" borderId="8" xfId="0" applyFont="1" applyFill="1" applyBorder="1" applyAlignment="1">
      <alignment horizontal="center" vertical="center"/>
    </xf>
    <xf numFmtId="17" fontId="46" fillId="3" borderId="8" xfId="0" applyNumberFormat="1" applyFont="1" applyFill="1" applyBorder="1" applyAlignment="1">
      <alignment horizontal="center" vertical="center"/>
    </xf>
    <xf numFmtId="194" fontId="46" fillId="11" borderId="8" xfId="0" applyNumberFormat="1" applyFont="1" applyFill="1" applyBorder="1" applyAlignment="1">
      <alignment horizontal="center" vertical="center"/>
    </xf>
    <xf numFmtId="194" fontId="48" fillId="3" borderId="8" xfId="0" applyNumberFormat="1" applyFont="1" applyFill="1" applyBorder="1" applyAlignment="1">
      <alignment horizontal="center" vertical="center"/>
    </xf>
    <xf numFmtId="194" fontId="47" fillId="3" borderId="8" xfId="0" applyNumberFormat="1" applyFont="1" applyFill="1" applyBorder="1" applyAlignment="1">
      <alignment horizontal="center" vertical="center"/>
    </xf>
    <xf numFmtId="44" fontId="47" fillId="3" borderId="8" xfId="0" applyNumberFormat="1" applyFont="1" applyFill="1" applyBorder="1" applyAlignment="1">
      <alignment horizontal="center" vertical="center"/>
    </xf>
    <xf numFmtId="0" fontId="45" fillId="2" borderId="16" xfId="0" applyFont="1" applyFill="1" applyBorder="1" applyAlignment="1">
      <alignment horizontal="center" vertical="center" wrapText="1"/>
    </xf>
    <xf numFmtId="0" fontId="37" fillId="0" borderId="14" xfId="0" applyFont="1" applyBorder="1" applyAlignment="1">
      <alignment horizontal="center" vertical="center" wrapText="1"/>
    </xf>
    <xf numFmtId="0" fontId="37" fillId="3" borderId="15" xfId="0" applyFont="1" applyFill="1" applyBorder="1" applyAlignment="1">
      <alignment horizontal="center" vertical="center"/>
    </xf>
    <xf numFmtId="0" fontId="37" fillId="0" borderId="15" xfId="0" applyFont="1" applyBorder="1" applyAlignment="1">
      <alignment horizontal="center" vertical="center"/>
    </xf>
    <xf numFmtId="0" fontId="36" fillId="7" borderId="15" xfId="0" applyFont="1" applyFill="1" applyBorder="1" applyAlignment="1">
      <alignment horizontal="center" vertical="center"/>
    </xf>
    <xf numFmtId="0" fontId="37" fillId="0" borderId="15" xfId="0" applyFont="1" applyBorder="1" applyAlignment="1">
      <alignment horizontal="center" vertical="center" wrapText="1"/>
    </xf>
    <xf numFmtId="0" fontId="36" fillId="0" borderId="15" xfId="0" applyFont="1" applyBorder="1" applyAlignment="1">
      <alignment horizontal="center" vertical="center" wrapText="1"/>
    </xf>
    <xf numFmtId="192" fontId="43" fillId="2" borderId="15" xfId="96" applyNumberFormat="1" applyFont="1" applyFill="1" applyBorder="1" applyAlignment="1">
      <alignment horizontal="center" vertical="center"/>
    </xf>
    <xf numFmtId="192" fontId="36" fillId="0" borderId="15" xfId="96" applyNumberFormat="1" applyFont="1" applyBorder="1" applyAlignment="1">
      <alignment horizontal="center" vertical="center"/>
    </xf>
    <xf numFmtId="190" fontId="37" fillId="0" borderId="15" xfId="0" applyNumberFormat="1" applyFont="1" applyBorder="1" applyAlignment="1">
      <alignment horizontal="center" vertical="center"/>
    </xf>
    <xf numFmtId="191" fontId="49" fillId="0" borderId="0" xfId="0" applyNumberFormat="1" applyFont="1" applyAlignment="1">
      <alignment horizontal="center" vertical="center" wrapText="1"/>
    </xf>
    <xf numFmtId="192" fontId="49" fillId="0" borderId="0" xfId="0" applyNumberFormat="1" applyFont="1" applyAlignment="1">
      <alignment horizontal="center" vertical="center"/>
    </xf>
    <xf numFmtId="195" fontId="49" fillId="0" borderId="0" xfId="0" applyNumberFormat="1" applyFont="1" applyAlignment="1">
      <alignment horizontal="center" vertical="center"/>
    </xf>
    <xf numFmtId="189" fontId="49" fillId="0" borderId="0" xfId="0" applyNumberFormat="1" applyFont="1" applyAlignment="1">
      <alignment horizontal="center" vertical="center"/>
    </xf>
    <xf numFmtId="191" fontId="49" fillId="0" borderId="0" xfId="0" applyNumberFormat="1" applyFont="1"/>
    <xf numFmtId="44" fontId="49" fillId="0" borderId="0" xfId="1" applyFont="1"/>
    <xf numFmtId="190" fontId="49" fillId="0" borderId="0" xfId="0" applyNumberFormat="1" applyFont="1"/>
    <xf numFmtId="196" fontId="49" fillId="0" borderId="0" xfId="0" applyNumberFormat="1" applyFont="1" applyAlignment="1">
      <alignment horizontal="center" vertical="center"/>
    </xf>
    <xf numFmtId="191" fontId="37" fillId="0" borderId="1" xfId="0" applyNumberFormat="1" applyFont="1" applyBorder="1" applyAlignment="1">
      <alignment horizontal="center" vertical="center" wrapText="1"/>
    </xf>
    <xf numFmtId="189" fontId="37" fillId="0" borderId="1" xfId="0" applyNumberFormat="1" applyFont="1" applyBorder="1" applyAlignment="1">
      <alignment horizontal="center" vertical="center"/>
    </xf>
    <xf numFmtId="44" fontId="36" fillId="12" borderId="1" xfId="1" applyFont="1" applyFill="1" applyBorder="1" applyAlignment="1">
      <alignment horizontal="center" vertical="center"/>
    </xf>
    <xf numFmtId="44" fontId="36" fillId="13" borderId="1" xfId="1" applyFont="1" applyFill="1" applyBorder="1" applyAlignment="1">
      <alignment horizontal="center" vertical="center"/>
    </xf>
    <xf numFmtId="190" fontId="37" fillId="9" borderId="1" xfId="96" applyNumberFormat="1" applyFont="1" applyFill="1" applyBorder="1" applyAlignment="1">
      <alignment horizontal="center" vertical="center"/>
    </xf>
    <xf numFmtId="190" fontId="37" fillId="9" borderId="1" xfId="1" applyNumberFormat="1" applyFont="1" applyFill="1" applyBorder="1" applyAlignment="1">
      <alignment horizontal="center" vertical="center"/>
    </xf>
    <xf numFmtId="190" fontId="35" fillId="8" borderId="1" xfId="1" applyNumberFormat="1" applyFont="1" applyFill="1" applyBorder="1" applyAlignment="1">
      <alignment horizontal="center" vertical="center"/>
    </xf>
    <xf numFmtId="9" fontId="50" fillId="0" borderId="0" xfId="95" applyFont="1"/>
    <xf numFmtId="9" fontId="51" fillId="0" borderId="0" xfId="95" applyFont="1"/>
    <xf numFmtId="195" fontId="37" fillId="0" borderId="1" xfId="0" applyNumberFormat="1" applyFont="1" applyBorder="1" applyAlignment="1">
      <alignment horizontal="center" vertical="center"/>
    </xf>
    <xf numFmtId="192" fontId="34" fillId="0" borderId="0" xfId="0" applyNumberFormat="1" applyFont="1"/>
    <xf numFmtId="44" fontId="34" fillId="0" borderId="0" xfId="0" applyNumberFormat="1" applyFont="1"/>
    <xf numFmtId="197" fontId="34" fillId="0" borderId="0" xfId="0" applyNumberFormat="1" applyFont="1" applyAlignment="1">
      <alignment horizontal="center" vertical="center"/>
    </xf>
    <xf numFmtId="191" fontId="34" fillId="0" borderId="0" xfId="0" applyNumberFormat="1" applyFont="1" applyAlignment="1">
      <alignment horizontal="center" vertical="center"/>
    </xf>
    <xf numFmtId="44" fontId="47" fillId="3" borderId="10" xfId="0" applyNumberFormat="1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190" fontId="37" fillId="0" borderId="0" xfId="0" applyNumberFormat="1" applyFont="1" applyAlignment="1">
      <alignment horizontal="center" vertical="center"/>
    </xf>
    <xf numFmtId="0" fontId="37" fillId="0" borderId="0" xfId="0" applyFont="1" applyAlignment="1">
      <alignment horizontal="center" vertical="center" wrapText="1"/>
    </xf>
    <xf numFmtId="190" fontId="37" fillId="0" borderId="0" xfId="0" applyNumberFormat="1" applyFont="1" applyAlignment="1">
      <alignment horizontal="center" vertical="center" wrapText="1"/>
    </xf>
    <xf numFmtId="44" fontId="37" fillId="0" borderId="0" xfId="0" applyNumberFormat="1" applyFont="1" applyAlignment="1">
      <alignment horizontal="center" vertical="center"/>
    </xf>
    <xf numFmtId="0" fontId="52" fillId="0" borderId="0" xfId="0" applyFont="1"/>
    <xf numFmtId="0" fontId="42" fillId="2" borderId="11" xfId="0" applyFont="1" applyFill="1" applyBorder="1" applyAlignment="1">
      <alignment horizontal="center" vertical="center" wrapText="1"/>
    </xf>
    <xf numFmtId="0" fontId="42" fillId="2" borderId="12" xfId="0" applyFont="1" applyFill="1" applyBorder="1" applyAlignment="1">
      <alignment horizontal="center" vertical="center" wrapText="1"/>
    </xf>
    <xf numFmtId="191" fontId="37" fillId="0" borderId="15" xfId="0" applyNumberFormat="1" applyFont="1" applyBorder="1" applyAlignment="1">
      <alignment horizontal="center" vertical="center" wrapText="1"/>
    </xf>
    <xf numFmtId="195" fontId="37" fillId="0" borderId="15" xfId="0" applyNumberFormat="1" applyFont="1" applyBorder="1" applyAlignment="1">
      <alignment horizontal="center" vertical="center"/>
    </xf>
    <xf numFmtId="189" fontId="37" fillId="0" borderId="15" xfId="0" applyNumberFormat="1" applyFont="1" applyBorder="1" applyAlignment="1">
      <alignment horizontal="center" vertical="center"/>
    </xf>
    <xf numFmtId="190" fontId="37" fillId="0" borderId="15" xfId="95" applyNumberFormat="1" applyFont="1" applyBorder="1" applyAlignment="1">
      <alignment horizontal="center" vertical="center"/>
    </xf>
    <xf numFmtId="44" fontId="36" fillId="12" borderId="15" xfId="1" applyFont="1" applyFill="1" applyBorder="1" applyAlignment="1">
      <alignment horizontal="center" vertical="center"/>
    </xf>
    <xf numFmtId="44" fontId="36" fillId="13" borderId="15" xfId="1" applyFont="1" applyFill="1" applyBorder="1" applyAlignment="1">
      <alignment horizontal="center" vertical="center"/>
    </xf>
    <xf numFmtId="190" fontId="37" fillId="9" borderId="15" xfId="96" applyNumberFormat="1" applyFont="1" applyFill="1" applyBorder="1" applyAlignment="1">
      <alignment horizontal="center" vertical="center"/>
    </xf>
    <xf numFmtId="0" fontId="37" fillId="15" borderId="1" xfId="0" applyFont="1" applyFill="1" applyBorder="1" applyAlignment="1">
      <alignment horizontal="center" vertical="center" wrapText="1"/>
    </xf>
    <xf numFmtId="198" fontId="35" fillId="8" borderId="1" xfId="1" applyNumberFormat="1" applyFont="1" applyFill="1" applyBorder="1" applyAlignment="1">
      <alignment horizontal="center" vertical="center"/>
    </xf>
    <xf numFmtId="199" fontId="43" fillId="2" borderId="1" xfId="96" applyNumberFormat="1" applyFont="1" applyFill="1" applyBorder="1" applyAlignment="1">
      <alignment horizontal="center" vertical="center"/>
    </xf>
    <xf numFmtId="195" fontId="43" fillId="2" borderId="1" xfId="96" applyNumberFormat="1" applyFont="1" applyFill="1" applyBorder="1" applyAlignment="1">
      <alignment horizontal="center" vertical="center"/>
    </xf>
    <xf numFmtId="198" fontId="53" fillId="0" borderId="0" xfId="0" applyNumberFormat="1" applyFont="1"/>
    <xf numFmtId="191" fontId="54" fillId="0" borderId="0" xfId="0" applyNumberFormat="1" applyFont="1" applyAlignment="1">
      <alignment horizontal="center" vertical="center"/>
    </xf>
    <xf numFmtId="192" fontId="54" fillId="0" borderId="0" xfId="0" applyNumberFormat="1" applyFont="1" applyAlignment="1">
      <alignment horizontal="center" vertical="center"/>
    </xf>
    <xf numFmtId="193" fontId="37" fillId="0" borderId="1" xfId="0" applyNumberFormat="1" applyFont="1" applyBorder="1" applyAlignment="1">
      <alignment horizontal="center" vertical="center" wrapText="1"/>
    </xf>
    <xf numFmtId="200" fontId="43" fillId="2" borderId="1" xfId="96" applyNumberFormat="1" applyFont="1" applyFill="1" applyBorder="1" applyAlignment="1">
      <alignment horizontal="center" vertical="center"/>
    </xf>
    <xf numFmtId="192" fontId="37" fillId="0" borderId="1" xfId="0" applyNumberFormat="1" applyFont="1" applyBorder="1" applyAlignment="1">
      <alignment horizontal="center" vertical="center"/>
    </xf>
    <xf numFmtId="9" fontId="36" fillId="12" borderId="1" xfId="95" applyFont="1" applyFill="1" applyBorder="1" applyAlignment="1">
      <alignment horizontal="center" vertical="center"/>
    </xf>
    <xf numFmtId="195" fontId="37" fillId="3" borderId="1" xfId="0" applyNumberFormat="1" applyFont="1" applyFill="1" applyBorder="1" applyAlignment="1">
      <alignment horizontal="center" vertical="center"/>
    </xf>
    <xf numFmtId="0" fontId="45" fillId="2" borderId="12" xfId="0" applyFont="1" applyFill="1" applyBorder="1" applyAlignment="1">
      <alignment horizontal="center" vertical="center" wrapText="1"/>
    </xf>
    <xf numFmtId="195" fontId="43" fillId="2" borderId="15" xfId="96" applyNumberFormat="1" applyFont="1" applyFill="1" applyBorder="1" applyAlignment="1">
      <alignment horizontal="center" vertical="center"/>
    </xf>
    <xf numFmtId="198" fontId="35" fillId="8" borderId="15" xfId="1" applyNumberFormat="1" applyFont="1" applyFill="1" applyBorder="1" applyAlignment="1">
      <alignment horizontal="center" vertical="center"/>
    </xf>
    <xf numFmtId="192" fontId="37" fillId="0" borderId="15" xfId="0" applyNumberFormat="1" applyFont="1" applyBorder="1" applyAlignment="1">
      <alignment horizontal="center" vertical="center"/>
    </xf>
    <xf numFmtId="9" fontId="36" fillId="12" borderId="15" xfId="95" applyFont="1" applyFill="1" applyBorder="1" applyAlignment="1">
      <alignment horizontal="center" vertical="center"/>
    </xf>
    <xf numFmtId="193" fontId="37" fillId="0" borderId="15" xfId="0" applyNumberFormat="1" applyFont="1" applyBorder="1" applyAlignment="1">
      <alignment horizontal="center" vertical="center" wrapText="1"/>
    </xf>
    <xf numFmtId="190" fontId="37" fillId="14" borderId="1" xfId="95" applyNumberFormat="1" applyFont="1" applyFill="1" applyBorder="1" applyAlignment="1">
      <alignment horizontal="center" vertical="center"/>
    </xf>
    <xf numFmtId="192" fontId="37" fillId="3" borderId="1" xfId="0" applyNumberFormat="1" applyFont="1" applyFill="1" applyBorder="1" applyAlignment="1">
      <alignment horizontal="center" vertical="center"/>
    </xf>
    <xf numFmtId="192" fontId="37" fillId="3" borderId="15" xfId="0" applyNumberFormat="1" applyFont="1" applyFill="1" applyBorder="1" applyAlignment="1">
      <alignment horizontal="center" vertical="center"/>
    </xf>
    <xf numFmtId="195" fontId="37" fillId="3" borderId="15" xfId="0" applyNumberFormat="1" applyFont="1" applyFill="1" applyBorder="1" applyAlignment="1">
      <alignment horizontal="center" vertical="center"/>
    </xf>
    <xf numFmtId="190" fontId="37" fillId="14" borderId="15" xfId="95" applyNumberFormat="1" applyFont="1" applyFill="1" applyBorder="1" applyAlignment="1">
      <alignment horizontal="center" vertical="center"/>
    </xf>
    <xf numFmtId="0" fontId="45" fillId="2" borderId="1" xfId="0" applyFont="1" applyFill="1" applyBorder="1" applyAlignment="1">
      <alignment horizontal="center" vertical="center" wrapText="1"/>
    </xf>
    <xf numFmtId="0" fontId="45" fillId="2" borderId="20" xfId="0" applyFont="1" applyFill="1" applyBorder="1" applyAlignment="1">
      <alignment horizontal="center" vertical="center" wrapText="1"/>
    </xf>
    <xf numFmtId="0" fontId="37" fillId="3" borderId="20" xfId="0" applyFont="1" applyFill="1" applyBorder="1" applyAlignment="1">
      <alignment horizontal="center" vertical="center"/>
    </xf>
    <xf numFmtId="17" fontId="36" fillId="12" borderId="1" xfId="95" applyNumberFormat="1" applyFont="1" applyFill="1" applyBorder="1" applyAlignment="1">
      <alignment horizontal="center" vertical="center"/>
    </xf>
    <xf numFmtId="200" fontId="37" fillId="0" borderId="1" xfId="0" applyNumberFormat="1" applyFont="1" applyBorder="1" applyAlignment="1">
      <alignment horizontal="center" vertical="center"/>
    </xf>
    <xf numFmtId="17" fontId="37" fillId="0" borderId="1" xfId="0" applyNumberFormat="1" applyFont="1" applyBorder="1" applyAlignment="1">
      <alignment horizontal="center" vertical="center"/>
    </xf>
    <xf numFmtId="17" fontId="37" fillId="0" borderId="18" xfId="0" applyNumberFormat="1" applyFont="1" applyBorder="1" applyAlignment="1">
      <alignment horizontal="center" vertical="center"/>
    </xf>
    <xf numFmtId="0" fontId="45" fillId="2" borderId="12" xfId="0" applyFont="1" applyFill="1" applyBorder="1" applyAlignment="1">
      <alignment horizontal="center" vertical="center" wrapText="1"/>
    </xf>
    <xf numFmtId="0" fontId="45" fillId="2" borderId="17" xfId="0" applyFont="1" applyFill="1" applyBorder="1" applyAlignment="1">
      <alignment horizontal="center" vertical="center" wrapText="1"/>
    </xf>
    <xf numFmtId="49" fontId="37" fillId="0" borderId="1" xfId="0" applyNumberFormat="1" applyFont="1" applyBorder="1" applyAlignment="1">
      <alignment horizontal="center" vertical="center"/>
    </xf>
    <xf numFmtId="49" fontId="37" fillId="0" borderId="18" xfId="0" applyNumberFormat="1" applyFont="1" applyBorder="1" applyAlignment="1">
      <alignment horizontal="center" vertical="center"/>
    </xf>
    <xf numFmtId="0" fontId="42" fillId="2" borderId="12" xfId="0" applyFont="1" applyFill="1" applyBorder="1" applyAlignment="1">
      <alignment horizontal="center" vertical="center" wrapText="1"/>
    </xf>
    <xf numFmtId="0" fontId="42" fillId="2" borderId="17" xfId="0" applyFont="1" applyFill="1" applyBorder="1" applyAlignment="1">
      <alignment horizontal="center" vertical="center" wrapText="1"/>
    </xf>
    <xf numFmtId="17" fontId="37" fillId="0" borderId="15" xfId="0" applyNumberFormat="1" applyFont="1" applyBorder="1" applyAlignment="1">
      <alignment horizontal="center" vertical="center"/>
    </xf>
    <xf numFmtId="17" fontId="37" fillId="0" borderId="19" xfId="0" applyNumberFormat="1" applyFont="1" applyBorder="1" applyAlignment="1">
      <alignment horizontal="center" vertical="center"/>
    </xf>
  </cellXfs>
  <cellStyles count="97">
    <cellStyle name="ACIKLAMA" xfId="4" xr:uid="{00000000-0005-0000-0000-000000000000}"/>
    <cellStyle name="BASLIK" xfId="5" xr:uid="{00000000-0005-0000-0000-000001000000}"/>
    <cellStyle name="BODY" xfId="6" xr:uid="{00000000-0005-0000-0000-000002000000}"/>
    <cellStyle name="Calc Currency (0)" xfId="7" xr:uid="{00000000-0005-0000-0000-000003000000}"/>
    <cellStyle name="Calc Currency (2)" xfId="8" xr:uid="{00000000-0005-0000-0000-000004000000}"/>
    <cellStyle name="Calc Percent (0)" xfId="9" xr:uid="{00000000-0005-0000-0000-000005000000}"/>
    <cellStyle name="Calc Percent (1)" xfId="10" xr:uid="{00000000-0005-0000-0000-000006000000}"/>
    <cellStyle name="Calc Percent (2)" xfId="11" xr:uid="{00000000-0005-0000-0000-000007000000}"/>
    <cellStyle name="Calc Units (0)" xfId="12" xr:uid="{00000000-0005-0000-0000-000008000000}"/>
    <cellStyle name="Calc Units (1)" xfId="13" xr:uid="{00000000-0005-0000-0000-000009000000}"/>
    <cellStyle name="Calc Units (2)" xfId="14" xr:uid="{00000000-0005-0000-0000-00000A000000}"/>
    <cellStyle name="Comma [00]" xfId="15" xr:uid="{00000000-0005-0000-0000-00000C000000}"/>
    <cellStyle name="Comma 2" xfId="93" xr:uid="{00000000-0005-0000-0000-00000D000000}"/>
    <cellStyle name="Copied" xfId="16" xr:uid="{00000000-0005-0000-0000-00000E000000}"/>
    <cellStyle name="COST1" xfId="17" xr:uid="{00000000-0005-0000-0000-00000F000000}"/>
    <cellStyle name="Currency" xfId="1" builtinId="4"/>
    <cellStyle name="Currency [00]" xfId="18" xr:uid="{00000000-0005-0000-0000-000011000000}"/>
    <cellStyle name="Currency 2" xfId="19" xr:uid="{00000000-0005-0000-0000-000012000000}"/>
    <cellStyle name="Currency 2 2" xfId="20" xr:uid="{00000000-0005-0000-0000-000013000000}"/>
    <cellStyle name="Date Short" xfId="21" xr:uid="{00000000-0005-0000-0000-000014000000}"/>
    <cellStyle name="Enter Currency (0)" xfId="22" xr:uid="{00000000-0005-0000-0000-000015000000}"/>
    <cellStyle name="Enter Currency (2)" xfId="23" xr:uid="{00000000-0005-0000-0000-000016000000}"/>
    <cellStyle name="Enter Units (0)" xfId="24" xr:uid="{00000000-0005-0000-0000-000017000000}"/>
    <cellStyle name="Enter Units (1)" xfId="25" xr:uid="{00000000-0005-0000-0000-000018000000}"/>
    <cellStyle name="Enter Units (2)" xfId="26" xr:uid="{00000000-0005-0000-0000-000019000000}"/>
    <cellStyle name="Entered" xfId="27" xr:uid="{00000000-0005-0000-0000-00001A000000}"/>
    <cellStyle name="Euro" xfId="28" xr:uid="{00000000-0005-0000-0000-00001B000000}"/>
    <cellStyle name="Excel Built-in Normal" xfId="88" xr:uid="{00000000-0005-0000-0000-00001C000000}"/>
    <cellStyle name="FIYAT" xfId="29" xr:uid="{00000000-0005-0000-0000-00001D000000}"/>
    <cellStyle name="Grey" xfId="30" xr:uid="{00000000-0005-0000-0000-00001E000000}"/>
    <cellStyle name="GRUP" xfId="31" xr:uid="{00000000-0005-0000-0000-00001F000000}"/>
    <cellStyle name="HEADER" xfId="32" xr:uid="{00000000-0005-0000-0000-000020000000}"/>
    <cellStyle name="Header1" xfId="33" xr:uid="{00000000-0005-0000-0000-000021000000}"/>
    <cellStyle name="HEADER2" xfId="34" xr:uid="{00000000-0005-0000-0000-000022000000}"/>
    <cellStyle name="Hyperlink" xfId="94" builtinId="8"/>
    <cellStyle name="Hyperlink 2" xfId="35" xr:uid="{00000000-0005-0000-0000-000023000000}"/>
    <cellStyle name="Input [yellow]" xfId="36" xr:uid="{00000000-0005-0000-0000-000024000000}"/>
    <cellStyle name="Komma [0]_laroux" xfId="37" xr:uid="{00000000-0005-0000-0000-000025000000}"/>
    <cellStyle name="Komma_laroux" xfId="38" xr:uid="{00000000-0005-0000-0000-000026000000}"/>
    <cellStyle name="Köprü 2" xfId="84" xr:uid="{00000000-0005-0000-0000-000027000000}"/>
    <cellStyle name="Link Currency (0)" xfId="39" xr:uid="{00000000-0005-0000-0000-000028000000}"/>
    <cellStyle name="Link Currency (2)" xfId="40" xr:uid="{00000000-0005-0000-0000-000029000000}"/>
    <cellStyle name="Link Units (0)" xfId="41" xr:uid="{00000000-0005-0000-0000-00002A000000}"/>
    <cellStyle name="Link Units (1)" xfId="42" xr:uid="{00000000-0005-0000-0000-00002B000000}"/>
    <cellStyle name="Link Units (2)" xfId="43" xr:uid="{00000000-0005-0000-0000-00002C000000}"/>
    <cellStyle name="MAINHEADER" xfId="44" xr:uid="{00000000-0005-0000-0000-00002D000000}"/>
    <cellStyle name="MARKA" xfId="45" xr:uid="{00000000-0005-0000-0000-00002E000000}"/>
    <cellStyle name="Millares [0]_pldt" xfId="46" xr:uid="{00000000-0005-0000-0000-00002F000000}"/>
    <cellStyle name="Millares_pldt" xfId="47" xr:uid="{00000000-0005-0000-0000-000030000000}"/>
    <cellStyle name="Milliers [0]_EDYAN" xfId="48" xr:uid="{00000000-0005-0000-0000-000031000000}"/>
    <cellStyle name="Milliers_EDYAN" xfId="49" xr:uid="{00000000-0005-0000-0000-000032000000}"/>
    <cellStyle name="MODEL" xfId="50" xr:uid="{00000000-0005-0000-0000-000033000000}"/>
    <cellStyle name="Moneda [0]_pldt" xfId="51" xr:uid="{00000000-0005-0000-0000-000034000000}"/>
    <cellStyle name="Moneda_pldt" xfId="52" xr:uid="{00000000-0005-0000-0000-000035000000}"/>
    <cellStyle name="Monétaire [0]_EDYAN" xfId="53" xr:uid="{00000000-0005-0000-0000-000036000000}"/>
    <cellStyle name="Monétaire_EDYAN" xfId="54" xr:uid="{00000000-0005-0000-0000-000037000000}"/>
    <cellStyle name="no dec" xfId="55" xr:uid="{00000000-0005-0000-0000-000038000000}"/>
    <cellStyle name="Normal" xfId="0" builtinId="0"/>
    <cellStyle name="Normal - Style1" xfId="56" xr:uid="{00000000-0005-0000-0000-00003A000000}"/>
    <cellStyle name="Normal 10" xfId="89" xr:uid="{00000000-0005-0000-0000-00003B000000}"/>
    <cellStyle name="Normal 2" xfId="2" xr:uid="{00000000-0005-0000-0000-00003C000000}"/>
    <cellStyle name="Normal 2 2" xfId="58" xr:uid="{00000000-0005-0000-0000-00003D000000}"/>
    <cellStyle name="Normal 2 2 2" xfId="92" xr:uid="{00000000-0005-0000-0000-00003E000000}"/>
    <cellStyle name="Normal 2 3" xfId="59" xr:uid="{00000000-0005-0000-0000-00003F000000}"/>
    <cellStyle name="Normal 2 4" xfId="60" xr:uid="{00000000-0005-0000-0000-000040000000}"/>
    <cellStyle name="Normal 2 5" xfId="57" xr:uid="{00000000-0005-0000-0000-000041000000}"/>
    <cellStyle name="Normal 2 6" xfId="83" xr:uid="{00000000-0005-0000-0000-000042000000}"/>
    <cellStyle name="Normal 2 7" xfId="87" xr:uid="{00000000-0005-0000-0000-000043000000}"/>
    <cellStyle name="Normal 3" xfId="61" xr:uid="{00000000-0005-0000-0000-000044000000}"/>
    <cellStyle name="Normal 4" xfId="62" xr:uid="{00000000-0005-0000-0000-000045000000}"/>
    <cellStyle name="Normal 5" xfId="3" xr:uid="{00000000-0005-0000-0000-000046000000}"/>
    <cellStyle name="Normal 6" xfId="82" xr:uid="{00000000-0005-0000-0000-000047000000}"/>
    <cellStyle name="Normal 7" xfId="86" xr:uid="{00000000-0005-0000-0000-000048000000}"/>
    <cellStyle name="Normal 8" xfId="91" xr:uid="{00000000-0005-0000-0000-000049000000}"/>
    <cellStyle name="Normal 9" xfId="90" xr:uid="{00000000-0005-0000-0000-00004A000000}"/>
    <cellStyle name="Normal_Zed_s'nek_UCLA_onlineplan_Feb27" xfId="96" xr:uid="{CC8BAEE6-9D21-4D9D-8193-5F5C5A5465C5}"/>
    <cellStyle name="Percent" xfId="95" builtinId="5"/>
    <cellStyle name="Percent [0]" xfId="63" xr:uid="{00000000-0005-0000-0000-00004B000000}"/>
    <cellStyle name="Percent [00]" xfId="64" xr:uid="{00000000-0005-0000-0000-00004C000000}"/>
    <cellStyle name="Percent [2]" xfId="65" xr:uid="{00000000-0005-0000-0000-00004D000000}"/>
    <cellStyle name="Percent 2" xfId="85" xr:uid="{00000000-0005-0000-0000-00004E000000}"/>
    <cellStyle name="PrePop Currency (0)" xfId="66" xr:uid="{00000000-0005-0000-0000-00004F000000}"/>
    <cellStyle name="PrePop Currency (2)" xfId="67" xr:uid="{00000000-0005-0000-0000-000050000000}"/>
    <cellStyle name="PrePop Units (0)" xfId="68" xr:uid="{00000000-0005-0000-0000-000051000000}"/>
    <cellStyle name="PrePop Units (1)" xfId="69" xr:uid="{00000000-0005-0000-0000-000052000000}"/>
    <cellStyle name="PrePop Units (2)" xfId="70" xr:uid="{00000000-0005-0000-0000-000053000000}"/>
    <cellStyle name="RevList" xfId="71" xr:uid="{00000000-0005-0000-0000-000054000000}"/>
    <cellStyle name="Standaard_laroux" xfId="72" xr:uid="{00000000-0005-0000-0000-000055000000}"/>
    <cellStyle name="Standard_EINSATZ" xfId="73" xr:uid="{00000000-0005-0000-0000-000056000000}"/>
    <cellStyle name="Subtotal" xfId="74" xr:uid="{00000000-0005-0000-0000-000057000000}"/>
    <cellStyle name="Text Indent A" xfId="75" xr:uid="{00000000-0005-0000-0000-000058000000}"/>
    <cellStyle name="Text Indent B" xfId="76" xr:uid="{00000000-0005-0000-0000-000059000000}"/>
    <cellStyle name="Text Indent C" xfId="77" xr:uid="{00000000-0005-0000-0000-00005A000000}"/>
    <cellStyle name="URUNKODU" xfId="78" xr:uid="{00000000-0005-0000-0000-00005B000000}"/>
    <cellStyle name="Valuta [0]_laroux" xfId="79" xr:uid="{00000000-0005-0000-0000-00005C000000}"/>
    <cellStyle name="Valuta_laroux" xfId="80" xr:uid="{00000000-0005-0000-0000-00005D000000}"/>
    <cellStyle name="Virgül [0]_21.12" xfId="81" xr:uid="{00000000-0005-0000-0000-00005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Z%C3%BCber_Rekabet%20Kampanyalar%20Aral%C4%B1k%202023-Ocak%202024.pptx?web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16A31-9ED5-4F46-952A-E63F5EF7F41A}">
  <dimension ref="B1:AC54"/>
  <sheetViews>
    <sheetView showGridLines="0" tabSelected="1" topLeftCell="I9" zoomScale="55" zoomScaleNormal="40" workbookViewId="0">
      <selection activeCell="O20" sqref="O20"/>
    </sheetView>
  </sheetViews>
  <sheetFormatPr defaultColWidth="8.88671875" defaultRowHeight="14.4" x14ac:dyDescent="0.3"/>
  <cols>
    <col min="1" max="1" width="3.44140625" style="1" customWidth="1"/>
    <col min="2" max="2" width="55.109375" style="1" customWidth="1"/>
    <col min="3" max="3" width="43.33203125" style="1" customWidth="1"/>
    <col min="4" max="4" width="27.88671875" style="1" customWidth="1"/>
    <col min="5" max="5" width="20.44140625" style="1" customWidth="1"/>
    <col min="6" max="6" width="42" style="1" customWidth="1"/>
    <col min="7" max="7" width="39" style="1" customWidth="1"/>
    <col min="8" max="8" width="35.88671875" style="1" customWidth="1"/>
    <col min="9" max="9" width="33.109375" style="1" customWidth="1"/>
    <col min="10" max="10" width="31.5546875" style="1" customWidth="1"/>
    <col min="11" max="11" width="22.44140625" style="1" customWidth="1"/>
    <col min="12" max="12" width="18.77734375" style="1" customWidth="1"/>
    <col min="13" max="13" width="22.33203125" style="1" bestFit="1" customWidth="1"/>
    <col min="14" max="14" width="32.5546875" style="1" customWidth="1"/>
    <col min="15" max="15" width="33.109375" style="1" customWidth="1"/>
    <col min="16" max="16" width="24.21875" style="1" customWidth="1"/>
    <col min="17" max="17" width="29.5546875" style="1" customWidth="1"/>
    <col min="18" max="20" width="22.33203125" style="1" customWidth="1"/>
    <col min="21" max="21" width="28.5546875" style="1" bestFit="1" customWidth="1"/>
    <col min="22" max="22" width="24.88671875" style="1" customWidth="1"/>
    <col min="23" max="23" width="27.33203125" style="1" customWidth="1"/>
    <col min="24" max="24" width="25.5546875" style="1" bestFit="1" customWidth="1"/>
    <col min="25" max="25" width="25.5546875" style="1" customWidth="1"/>
    <col min="26" max="26" width="27.77734375" style="1" bestFit="1" customWidth="1"/>
    <col min="27" max="27" width="22.33203125" style="1" customWidth="1"/>
    <col min="28" max="28" width="8.88671875" style="1"/>
    <col min="29" max="29" width="25" style="1" customWidth="1"/>
    <col min="30" max="16384" width="8.88671875" style="1"/>
  </cols>
  <sheetData>
    <row r="1" spans="2:20" ht="15" thickBot="1" x14ac:dyDescent="0.35"/>
    <row r="2" spans="2:20" ht="31.8" x14ac:dyDescent="0.3">
      <c r="B2" s="23" t="s">
        <v>28</v>
      </c>
      <c r="C2" s="27" t="s">
        <v>59</v>
      </c>
      <c r="E2"/>
      <c r="F2"/>
      <c r="G2"/>
      <c r="H2"/>
      <c r="I2"/>
      <c r="J2"/>
    </row>
    <row r="3" spans="2:20" ht="31.8" x14ac:dyDescent="0.3">
      <c r="B3" s="24" t="s">
        <v>29</v>
      </c>
      <c r="C3" s="28" t="s">
        <v>60</v>
      </c>
      <c r="E3"/>
      <c r="F3"/>
      <c r="G3"/>
      <c r="H3"/>
      <c r="I3"/>
      <c r="J3"/>
    </row>
    <row r="4" spans="2:20" ht="31.8" x14ac:dyDescent="0.3">
      <c r="B4" s="24" t="s">
        <v>30</v>
      </c>
      <c r="C4" s="29" t="s">
        <v>101</v>
      </c>
      <c r="E4"/>
      <c r="F4"/>
      <c r="G4"/>
      <c r="H4"/>
      <c r="I4"/>
      <c r="J4"/>
    </row>
    <row r="5" spans="2:20" ht="33.6" x14ac:dyDescent="0.65">
      <c r="B5" s="25" t="s">
        <v>31</v>
      </c>
      <c r="C5" s="30">
        <v>5754198.4862162163</v>
      </c>
      <c r="D5" s="60"/>
      <c r="E5"/>
      <c r="F5"/>
      <c r="G5"/>
      <c r="H5"/>
      <c r="I5"/>
      <c r="J5"/>
    </row>
    <row r="6" spans="2:20" ht="31.8" x14ac:dyDescent="0.35">
      <c r="B6" s="25" t="s">
        <v>40</v>
      </c>
      <c r="C6" s="31">
        <f>C5-C7</f>
        <v>953639.41015451588</v>
      </c>
      <c r="D6" s="59"/>
      <c r="E6"/>
      <c r="F6"/>
      <c r="G6"/>
      <c r="H6"/>
      <c r="I6"/>
      <c r="J6"/>
    </row>
    <row r="7" spans="2:20" ht="31.8" x14ac:dyDescent="0.35">
      <c r="B7" s="25" t="s">
        <v>41</v>
      </c>
      <c r="C7" s="32">
        <f>C8+C9+C10+C11+C12</f>
        <v>4800559.0760617005</v>
      </c>
      <c r="D7" s="59"/>
      <c r="E7"/>
      <c r="F7"/>
      <c r="G7"/>
      <c r="H7"/>
      <c r="I7"/>
      <c r="J7"/>
    </row>
    <row r="8" spans="2:20" ht="31.8" x14ac:dyDescent="0.35">
      <c r="B8" s="25" t="s">
        <v>42</v>
      </c>
      <c r="C8" s="33">
        <f>U40+U50</f>
        <v>4351256.080147</v>
      </c>
      <c r="D8" s="59"/>
      <c r="E8"/>
      <c r="F8"/>
      <c r="G8"/>
      <c r="H8"/>
      <c r="I8"/>
      <c r="J8"/>
    </row>
    <row r="9" spans="2:20" ht="31.8" x14ac:dyDescent="0.35">
      <c r="B9" s="25" t="s">
        <v>54</v>
      </c>
      <c r="C9" s="33">
        <f>Y40+Y50</f>
        <v>25306.57</v>
      </c>
      <c r="D9" s="59"/>
      <c r="E9"/>
      <c r="F9"/>
      <c r="G9"/>
      <c r="H9"/>
      <c r="I9"/>
      <c r="J9"/>
    </row>
    <row r="10" spans="2:20" ht="31.8" x14ac:dyDescent="0.35">
      <c r="B10" s="25" t="s">
        <v>55</v>
      </c>
      <c r="C10" s="33">
        <f>W40+W50</f>
        <v>9380</v>
      </c>
      <c r="D10" s="59"/>
      <c r="E10"/>
      <c r="F10"/>
      <c r="G10"/>
      <c r="H10"/>
      <c r="I10"/>
      <c r="J10"/>
      <c r="N10" s="62"/>
    </row>
    <row r="11" spans="2:20" ht="31.8" x14ac:dyDescent="0.35">
      <c r="B11" s="25" t="s">
        <v>43</v>
      </c>
      <c r="C11" s="33">
        <f>V40+V50</f>
        <v>61490.817899999995</v>
      </c>
      <c r="D11" s="59"/>
      <c r="E11"/>
      <c r="F11"/>
      <c r="G11"/>
      <c r="H11"/>
      <c r="I11"/>
      <c r="J11"/>
      <c r="N11" s="63"/>
    </row>
    <row r="12" spans="2:20" ht="32.4" thickBot="1" x14ac:dyDescent="0.4">
      <c r="B12" s="26" t="s">
        <v>44</v>
      </c>
      <c r="C12" s="66">
        <f>X40+X50</f>
        <v>353125.60801470006</v>
      </c>
      <c r="D12" s="59"/>
      <c r="E12"/>
      <c r="F12"/>
      <c r="G12"/>
      <c r="H12"/>
      <c r="I12"/>
      <c r="J12"/>
      <c r="K12" s="4"/>
      <c r="L12" s="5"/>
      <c r="M12" s="2"/>
      <c r="N12" s="64"/>
      <c r="O12" s="65"/>
      <c r="P12" s="2"/>
      <c r="Q12" s="2"/>
      <c r="R12" s="3"/>
      <c r="S12" s="3"/>
      <c r="T12" s="3"/>
    </row>
    <row r="13" spans="2:20" x14ac:dyDescent="0.3">
      <c r="O13" s="63"/>
    </row>
    <row r="14" spans="2:20" x14ac:dyDescent="0.3">
      <c r="O14" s="63"/>
    </row>
    <row r="15" spans="2:20" ht="15" thickBot="1" x14ac:dyDescent="0.35"/>
    <row r="16" spans="2:20" ht="32.4" thickBot="1" x14ac:dyDescent="0.35">
      <c r="B16" s="34" t="s">
        <v>18</v>
      </c>
      <c r="C16"/>
      <c r="D16" s="7"/>
      <c r="E16" s="7"/>
      <c r="F16" s="7"/>
      <c r="G16" s="7"/>
      <c r="H16" s="7"/>
      <c r="I16" s="8"/>
      <c r="J16" s="9"/>
      <c r="K16" s="10"/>
      <c r="L16" s="7"/>
      <c r="M16" s="8"/>
      <c r="N16" s="7"/>
      <c r="O16" s="7"/>
      <c r="P16" s="11"/>
      <c r="Q16" s="7"/>
      <c r="R16" s="7"/>
      <c r="S16" s="7"/>
      <c r="T16" s="7"/>
    </row>
    <row r="17" spans="2:29" ht="63.6" x14ac:dyDescent="0.3">
      <c r="B17" s="105" t="s">
        <v>0</v>
      </c>
      <c r="C17" s="106" t="s">
        <v>5</v>
      </c>
      <c r="D17" s="22" t="s">
        <v>6</v>
      </c>
      <c r="E17" s="94" t="s">
        <v>7</v>
      </c>
      <c r="F17" s="94" t="s">
        <v>8</v>
      </c>
      <c r="G17" s="94" t="s">
        <v>1</v>
      </c>
      <c r="H17" s="94" t="s">
        <v>9</v>
      </c>
      <c r="I17" s="94" t="s">
        <v>2</v>
      </c>
      <c r="J17" s="94" t="s">
        <v>10</v>
      </c>
      <c r="K17" s="94" t="s">
        <v>11</v>
      </c>
      <c r="L17" s="94" t="s">
        <v>12</v>
      </c>
      <c r="M17" s="94" t="s">
        <v>13</v>
      </c>
      <c r="N17" s="94" t="s">
        <v>32</v>
      </c>
      <c r="O17" s="94" t="s">
        <v>33</v>
      </c>
      <c r="P17" s="94" t="s">
        <v>34</v>
      </c>
      <c r="Q17" s="94" t="s">
        <v>24</v>
      </c>
      <c r="R17" s="94" t="s">
        <v>35</v>
      </c>
      <c r="S17" s="94" t="s">
        <v>56</v>
      </c>
      <c r="T17" s="94" t="s">
        <v>36</v>
      </c>
      <c r="U17" s="94" t="s">
        <v>37</v>
      </c>
      <c r="V17" s="94" t="s">
        <v>38</v>
      </c>
      <c r="W17" s="94" t="s">
        <v>55</v>
      </c>
      <c r="X17" s="94" t="s">
        <v>3</v>
      </c>
      <c r="Y17" s="94" t="s">
        <v>54</v>
      </c>
      <c r="Z17" s="94" t="s">
        <v>14</v>
      </c>
      <c r="AA17" s="94" t="s">
        <v>15</v>
      </c>
      <c r="AB17" s="112" t="s">
        <v>16</v>
      </c>
      <c r="AC17" s="113"/>
    </row>
    <row r="18" spans="2:29" ht="73.2" customHeight="1" x14ac:dyDescent="0.3">
      <c r="B18" s="16" t="s">
        <v>59</v>
      </c>
      <c r="C18" s="107" t="s">
        <v>61</v>
      </c>
      <c r="D18" s="12" t="s">
        <v>17</v>
      </c>
      <c r="E18" s="14" t="s">
        <v>18</v>
      </c>
      <c r="F18" s="15" t="s">
        <v>19</v>
      </c>
      <c r="G18" s="16" t="s">
        <v>46</v>
      </c>
      <c r="H18" s="16" t="s">
        <v>23</v>
      </c>
      <c r="I18" s="17" t="s">
        <v>50</v>
      </c>
      <c r="J18" s="18">
        <f>M18/L18*1000</f>
        <v>14565217.39130435</v>
      </c>
      <c r="K18" s="19" t="s">
        <v>20</v>
      </c>
      <c r="L18" s="20">
        <v>9.1999999999999993</v>
      </c>
      <c r="M18" s="83">
        <v>134000</v>
      </c>
      <c r="N18" s="52">
        <v>15003107</v>
      </c>
      <c r="O18" s="91">
        <v>11631550</v>
      </c>
      <c r="P18" s="61">
        <v>13913</v>
      </c>
      <c r="Q18" s="53">
        <v>8738519</v>
      </c>
      <c r="R18" s="100">
        <f>U18/N18*1000</f>
        <v>8.9314833254205279</v>
      </c>
      <c r="S18" s="92">
        <v>0.21</v>
      </c>
      <c r="T18" s="54">
        <f>U18/O18</f>
        <v>1.1520390661605718E-2</v>
      </c>
      <c r="U18" s="55">
        <v>134000</v>
      </c>
      <c r="V18" s="56">
        <v>0</v>
      </c>
      <c r="W18" s="56">
        <f>(U18)*0.07</f>
        <v>9380</v>
      </c>
      <c r="X18" s="57">
        <f>U18*0.1</f>
        <v>13400</v>
      </c>
      <c r="Y18" s="57">
        <f>(U18+W18)*0.1765</f>
        <v>25306.57</v>
      </c>
      <c r="Z18" s="58">
        <f>U18+V18+W18+X18+Y18</f>
        <v>182086.57</v>
      </c>
      <c r="AA18" s="89">
        <v>5</v>
      </c>
      <c r="AB18" s="114" t="s">
        <v>95</v>
      </c>
      <c r="AC18" s="115" t="s">
        <v>95</v>
      </c>
    </row>
    <row r="19" spans="2:29" ht="87" customHeight="1" x14ac:dyDescent="0.3">
      <c r="B19" s="16" t="s">
        <v>59</v>
      </c>
      <c r="C19" s="107" t="s">
        <v>61</v>
      </c>
      <c r="D19" s="12" t="s">
        <v>17</v>
      </c>
      <c r="E19" s="14" t="s">
        <v>18</v>
      </c>
      <c r="F19" s="15" t="s">
        <v>19</v>
      </c>
      <c r="G19" s="16" t="s">
        <v>46</v>
      </c>
      <c r="H19" s="16" t="s">
        <v>23</v>
      </c>
      <c r="I19" s="17" t="s">
        <v>82</v>
      </c>
      <c r="J19" s="21">
        <f t="shared" ref="J19:J20" si="0">M19/L19</f>
        <v>3333333.3333333335</v>
      </c>
      <c r="K19" s="19" t="s">
        <v>20</v>
      </c>
      <c r="L19" s="20">
        <v>0.15</v>
      </c>
      <c r="M19" s="83">
        <v>500000</v>
      </c>
      <c r="N19" s="52">
        <v>12537052</v>
      </c>
      <c r="O19" s="91">
        <v>3721445</v>
      </c>
      <c r="P19" s="61">
        <v>20733</v>
      </c>
      <c r="Q19" s="53"/>
      <c r="R19" s="100" t="s">
        <v>39</v>
      </c>
      <c r="S19" s="92">
        <v>0.27</v>
      </c>
      <c r="T19" s="54">
        <f>U19/O19</f>
        <v>0.16869611568490198</v>
      </c>
      <c r="U19" s="55">
        <v>627793.31623500003</v>
      </c>
      <c r="V19" s="56">
        <v>0</v>
      </c>
      <c r="W19" s="56">
        <v>0</v>
      </c>
      <c r="X19" s="57">
        <f>U19*0.1</f>
        <v>62779.331623500009</v>
      </c>
      <c r="Y19" s="57"/>
      <c r="Z19" s="58">
        <f t="shared" ref="Z19:Z40" si="1">U19+V19+W19+X19+Y19</f>
        <v>690572.64785850001</v>
      </c>
      <c r="AA19" s="89">
        <v>20</v>
      </c>
      <c r="AB19" s="110" t="s">
        <v>94</v>
      </c>
      <c r="AC19" s="111" t="s">
        <v>94</v>
      </c>
    </row>
    <row r="20" spans="2:29" ht="73.8" customHeight="1" x14ac:dyDescent="0.3">
      <c r="B20" s="16" t="s">
        <v>59</v>
      </c>
      <c r="C20" s="107" t="s">
        <v>61</v>
      </c>
      <c r="D20" s="12" t="s">
        <v>17</v>
      </c>
      <c r="E20" s="14" t="s">
        <v>18</v>
      </c>
      <c r="F20" s="15" t="s">
        <v>19</v>
      </c>
      <c r="G20" s="16" t="s">
        <v>46</v>
      </c>
      <c r="H20" s="16" t="s">
        <v>78</v>
      </c>
      <c r="I20" s="17" t="s">
        <v>82</v>
      </c>
      <c r="J20" s="21">
        <f t="shared" si="0"/>
        <v>1600000</v>
      </c>
      <c r="K20" s="19" t="s">
        <v>20</v>
      </c>
      <c r="L20" s="20">
        <v>0.25</v>
      </c>
      <c r="M20" s="83">
        <v>400000</v>
      </c>
      <c r="N20" s="52">
        <v>2633072</v>
      </c>
      <c r="O20" s="91">
        <v>1397603</v>
      </c>
      <c r="P20" s="61">
        <v>6615</v>
      </c>
      <c r="Q20" s="53"/>
      <c r="R20" s="100" t="s">
        <v>39</v>
      </c>
      <c r="S20" s="92">
        <v>0.53</v>
      </c>
      <c r="T20" s="54">
        <f t="shared" ref="T20:T31" si="2">U20/O20</f>
        <v>0.17511782291967026</v>
      </c>
      <c r="U20" s="55">
        <v>244745.19466599994</v>
      </c>
      <c r="V20" s="56">
        <v>0</v>
      </c>
      <c r="W20" s="56">
        <v>0</v>
      </c>
      <c r="X20" s="57">
        <f>U20*0.1</f>
        <v>24474.519466599995</v>
      </c>
      <c r="Y20" s="57"/>
      <c r="Z20" s="58">
        <f t="shared" si="1"/>
        <v>269219.71413259994</v>
      </c>
      <c r="AA20" s="89">
        <v>20</v>
      </c>
      <c r="AB20" s="110" t="s">
        <v>94</v>
      </c>
      <c r="AC20" s="111" t="s">
        <v>94</v>
      </c>
    </row>
    <row r="21" spans="2:29" ht="63" customHeight="1" x14ac:dyDescent="0.3">
      <c r="B21" s="16" t="s">
        <v>59</v>
      </c>
      <c r="C21" s="107" t="s">
        <v>61</v>
      </c>
      <c r="D21" s="12" t="s">
        <v>17</v>
      </c>
      <c r="E21" s="14" t="s">
        <v>18</v>
      </c>
      <c r="F21" s="15" t="s">
        <v>19</v>
      </c>
      <c r="G21" s="16" t="s">
        <v>46</v>
      </c>
      <c r="H21" s="16" t="s">
        <v>23</v>
      </c>
      <c r="I21" s="17" t="s">
        <v>83</v>
      </c>
      <c r="J21" s="18">
        <f>M21/L21*1000</f>
        <v>2000000</v>
      </c>
      <c r="K21" s="19" t="s">
        <v>20</v>
      </c>
      <c r="L21" s="20">
        <v>50</v>
      </c>
      <c r="M21" s="83">
        <v>100000</v>
      </c>
      <c r="N21" s="52">
        <v>309882</v>
      </c>
      <c r="O21" s="91">
        <v>17879</v>
      </c>
      <c r="P21" s="61">
        <v>8053</v>
      </c>
      <c r="Q21" s="53"/>
      <c r="R21" s="100">
        <f>U21/N21*1000</f>
        <v>119.57867023254012</v>
      </c>
      <c r="S21" s="92">
        <v>0.5</v>
      </c>
      <c r="T21" s="54">
        <f t="shared" si="2"/>
        <v>2.072558727501538</v>
      </c>
      <c r="U21" s="55">
        <v>37055.277489</v>
      </c>
      <c r="V21" s="56">
        <v>0</v>
      </c>
      <c r="W21" s="56">
        <v>0</v>
      </c>
      <c r="X21" s="57">
        <f>U21*0.1</f>
        <v>3705.5277489</v>
      </c>
      <c r="Y21" s="57"/>
      <c r="Z21" s="58">
        <f t="shared" si="1"/>
        <v>40760.8052379</v>
      </c>
      <c r="AA21" s="89">
        <v>17</v>
      </c>
      <c r="AB21" s="110" t="s">
        <v>96</v>
      </c>
      <c r="AC21" s="111" t="s">
        <v>96</v>
      </c>
    </row>
    <row r="22" spans="2:29" ht="63" customHeight="1" x14ac:dyDescent="0.3">
      <c r="B22" s="16" t="s">
        <v>59</v>
      </c>
      <c r="C22" s="107" t="s">
        <v>61</v>
      </c>
      <c r="D22" s="12" t="s">
        <v>21</v>
      </c>
      <c r="E22" s="14" t="s">
        <v>18</v>
      </c>
      <c r="F22" s="15" t="s">
        <v>45</v>
      </c>
      <c r="G22" s="16" t="s">
        <v>68</v>
      </c>
      <c r="H22" s="16" t="s">
        <v>23</v>
      </c>
      <c r="I22" s="17" t="s">
        <v>84</v>
      </c>
      <c r="J22" s="21">
        <f t="shared" ref="J22:J27" si="3">M22/L22</f>
        <v>2000000</v>
      </c>
      <c r="K22" s="19" t="s">
        <v>20</v>
      </c>
      <c r="L22" s="20">
        <v>0.25</v>
      </c>
      <c r="M22" s="83">
        <v>500000</v>
      </c>
      <c r="N22" s="52">
        <v>7132757</v>
      </c>
      <c r="O22" s="91">
        <v>915673</v>
      </c>
      <c r="P22" s="61">
        <v>17933</v>
      </c>
      <c r="Q22" s="53">
        <v>3111071</v>
      </c>
      <c r="R22" s="100">
        <f>U22/N22*1000</f>
        <v>41.356360520903763</v>
      </c>
      <c r="S22" s="92">
        <v>0.23</v>
      </c>
      <c r="T22" s="54">
        <f t="shared" si="2"/>
        <v>0.32215088792614832</v>
      </c>
      <c r="U22" s="55">
        <v>294984.87</v>
      </c>
      <c r="V22" s="56">
        <v>0</v>
      </c>
      <c r="W22" s="56">
        <v>0</v>
      </c>
      <c r="X22" s="57">
        <f>U22*0.1</f>
        <v>29498.487000000001</v>
      </c>
      <c r="Y22" s="57"/>
      <c r="Z22" s="58">
        <f t="shared" si="1"/>
        <v>324483.35700000002</v>
      </c>
      <c r="AA22" s="89">
        <v>20</v>
      </c>
      <c r="AB22" s="110" t="s">
        <v>94</v>
      </c>
      <c r="AC22" s="111" t="s">
        <v>94</v>
      </c>
    </row>
    <row r="23" spans="2:29" ht="87" customHeight="1" x14ac:dyDescent="0.3">
      <c r="B23" s="16" t="s">
        <v>59</v>
      </c>
      <c r="C23" s="107" t="s">
        <v>61</v>
      </c>
      <c r="D23" s="12" t="s">
        <v>21</v>
      </c>
      <c r="E23" s="14" t="s">
        <v>18</v>
      </c>
      <c r="F23" s="15" t="s">
        <v>45</v>
      </c>
      <c r="G23" s="16" t="s">
        <v>69</v>
      </c>
      <c r="H23" s="16" t="s">
        <v>23</v>
      </c>
      <c r="I23" s="17" t="s">
        <v>84</v>
      </c>
      <c r="J23" s="21">
        <f t="shared" si="3"/>
        <v>1600000</v>
      </c>
      <c r="K23" s="19" t="s">
        <v>20</v>
      </c>
      <c r="L23" s="20">
        <v>0.25</v>
      </c>
      <c r="M23" s="83">
        <v>400000</v>
      </c>
      <c r="N23" s="52">
        <v>11822171</v>
      </c>
      <c r="O23" s="91">
        <v>1082388</v>
      </c>
      <c r="P23" s="61">
        <v>25851</v>
      </c>
      <c r="Q23" s="53">
        <v>4555574</v>
      </c>
      <c r="R23" s="100">
        <f t="shared" ref="R23:R25" si="4">U23/N23*1000</f>
        <v>30.591008199762971</v>
      </c>
      <c r="S23" s="92" t="s">
        <v>102</v>
      </c>
      <c r="T23" s="54">
        <f t="shared" si="2"/>
        <v>0.33412429738688898</v>
      </c>
      <c r="U23" s="55">
        <v>361652.13</v>
      </c>
      <c r="V23" s="56">
        <v>0</v>
      </c>
      <c r="W23" s="56">
        <v>0</v>
      </c>
      <c r="X23" s="57">
        <f t="shared" ref="X23:X38" si="5">U23*0.1</f>
        <v>36165.213000000003</v>
      </c>
      <c r="Y23" s="57"/>
      <c r="Z23" s="58">
        <f t="shared" si="1"/>
        <v>397817.34299999999</v>
      </c>
      <c r="AA23" s="89">
        <v>20</v>
      </c>
      <c r="AB23" s="110" t="s">
        <v>94</v>
      </c>
      <c r="AC23" s="111" t="s">
        <v>94</v>
      </c>
    </row>
    <row r="24" spans="2:29" ht="73.8" customHeight="1" x14ac:dyDescent="0.3">
      <c r="B24" s="16" t="s">
        <v>59</v>
      </c>
      <c r="C24" s="107" t="s">
        <v>61</v>
      </c>
      <c r="D24" s="12" t="s">
        <v>17</v>
      </c>
      <c r="E24" s="14" t="s">
        <v>18</v>
      </c>
      <c r="F24" s="15" t="s">
        <v>45</v>
      </c>
      <c r="G24" s="82" t="s">
        <v>49</v>
      </c>
      <c r="H24" s="16" t="s">
        <v>23</v>
      </c>
      <c r="I24" s="17" t="s">
        <v>84</v>
      </c>
      <c r="J24" s="21">
        <f t="shared" si="3"/>
        <v>50000</v>
      </c>
      <c r="K24" s="19" t="s">
        <v>20</v>
      </c>
      <c r="L24" s="20">
        <v>0.2</v>
      </c>
      <c r="M24" s="83">
        <v>10000</v>
      </c>
      <c r="N24" s="52">
        <v>529112</v>
      </c>
      <c r="O24" s="91">
        <v>24840</v>
      </c>
      <c r="P24" s="61">
        <v>1301</v>
      </c>
      <c r="Q24" s="53">
        <v>398256</v>
      </c>
      <c r="R24" s="100">
        <f t="shared" si="4"/>
        <v>17.861492462843405</v>
      </c>
      <c r="S24" s="92" t="s">
        <v>103</v>
      </c>
      <c r="T24" s="54">
        <f t="shared" si="2"/>
        <v>0.38046417069243155</v>
      </c>
      <c r="U24" s="55">
        <v>9450.73</v>
      </c>
      <c r="V24" s="56">
        <v>0</v>
      </c>
      <c r="W24" s="56">
        <v>0</v>
      </c>
      <c r="X24" s="57">
        <f t="shared" si="5"/>
        <v>945.07299999999998</v>
      </c>
      <c r="Y24" s="57"/>
      <c r="Z24" s="58">
        <f t="shared" si="1"/>
        <v>10395.803</v>
      </c>
      <c r="AA24" s="89">
        <v>20</v>
      </c>
      <c r="AB24" s="110" t="s">
        <v>94</v>
      </c>
      <c r="AC24" s="111" t="s">
        <v>94</v>
      </c>
    </row>
    <row r="25" spans="2:29" ht="63" customHeight="1" x14ac:dyDescent="0.3">
      <c r="B25" s="16" t="s">
        <v>59</v>
      </c>
      <c r="C25" s="107" t="s">
        <v>61</v>
      </c>
      <c r="D25" s="12" t="s">
        <v>21</v>
      </c>
      <c r="E25" s="14" t="s">
        <v>18</v>
      </c>
      <c r="F25" s="15" t="s">
        <v>45</v>
      </c>
      <c r="G25" s="16" t="s">
        <v>70</v>
      </c>
      <c r="H25" s="16" t="s">
        <v>23</v>
      </c>
      <c r="I25" s="17" t="s">
        <v>57</v>
      </c>
      <c r="J25" s="84">
        <f t="shared" si="3"/>
        <v>1500000</v>
      </c>
      <c r="K25" s="19" t="s">
        <v>20</v>
      </c>
      <c r="L25" s="20">
        <v>0.1</v>
      </c>
      <c r="M25" s="83">
        <v>150000</v>
      </c>
      <c r="N25" s="52">
        <v>6801326</v>
      </c>
      <c r="O25" s="91">
        <v>462442</v>
      </c>
      <c r="P25" s="61">
        <v>8369</v>
      </c>
      <c r="Q25" s="53">
        <v>3920371</v>
      </c>
      <c r="R25" s="100">
        <f t="shared" si="4"/>
        <v>22.054522897446763</v>
      </c>
      <c r="S25" s="92" t="s">
        <v>104</v>
      </c>
      <c r="T25" s="54">
        <f t="shared" si="2"/>
        <v>0.32436500144883035</v>
      </c>
      <c r="U25" s="55">
        <v>150000</v>
      </c>
      <c r="V25" s="56">
        <v>0</v>
      </c>
      <c r="W25" s="56">
        <v>0</v>
      </c>
      <c r="X25" s="57">
        <f t="shared" si="5"/>
        <v>15000</v>
      </c>
      <c r="Y25" s="57"/>
      <c r="Z25" s="58">
        <f t="shared" si="1"/>
        <v>165000</v>
      </c>
      <c r="AA25" s="89">
        <v>20</v>
      </c>
      <c r="AB25" s="110" t="s">
        <v>94</v>
      </c>
      <c r="AC25" s="111" t="s">
        <v>94</v>
      </c>
    </row>
    <row r="26" spans="2:29" ht="91.2" customHeight="1" x14ac:dyDescent="0.3">
      <c r="B26" s="16" t="s">
        <v>59</v>
      </c>
      <c r="C26" s="107" t="s">
        <v>61</v>
      </c>
      <c r="D26" s="12" t="s">
        <v>17</v>
      </c>
      <c r="E26" s="14" t="s">
        <v>18</v>
      </c>
      <c r="F26" s="15" t="s">
        <v>47</v>
      </c>
      <c r="G26" s="16" t="s">
        <v>47</v>
      </c>
      <c r="H26" s="16" t="s">
        <v>79</v>
      </c>
      <c r="I26" s="17" t="s">
        <v>85</v>
      </c>
      <c r="J26" s="21">
        <f t="shared" si="3"/>
        <v>2247962.5</v>
      </c>
      <c r="K26" s="19" t="s">
        <v>20</v>
      </c>
      <c r="L26" s="20">
        <v>0.08</v>
      </c>
      <c r="M26" s="83">
        <v>179837</v>
      </c>
      <c r="N26" s="52">
        <v>7811994</v>
      </c>
      <c r="O26" s="91">
        <v>2486168</v>
      </c>
      <c r="P26" s="61">
        <v>44732</v>
      </c>
      <c r="Q26" s="53">
        <v>7330025</v>
      </c>
      <c r="R26" s="100">
        <f>U26/N26*1000</f>
        <v>22.984272645370694</v>
      </c>
      <c r="S26" s="92">
        <v>0.12</v>
      </c>
      <c r="T26" s="54">
        <f t="shared" si="2"/>
        <v>7.2220783149006831E-2</v>
      </c>
      <c r="U26" s="55">
        <v>179553</v>
      </c>
      <c r="V26" s="56">
        <v>0</v>
      </c>
      <c r="W26" s="56">
        <v>0</v>
      </c>
      <c r="X26" s="57">
        <f t="shared" si="5"/>
        <v>17955.3</v>
      </c>
      <c r="Y26" s="57"/>
      <c r="Z26" s="58">
        <f t="shared" si="1"/>
        <v>197508.3</v>
      </c>
      <c r="AA26" s="89">
        <v>1</v>
      </c>
      <c r="AB26" s="114" t="s">
        <v>97</v>
      </c>
      <c r="AC26" s="115" t="s">
        <v>97</v>
      </c>
    </row>
    <row r="27" spans="2:29" ht="63" customHeight="1" x14ac:dyDescent="0.3">
      <c r="B27" s="16" t="s">
        <v>59</v>
      </c>
      <c r="C27" s="107" t="s">
        <v>61</v>
      </c>
      <c r="D27" s="12" t="s">
        <v>17</v>
      </c>
      <c r="E27" s="14" t="s">
        <v>18</v>
      </c>
      <c r="F27" s="15" t="s">
        <v>47</v>
      </c>
      <c r="G27" s="16" t="s">
        <v>47</v>
      </c>
      <c r="H27" s="16" t="s">
        <v>23</v>
      </c>
      <c r="I27" s="17" t="s">
        <v>86</v>
      </c>
      <c r="J27" s="21">
        <f t="shared" si="3"/>
        <v>6140000</v>
      </c>
      <c r="K27" s="19" t="s">
        <v>20</v>
      </c>
      <c r="L27" s="20">
        <v>0.05</v>
      </c>
      <c r="M27" s="83">
        <v>307000</v>
      </c>
      <c r="N27" s="52">
        <v>36691261</v>
      </c>
      <c r="O27" s="91">
        <v>12227947</v>
      </c>
      <c r="P27" s="61">
        <v>61761</v>
      </c>
      <c r="Q27" s="53">
        <v>4288610</v>
      </c>
      <c r="R27" s="100">
        <f>U27/N27*1000</f>
        <v>6.7393415560179308</v>
      </c>
      <c r="S27" s="92" t="s">
        <v>106</v>
      </c>
      <c r="T27" s="54">
        <f t="shared" si="2"/>
        <v>2.0222114145571617E-2</v>
      </c>
      <c r="U27" s="55">
        <v>247274.94</v>
      </c>
      <c r="V27" s="56">
        <v>0</v>
      </c>
      <c r="W27" s="56">
        <v>0</v>
      </c>
      <c r="X27" s="57">
        <f t="shared" si="5"/>
        <v>24727.494000000002</v>
      </c>
      <c r="Y27" s="57"/>
      <c r="Z27" s="58">
        <f t="shared" si="1"/>
        <v>272002.43400000001</v>
      </c>
      <c r="AA27" s="89">
        <v>20</v>
      </c>
      <c r="AB27" s="110" t="s">
        <v>94</v>
      </c>
      <c r="AC27" s="111" t="s">
        <v>94</v>
      </c>
    </row>
    <row r="28" spans="2:29" ht="87" customHeight="1" x14ac:dyDescent="0.3">
      <c r="B28" s="16" t="s">
        <v>59</v>
      </c>
      <c r="C28" s="107" t="s">
        <v>61</v>
      </c>
      <c r="D28" s="12" t="s">
        <v>21</v>
      </c>
      <c r="E28" s="14" t="s">
        <v>18</v>
      </c>
      <c r="F28" s="15" t="s">
        <v>22</v>
      </c>
      <c r="G28" s="16" t="s">
        <v>22</v>
      </c>
      <c r="H28" s="16" t="s">
        <v>79</v>
      </c>
      <c r="I28" s="17" t="s">
        <v>51</v>
      </c>
      <c r="J28" s="18">
        <f>M28/L28*1000</f>
        <v>10000000</v>
      </c>
      <c r="K28" s="19" t="s">
        <v>20</v>
      </c>
      <c r="L28" s="20">
        <v>40</v>
      </c>
      <c r="M28" s="83">
        <v>400000</v>
      </c>
      <c r="N28" s="52">
        <v>10509486</v>
      </c>
      <c r="O28" s="91">
        <v>1252813</v>
      </c>
      <c r="P28" s="61">
        <v>229319</v>
      </c>
      <c r="Q28" s="53">
        <v>2737313</v>
      </c>
      <c r="R28" s="100">
        <f>U28/N28*1000</f>
        <v>38.061008882832141</v>
      </c>
      <c r="S28" s="92" t="s">
        <v>107</v>
      </c>
      <c r="T28" s="54">
        <f t="shared" si="2"/>
        <v>0.31928279799140019</v>
      </c>
      <c r="U28" s="55">
        <v>400001.64</v>
      </c>
      <c r="V28" s="56">
        <v>0</v>
      </c>
      <c r="W28" s="56">
        <v>0</v>
      </c>
      <c r="X28" s="57">
        <f t="shared" si="5"/>
        <v>40000.164000000004</v>
      </c>
      <c r="Y28" s="57"/>
      <c r="Z28" s="58">
        <f t="shared" si="1"/>
        <v>440001.804</v>
      </c>
      <c r="AA28" s="89">
        <v>1</v>
      </c>
      <c r="AB28" s="114" t="s">
        <v>97</v>
      </c>
      <c r="AC28" s="115" t="s">
        <v>97</v>
      </c>
    </row>
    <row r="29" spans="2:29" ht="87" customHeight="1" x14ac:dyDescent="0.3">
      <c r="B29" s="16" t="s">
        <v>59</v>
      </c>
      <c r="C29" s="107" t="s">
        <v>61</v>
      </c>
      <c r="D29" s="12" t="s">
        <v>21</v>
      </c>
      <c r="E29" s="14" t="s">
        <v>18</v>
      </c>
      <c r="F29" s="15" t="s">
        <v>22</v>
      </c>
      <c r="G29" s="82" t="s">
        <v>22</v>
      </c>
      <c r="H29" s="16" t="s">
        <v>23</v>
      </c>
      <c r="I29" s="17" t="s">
        <v>52</v>
      </c>
      <c r="J29" s="18">
        <f>M29/L29*1000</f>
        <v>3000000</v>
      </c>
      <c r="K29" s="19" t="s">
        <v>20</v>
      </c>
      <c r="L29" s="20">
        <v>30</v>
      </c>
      <c r="M29" s="83">
        <v>90000</v>
      </c>
      <c r="N29" s="52">
        <v>3019402</v>
      </c>
      <c r="O29" s="91">
        <v>187069</v>
      </c>
      <c r="P29" s="61">
        <v>6334</v>
      </c>
      <c r="Q29" s="53">
        <v>1396478</v>
      </c>
      <c r="R29" s="100">
        <f>U29/N29*1000</f>
        <v>29.807226729001307</v>
      </c>
      <c r="S29" s="92" t="s">
        <v>108</v>
      </c>
      <c r="T29" s="54">
        <f t="shared" si="2"/>
        <v>0.48110590210029452</v>
      </c>
      <c r="U29" s="55">
        <v>90000</v>
      </c>
      <c r="V29" s="56">
        <v>0</v>
      </c>
      <c r="W29" s="56">
        <v>0</v>
      </c>
      <c r="X29" s="57">
        <f t="shared" si="5"/>
        <v>9000</v>
      </c>
      <c r="Y29" s="57"/>
      <c r="Z29" s="58">
        <f t="shared" si="1"/>
        <v>99000</v>
      </c>
      <c r="AA29" s="89">
        <v>20</v>
      </c>
      <c r="AB29" s="110" t="s">
        <v>94</v>
      </c>
      <c r="AC29" s="111" t="s">
        <v>94</v>
      </c>
    </row>
    <row r="30" spans="2:29" ht="73.8" customHeight="1" x14ac:dyDescent="0.3">
      <c r="B30" s="16" t="s">
        <v>59</v>
      </c>
      <c r="C30" s="107" t="s">
        <v>61</v>
      </c>
      <c r="D30" s="12" t="s">
        <v>21</v>
      </c>
      <c r="E30" s="14" t="s">
        <v>18</v>
      </c>
      <c r="F30" s="15" t="s">
        <v>22</v>
      </c>
      <c r="G30" s="16" t="s">
        <v>22</v>
      </c>
      <c r="H30" s="16" t="s">
        <v>23</v>
      </c>
      <c r="I30" s="17" t="s">
        <v>26</v>
      </c>
      <c r="J30" s="21">
        <f t="shared" ref="J30:J35" si="6">M30/L30</f>
        <v>800000</v>
      </c>
      <c r="K30" s="19" t="s">
        <v>20</v>
      </c>
      <c r="L30" s="20">
        <v>0.25</v>
      </c>
      <c r="M30" s="83">
        <v>200000</v>
      </c>
      <c r="N30" s="52">
        <v>17204824</v>
      </c>
      <c r="O30" s="91">
        <v>1141638</v>
      </c>
      <c r="P30" s="61">
        <v>24662</v>
      </c>
      <c r="Q30" s="53">
        <v>3246086</v>
      </c>
      <c r="R30" s="100" t="s">
        <v>39</v>
      </c>
      <c r="S30" s="92" t="s">
        <v>109</v>
      </c>
      <c r="T30" s="54">
        <f t="shared" si="2"/>
        <v>0.17457534700141375</v>
      </c>
      <c r="U30" s="55">
        <v>199301.85</v>
      </c>
      <c r="V30" s="56">
        <v>0</v>
      </c>
      <c r="W30" s="56">
        <v>0</v>
      </c>
      <c r="X30" s="57">
        <f t="shared" si="5"/>
        <v>19930.185000000001</v>
      </c>
      <c r="Y30" s="57"/>
      <c r="Z30" s="58">
        <f t="shared" si="1"/>
        <v>219232.035</v>
      </c>
      <c r="AA30" s="89">
        <v>20</v>
      </c>
      <c r="AB30" s="110" t="s">
        <v>94</v>
      </c>
      <c r="AC30" s="111" t="s">
        <v>94</v>
      </c>
    </row>
    <row r="31" spans="2:29" ht="63" customHeight="1" x14ac:dyDescent="0.3">
      <c r="B31" s="16" t="s">
        <v>59</v>
      </c>
      <c r="C31" s="107" t="s">
        <v>61</v>
      </c>
      <c r="D31" s="12" t="s">
        <v>17</v>
      </c>
      <c r="E31" s="14" t="s">
        <v>18</v>
      </c>
      <c r="F31" s="15" t="s">
        <v>58</v>
      </c>
      <c r="G31" s="16" t="s">
        <v>71</v>
      </c>
      <c r="H31" s="16" t="s">
        <v>23</v>
      </c>
      <c r="I31" s="17" t="s">
        <v>87</v>
      </c>
      <c r="J31" s="21">
        <f t="shared" si="6"/>
        <v>1666666.6666666667</v>
      </c>
      <c r="K31" s="19" t="s">
        <v>20</v>
      </c>
      <c r="L31" s="20">
        <v>0.12</v>
      </c>
      <c r="M31" s="83">
        <v>200000</v>
      </c>
      <c r="N31" s="52">
        <v>3067304</v>
      </c>
      <c r="O31" s="91">
        <v>3056780</v>
      </c>
      <c r="P31" s="61">
        <v>4043</v>
      </c>
      <c r="Q31" s="53"/>
      <c r="R31" s="100" t="s">
        <v>39</v>
      </c>
      <c r="S31" s="92">
        <v>0.54</v>
      </c>
      <c r="T31" s="54">
        <f t="shared" si="2"/>
        <v>5.7987510288604348E-2</v>
      </c>
      <c r="U31" s="55">
        <v>177255.06169999999</v>
      </c>
      <c r="V31" s="56">
        <v>0</v>
      </c>
      <c r="W31" s="56">
        <v>0</v>
      </c>
      <c r="X31" s="57">
        <f t="shared" si="5"/>
        <v>17725.506170000001</v>
      </c>
      <c r="Y31" s="57"/>
      <c r="Z31" s="58">
        <f t="shared" si="1"/>
        <v>194980.56787</v>
      </c>
      <c r="AA31" s="89">
        <v>20</v>
      </c>
      <c r="AB31" s="110" t="s">
        <v>94</v>
      </c>
      <c r="AC31" s="111" t="s">
        <v>94</v>
      </c>
    </row>
    <row r="32" spans="2:29" ht="63" customHeight="1" x14ac:dyDescent="0.3">
      <c r="B32" s="16" t="s">
        <v>59</v>
      </c>
      <c r="C32" s="107" t="s">
        <v>61</v>
      </c>
      <c r="D32" s="12" t="s">
        <v>17</v>
      </c>
      <c r="E32" s="14" t="s">
        <v>18</v>
      </c>
      <c r="F32" s="15" t="s">
        <v>62</v>
      </c>
      <c r="G32" s="16" t="s">
        <v>62</v>
      </c>
      <c r="H32" s="16" t="s">
        <v>80</v>
      </c>
      <c r="I32" s="17" t="s">
        <v>88</v>
      </c>
      <c r="J32" s="21">
        <f t="shared" si="6"/>
        <v>500000</v>
      </c>
      <c r="K32" s="19" t="s">
        <v>20</v>
      </c>
      <c r="L32" s="20">
        <v>0.2</v>
      </c>
      <c r="M32" s="83">
        <v>100000</v>
      </c>
      <c r="N32" s="52" t="s">
        <v>39</v>
      </c>
      <c r="O32" s="91">
        <v>525525</v>
      </c>
      <c r="P32" s="61">
        <v>19739</v>
      </c>
      <c r="Q32" s="53">
        <v>214066</v>
      </c>
      <c r="R32" s="100" t="s">
        <v>39</v>
      </c>
      <c r="S32" s="92"/>
      <c r="T32" s="54" t="s">
        <v>39</v>
      </c>
      <c r="U32" s="55">
        <v>100000</v>
      </c>
      <c r="V32" s="56">
        <v>3562.5695000000001</v>
      </c>
      <c r="W32" s="56">
        <v>0</v>
      </c>
      <c r="X32" s="56">
        <v>0</v>
      </c>
      <c r="Y32" s="57"/>
      <c r="Z32" s="58">
        <f t="shared" si="1"/>
        <v>103562.5695</v>
      </c>
      <c r="AA32" s="89">
        <v>20</v>
      </c>
      <c r="AB32" s="110" t="s">
        <v>94</v>
      </c>
      <c r="AC32" s="111" t="s">
        <v>94</v>
      </c>
    </row>
    <row r="33" spans="2:29" ht="63" customHeight="1" x14ac:dyDescent="0.3">
      <c r="B33" s="16" t="s">
        <v>59</v>
      </c>
      <c r="C33" s="107" t="s">
        <v>61</v>
      </c>
      <c r="D33" s="12" t="s">
        <v>17</v>
      </c>
      <c r="E33" s="14" t="s">
        <v>18</v>
      </c>
      <c r="F33" s="15" t="s">
        <v>63</v>
      </c>
      <c r="G33" s="16" t="s">
        <v>72</v>
      </c>
      <c r="H33" s="16" t="s">
        <v>80</v>
      </c>
      <c r="I33" s="17" t="s">
        <v>88</v>
      </c>
      <c r="J33" s="21">
        <f t="shared" si="6"/>
        <v>416666.66666666669</v>
      </c>
      <c r="K33" s="19" t="s">
        <v>20</v>
      </c>
      <c r="L33" s="20">
        <v>0.24</v>
      </c>
      <c r="M33" s="83">
        <v>100000</v>
      </c>
      <c r="N33" s="52" t="s">
        <v>39</v>
      </c>
      <c r="O33" s="91">
        <v>458034</v>
      </c>
      <c r="P33" s="61">
        <v>3870</v>
      </c>
      <c r="Q33" s="53">
        <v>205362</v>
      </c>
      <c r="R33" s="100" t="s">
        <v>39</v>
      </c>
      <c r="S33" s="92"/>
      <c r="T33" s="54" t="s">
        <v>39</v>
      </c>
      <c r="U33" s="55">
        <v>100000</v>
      </c>
      <c r="V33" s="56">
        <v>2950.27</v>
      </c>
      <c r="W33" s="56">
        <v>0</v>
      </c>
      <c r="X33" s="56">
        <v>0</v>
      </c>
      <c r="Y33" s="57"/>
      <c r="Z33" s="58">
        <f t="shared" si="1"/>
        <v>102950.27</v>
      </c>
      <c r="AA33" s="89">
        <v>20</v>
      </c>
      <c r="AB33" s="110" t="s">
        <v>94</v>
      </c>
      <c r="AC33" s="111" t="s">
        <v>94</v>
      </c>
    </row>
    <row r="34" spans="2:29" ht="87" customHeight="1" x14ac:dyDescent="0.3">
      <c r="B34" s="16" t="s">
        <v>59</v>
      </c>
      <c r="C34" s="107" t="s">
        <v>61</v>
      </c>
      <c r="D34" s="12" t="s">
        <v>17</v>
      </c>
      <c r="E34" s="14" t="s">
        <v>18</v>
      </c>
      <c r="F34" s="15" t="s">
        <v>64</v>
      </c>
      <c r="G34" s="16" t="s">
        <v>73</v>
      </c>
      <c r="H34" s="16" t="s">
        <v>80</v>
      </c>
      <c r="I34" s="17" t="s">
        <v>88</v>
      </c>
      <c r="J34" s="21">
        <f t="shared" si="6"/>
        <v>333333.33333333337</v>
      </c>
      <c r="K34" s="19" t="s">
        <v>20</v>
      </c>
      <c r="L34" s="20">
        <v>0.3</v>
      </c>
      <c r="M34" s="83">
        <v>100000</v>
      </c>
      <c r="N34" s="52" t="s">
        <v>39</v>
      </c>
      <c r="O34" s="91">
        <v>344719</v>
      </c>
      <c r="P34" s="61">
        <v>7161</v>
      </c>
      <c r="Q34" s="53">
        <v>203483</v>
      </c>
      <c r="R34" s="100" t="s">
        <v>39</v>
      </c>
      <c r="S34" s="92"/>
      <c r="T34" s="54" t="s">
        <v>39</v>
      </c>
      <c r="U34" s="55">
        <v>100000</v>
      </c>
      <c r="V34" s="56">
        <v>2475.66</v>
      </c>
      <c r="W34" s="56">
        <v>0</v>
      </c>
      <c r="X34" s="56">
        <v>0</v>
      </c>
      <c r="Y34" s="57"/>
      <c r="Z34" s="58">
        <f t="shared" si="1"/>
        <v>102475.66</v>
      </c>
      <c r="AA34" s="89">
        <v>20</v>
      </c>
      <c r="AB34" s="110" t="s">
        <v>94</v>
      </c>
      <c r="AC34" s="111" t="s">
        <v>94</v>
      </c>
    </row>
    <row r="35" spans="2:29" ht="73.8" customHeight="1" x14ac:dyDescent="0.3">
      <c r="B35" s="16" t="s">
        <v>59</v>
      </c>
      <c r="C35" s="107" t="s">
        <v>61</v>
      </c>
      <c r="D35" s="12" t="s">
        <v>17</v>
      </c>
      <c r="E35" s="14" t="s">
        <v>18</v>
      </c>
      <c r="F35" s="15" t="s">
        <v>65</v>
      </c>
      <c r="G35" s="16" t="s">
        <v>74</v>
      </c>
      <c r="H35" s="16" t="s">
        <v>80</v>
      </c>
      <c r="I35" s="17" t="s">
        <v>88</v>
      </c>
      <c r="J35" s="21">
        <f t="shared" si="6"/>
        <v>416666.66666666669</v>
      </c>
      <c r="K35" s="19" t="s">
        <v>20</v>
      </c>
      <c r="L35" s="20">
        <v>0.24</v>
      </c>
      <c r="M35" s="83">
        <v>100000</v>
      </c>
      <c r="N35" s="52" t="s">
        <v>39</v>
      </c>
      <c r="O35" s="91">
        <v>466435</v>
      </c>
      <c r="P35" s="61">
        <v>6950</v>
      </c>
      <c r="Q35" s="53">
        <v>212387</v>
      </c>
      <c r="R35" s="100">
        <v>0</v>
      </c>
      <c r="S35" s="92"/>
      <c r="T35" s="54">
        <f>U35/O35</f>
        <v>0.21439214467181922</v>
      </c>
      <c r="U35" s="55">
        <v>100000</v>
      </c>
      <c r="V35" s="56">
        <v>3000.33</v>
      </c>
      <c r="W35" s="56">
        <v>0</v>
      </c>
      <c r="X35" s="56">
        <v>0</v>
      </c>
      <c r="Y35" s="57"/>
      <c r="Z35" s="58">
        <f t="shared" si="1"/>
        <v>103000.33</v>
      </c>
      <c r="AA35" s="89">
        <v>20</v>
      </c>
      <c r="AB35" s="110" t="s">
        <v>94</v>
      </c>
      <c r="AC35" s="111" t="s">
        <v>94</v>
      </c>
    </row>
    <row r="36" spans="2:29" ht="63" customHeight="1" x14ac:dyDescent="0.3">
      <c r="B36" s="16" t="s">
        <v>59</v>
      </c>
      <c r="C36" s="107" t="s">
        <v>61</v>
      </c>
      <c r="D36" s="12" t="s">
        <v>17</v>
      </c>
      <c r="E36" s="14" t="s">
        <v>18</v>
      </c>
      <c r="F36" s="15" t="s">
        <v>66</v>
      </c>
      <c r="G36" s="16" t="s">
        <v>75</v>
      </c>
      <c r="H36" s="16" t="s">
        <v>80</v>
      </c>
      <c r="I36" s="17" t="s">
        <v>88</v>
      </c>
      <c r="J36" s="21">
        <f t="shared" ref="J36:J39" si="7">M36/L36</f>
        <v>250000</v>
      </c>
      <c r="K36" s="19" t="s">
        <v>20</v>
      </c>
      <c r="L36" s="20">
        <v>0.4</v>
      </c>
      <c r="M36" s="83">
        <v>100000</v>
      </c>
      <c r="N36" s="52" t="s">
        <v>39</v>
      </c>
      <c r="O36" s="101">
        <v>266918</v>
      </c>
      <c r="P36" s="61">
        <v>7826</v>
      </c>
      <c r="Q36" s="53">
        <v>127199</v>
      </c>
      <c r="R36" s="100" t="s">
        <v>39</v>
      </c>
      <c r="S36" s="92"/>
      <c r="T36" s="54">
        <f t="shared" ref="T36:T39" si="8">U36/O36</f>
        <v>0.37464689530117862</v>
      </c>
      <c r="U36" s="55">
        <v>100000</v>
      </c>
      <c r="V36" s="56">
        <v>2259.27</v>
      </c>
      <c r="W36" s="56">
        <v>0</v>
      </c>
      <c r="X36" s="56">
        <v>0</v>
      </c>
      <c r="Y36" s="57"/>
      <c r="Z36" s="58">
        <f t="shared" si="1"/>
        <v>102259.27</v>
      </c>
      <c r="AA36" s="89">
        <v>20</v>
      </c>
      <c r="AB36" s="110" t="s">
        <v>94</v>
      </c>
      <c r="AC36" s="111" t="s">
        <v>94</v>
      </c>
    </row>
    <row r="37" spans="2:29" ht="63" customHeight="1" x14ac:dyDescent="0.3">
      <c r="B37" s="16" t="s">
        <v>59</v>
      </c>
      <c r="C37" s="107" t="s">
        <v>61</v>
      </c>
      <c r="D37" s="12" t="s">
        <v>17</v>
      </c>
      <c r="E37" s="14" t="s">
        <v>18</v>
      </c>
      <c r="F37" s="15" t="s">
        <v>66</v>
      </c>
      <c r="G37" s="16" t="s">
        <v>76</v>
      </c>
      <c r="H37" s="16" t="s">
        <v>25</v>
      </c>
      <c r="I37" s="17" t="s">
        <v>88</v>
      </c>
      <c r="J37" s="21">
        <f t="shared" si="7"/>
        <v>250000</v>
      </c>
      <c r="K37" s="19" t="s">
        <v>20</v>
      </c>
      <c r="L37" s="20">
        <v>0.4</v>
      </c>
      <c r="M37" s="83">
        <v>100000</v>
      </c>
      <c r="N37" s="52" t="s">
        <v>39</v>
      </c>
      <c r="O37" s="101">
        <v>251296</v>
      </c>
      <c r="P37" s="93">
        <v>3057</v>
      </c>
      <c r="Q37" s="53">
        <v>104267</v>
      </c>
      <c r="R37" s="100" t="s">
        <v>39</v>
      </c>
      <c r="S37" s="92"/>
      <c r="T37" s="54">
        <f t="shared" si="8"/>
        <v>0.397937094104164</v>
      </c>
      <c r="U37" s="55">
        <v>100000</v>
      </c>
      <c r="V37" s="56">
        <v>2125</v>
      </c>
      <c r="W37" s="56">
        <v>0</v>
      </c>
      <c r="X37" s="56">
        <v>0</v>
      </c>
      <c r="Y37" s="57"/>
      <c r="Z37" s="58">
        <f t="shared" si="1"/>
        <v>102125</v>
      </c>
      <c r="AA37" s="89">
        <v>20</v>
      </c>
      <c r="AB37" s="110" t="s">
        <v>94</v>
      </c>
      <c r="AC37" s="111" t="s">
        <v>94</v>
      </c>
    </row>
    <row r="38" spans="2:29" ht="63" customHeight="1" x14ac:dyDescent="0.3">
      <c r="B38" s="16" t="s">
        <v>59</v>
      </c>
      <c r="C38" s="107" t="s">
        <v>61</v>
      </c>
      <c r="D38" s="12" t="s">
        <v>17</v>
      </c>
      <c r="E38" s="14" t="s">
        <v>18</v>
      </c>
      <c r="F38" s="15" t="s">
        <v>67</v>
      </c>
      <c r="G38" s="16" t="s">
        <v>48</v>
      </c>
      <c r="H38" s="16" t="s">
        <v>80</v>
      </c>
      <c r="I38" s="17" t="s">
        <v>88</v>
      </c>
      <c r="J38" s="21">
        <f t="shared" si="7"/>
        <v>270270.2702702703</v>
      </c>
      <c r="K38" s="19" t="s">
        <v>20</v>
      </c>
      <c r="L38" s="20">
        <v>0.37</v>
      </c>
      <c r="M38" s="83">
        <v>100000</v>
      </c>
      <c r="N38" s="52" t="s">
        <v>39</v>
      </c>
      <c r="O38" s="101">
        <v>322041</v>
      </c>
      <c r="P38" s="93">
        <v>2664</v>
      </c>
      <c r="Q38" s="53">
        <v>184105</v>
      </c>
      <c r="R38" s="100" t="s">
        <v>39</v>
      </c>
      <c r="S38" s="92"/>
      <c r="T38" s="54">
        <f t="shared" si="8"/>
        <v>0.31051946801804742</v>
      </c>
      <c r="U38" s="55">
        <v>100000</v>
      </c>
      <c r="V38" s="56">
        <v>2357.1799999999998</v>
      </c>
      <c r="W38" s="56">
        <v>0</v>
      </c>
      <c r="X38" s="56">
        <v>0</v>
      </c>
      <c r="Y38" s="57"/>
      <c r="Z38" s="58">
        <f t="shared" si="1"/>
        <v>102357.18</v>
      </c>
      <c r="AA38" s="89">
        <v>20</v>
      </c>
      <c r="AB38" s="110" t="s">
        <v>94</v>
      </c>
      <c r="AC38" s="111" t="s">
        <v>94</v>
      </c>
    </row>
    <row r="39" spans="2:29" ht="87" customHeight="1" thickBot="1" x14ac:dyDescent="0.35">
      <c r="B39" s="16" t="s">
        <v>59</v>
      </c>
      <c r="C39" s="107" t="s">
        <v>61</v>
      </c>
      <c r="D39" s="35" t="s">
        <v>17</v>
      </c>
      <c r="E39" s="37" t="s">
        <v>18</v>
      </c>
      <c r="F39" s="38" t="s">
        <v>67</v>
      </c>
      <c r="G39" s="39" t="s">
        <v>77</v>
      </c>
      <c r="H39" s="39" t="s">
        <v>81</v>
      </c>
      <c r="I39" s="40" t="s">
        <v>89</v>
      </c>
      <c r="J39" s="41">
        <f t="shared" si="7"/>
        <v>100000</v>
      </c>
      <c r="K39" s="42" t="s">
        <v>20</v>
      </c>
      <c r="L39" s="43">
        <v>1.2</v>
      </c>
      <c r="M39" s="96">
        <v>120000</v>
      </c>
      <c r="N39" s="75" t="s">
        <v>39</v>
      </c>
      <c r="O39" s="102">
        <v>101806</v>
      </c>
      <c r="P39" s="103">
        <v>1410</v>
      </c>
      <c r="Q39" s="77">
        <v>40223</v>
      </c>
      <c r="R39" s="104" t="s">
        <v>39</v>
      </c>
      <c r="S39" s="98"/>
      <c r="T39" s="54">
        <f t="shared" si="8"/>
        <v>1.178712453097067</v>
      </c>
      <c r="U39" s="80">
        <v>120000</v>
      </c>
      <c r="V39" s="81">
        <v>1820.28</v>
      </c>
      <c r="W39" s="56">
        <v>0</v>
      </c>
      <c r="X39" s="56">
        <v>0</v>
      </c>
      <c r="Y39" s="57"/>
      <c r="Z39" s="58">
        <f t="shared" si="1"/>
        <v>121820.28</v>
      </c>
      <c r="AA39" s="99">
        <v>20</v>
      </c>
      <c r="AB39" s="118" t="s">
        <v>94</v>
      </c>
      <c r="AC39" s="119" t="s">
        <v>94</v>
      </c>
    </row>
    <row r="40" spans="2:29" ht="31.8" x14ac:dyDescent="1.1000000000000001">
      <c r="J40" s="88">
        <f>SUM(J18:J39)-(J41+J25)</f>
        <v>21974899.436936937</v>
      </c>
      <c r="N40" s="48">
        <f>SUM(N31:N39)</f>
        <v>3067304</v>
      </c>
      <c r="O40" s="45">
        <f>SUM(O31:O39)</f>
        <v>5793554</v>
      </c>
      <c r="P40" s="46">
        <f>SUM(P31:P39)</f>
        <v>56720</v>
      </c>
      <c r="Q40" s="47">
        <f>SUM(Q32:Q39)</f>
        <v>1291092</v>
      </c>
      <c r="R40" s="48"/>
      <c r="S40" s="48"/>
      <c r="T40" s="49">
        <f t="shared" ref="T40" si="9">U40/O40</f>
        <v>0.68577388078026025</v>
      </c>
      <c r="U40" s="49">
        <f>SUM(U18:U39)</f>
        <v>3973068.01009</v>
      </c>
      <c r="V40" s="50">
        <f>SUM(V18:V39)</f>
        <v>20550.559499999999</v>
      </c>
      <c r="W40" s="50">
        <f>SUM(W18:W39)</f>
        <v>9380</v>
      </c>
      <c r="X40" s="49">
        <f>SUM(X18:X39)</f>
        <v>315306.80100900005</v>
      </c>
      <c r="Y40" s="49">
        <f>SUM(Y18:Y39)</f>
        <v>25306.57</v>
      </c>
      <c r="Z40" s="49">
        <f>SUM(Z18:Z39)</f>
        <v>4343611.940599001</v>
      </c>
    </row>
    <row r="41" spans="2:29" ht="31.8" x14ac:dyDescent="0.3">
      <c r="J41" s="87">
        <f>J29+J28+J21+J18</f>
        <v>29565217.391304351</v>
      </c>
    </row>
    <row r="42" spans="2:29" ht="15" thickBot="1" x14ac:dyDescent="0.35"/>
    <row r="43" spans="2:29" ht="32.4" thickBot="1" x14ac:dyDescent="0.75">
      <c r="B43" s="34" t="s">
        <v>27</v>
      </c>
      <c r="C43"/>
      <c r="D43" s="67"/>
      <c r="E43" s="67"/>
      <c r="F43" s="67"/>
      <c r="G43" s="67"/>
      <c r="H43" s="67"/>
      <c r="I43" s="68"/>
      <c r="J43" s="69"/>
      <c r="K43" s="70"/>
      <c r="L43" s="67"/>
      <c r="M43" s="68"/>
      <c r="N43" s="67"/>
      <c r="O43" s="67"/>
      <c r="P43" s="71"/>
      <c r="Q43" s="67"/>
      <c r="R43" s="67"/>
      <c r="S43" s="67"/>
      <c r="T43" s="67"/>
      <c r="U43" s="72"/>
      <c r="V43" s="72"/>
      <c r="W43" s="72"/>
      <c r="X43" s="72"/>
      <c r="Y43" s="72"/>
      <c r="Z43" s="72"/>
      <c r="AA43" s="72"/>
      <c r="AB43" s="72"/>
      <c r="AC43" s="72"/>
    </row>
    <row r="44" spans="2:29" ht="52.2" customHeight="1" x14ac:dyDescent="0.3">
      <c r="B44" s="73" t="s">
        <v>0</v>
      </c>
      <c r="C44" s="74" t="s">
        <v>5</v>
      </c>
      <c r="D44" s="74" t="s">
        <v>6</v>
      </c>
      <c r="E44" s="74" t="s">
        <v>7</v>
      </c>
      <c r="F44" s="74" t="s">
        <v>8</v>
      </c>
      <c r="G44" s="74" t="s">
        <v>1</v>
      </c>
      <c r="H44" s="74" t="s">
        <v>9</v>
      </c>
      <c r="I44" s="74" t="s">
        <v>2</v>
      </c>
      <c r="J44" s="74" t="s">
        <v>10</v>
      </c>
      <c r="K44" s="74" t="s">
        <v>11</v>
      </c>
      <c r="L44" s="74" t="s">
        <v>12</v>
      </c>
      <c r="M44" s="74" t="s">
        <v>13</v>
      </c>
      <c r="N44" s="74" t="s">
        <v>32</v>
      </c>
      <c r="O44" s="74" t="s">
        <v>33</v>
      </c>
      <c r="P44" s="74" t="s">
        <v>34</v>
      </c>
      <c r="Q44" s="74" t="s">
        <v>99</v>
      </c>
      <c r="R44" s="74" t="s">
        <v>35</v>
      </c>
      <c r="S44" s="74" t="s">
        <v>56</v>
      </c>
      <c r="T44" s="74" t="s">
        <v>100</v>
      </c>
      <c r="U44" s="74" t="s">
        <v>37</v>
      </c>
      <c r="V44" s="94" t="s">
        <v>38</v>
      </c>
      <c r="W44" s="94" t="s">
        <v>55</v>
      </c>
      <c r="X44" s="94" t="s">
        <v>3</v>
      </c>
      <c r="Y44" s="94" t="s">
        <v>54</v>
      </c>
      <c r="Z44" s="74" t="s">
        <v>14</v>
      </c>
      <c r="AA44" s="74" t="s">
        <v>15</v>
      </c>
      <c r="AB44" s="116" t="s">
        <v>16</v>
      </c>
      <c r="AC44" s="117"/>
    </row>
    <row r="45" spans="2:29" ht="73.2" customHeight="1" x14ac:dyDescent="0.3">
      <c r="B45" s="12" t="s">
        <v>59</v>
      </c>
      <c r="C45" s="13" t="s">
        <v>61</v>
      </c>
      <c r="D45" s="14" t="s">
        <v>17</v>
      </c>
      <c r="E45" s="14" t="s">
        <v>27</v>
      </c>
      <c r="F45" s="15" t="s">
        <v>45</v>
      </c>
      <c r="G45" s="16" t="s">
        <v>53</v>
      </c>
      <c r="H45" s="16" t="s">
        <v>23</v>
      </c>
      <c r="I45" s="17" t="s">
        <v>91</v>
      </c>
      <c r="J45" s="90">
        <f>M45/L45</f>
        <v>71428.571428571435</v>
      </c>
      <c r="K45" s="19" t="s">
        <v>20</v>
      </c>
      <c r="L45" s="20">
        <v>3.5</v>
      </c>
      <c r="M45" s="83">
        <v>250000</v>
      </c>
      <c r="N45" s="52">
        <v>1816962</v>
      </c>
      <c r="O45" s="91">
        <v>24960</v>
      </c>
      <c r="P45" s="61">
        <v>52898</v>
      </c>
      <c r="Q45" s="109">
        <v>45749</v>
      </c>
      <c r="R45" s="100">
        <f t="shared" ref="R45" si="10">U45/N45*1000</f>
        <v>34.540364630630691</v>
      </c>
      <c r="S45" s="108" t="s">
        <v>111</v>
      </c>
      <c r="T45" s="54">
        <f>U45/P45</f>
        <v>1.1864064803962342</v>
      </c>
      <c r="U45" s="55">
        <v>62758.53</v>
      </c>
      <c r="V45" s="56">
        <v>0</v>
      </c>
      <c r="W45" s="56">
        <v>0</v>
      </c>
      <c r="X45" s="57">
        <f>U45*0.1</f>
        <v>6275.8530000000001</v>
      </c>
      <c r="Y45" s="57">
        <v>0</v>
      </c>
      <c r="Z45" s="58">
        <f>U45+V45+W45+X45+Y45</f>
        <v>69034.383000000002</v>
      </c>
      <c r="AA45" s="89">
        <v>20</v>
      </c>
      <c r="AB45" s="110" t="s">
        <v>94</v>
      </c>
      <c r="AC45" s="111"/>
    </row>
    <row r="46" spans="2:29" ht="87" customHeight="1" x14ac:dyDescent="0.3">
      <c r="B46" s="12" t="s">
        <v>59</v>
      </c>
      <c r="C46" s="13" t="s">
        <v>61</v>
      </c>
      <c r="D46" s="14" t="s">
        <v>17</v>
      </c>
      <c r="E46" s="14" t="s">
        <v>27</v>
      </c>
      <c r="F46" s="15" t="s">
        <v>45</v>
      </c>
      <c r="G46" s="16" t="s">
        <v>53</v>
      </c>
      <c r="H46" s="16" t="s">
        <v>23</v>
      </c>
      <c r="I46" s="17" t="s">
        <v>92</v>
      </c>
      <c r="J46" s="18">
        <f t="shared" ref="J46" si="11">M46/L46*1000</f>
        <v>3076923.076923077</v>
      </c>
      <c r="K46" s="19" t="s">
        <v>20</v>
      </c>
      <c r="L46" s="20">
        <v>65</v>
      </c>
      <c r="M46" s="83">
        <v>200000</v>
      </c>
      <c r="N46" s="52"/>
      <c r="O46" s="91"/>
      <c r="P46" s="93"/>
      <c r="Q46" s="53"/>
      <c r="R46" s="100"/>
      <c r="S46" s="108" t="s">
        <v>39</v>
      </c>
      <c r="T46" s="54" t="s">
        <v>39</v>
      </c>
      <c r="U46" s="55">
        <f>N46*L46</f>
        <v>0</v>
      </c>
      <c r="V46" s="56">
        <v>0</v>
      </c>
      <c r="W46" s="56">
        <v>0</v>
      </c>
      <c r="X46" s="57">
        <v>0</v>
      </c>
      <c r="Y46" s="57">
        <v>0</v>
      </c>
      <c r="Z46" s="58">
        <f t="shared" ref="Z46:Z49" si="12">U46+V46+W46+X46+Y46</f>
        <v>0</v>
      </c>
      <c r="AA46" s="89">
        <v>18</v>
      </c>
      <c r="AB46" s="110" t="s">
        <v>98</v>
      </c>
      <c r="AC46" s="111"/>
    </row>
    <row r="47" spans="2:29" ht="73.8" customHeight="1" x14ac:dyDescent="0.3">
      <c r="B47" s="12" t="s">
        <v>59</v>
      </c>
      <c r="C47" s="13" t="s">
        <v>61</v>
      </c>
      <c r="D47" s="14" t="s">
        <v>17</v>
      </c>
      <c r="E47" s="14" t="s">
        <v>27</v>
      </c>
      <c r="F47" s="15" t="s">
        <v>47</v>
      </c>
      <c r="G47" s="16" t="s">
        <v>47</v>
      </c>
      <c r="H47" s="16" t="s">
        <v>23</v>
      </c>
      <c r="I47" s="17" t="s">
        <v>91</v>
      </c>
      <c r="J47" s="85">
        <f>M47/L47</f>
        <v>50000</v>
      </c>
      <c r="K47" s="19" t="s">
        <v>20</v>
      </c>
      <c r="L47" s="20">
        <v>3</v>
      </c>
      <c r="M47" s="83">
        <v>150000</v>
      </c>
      <c r="N47" s="52">
        <v>17523588</v>
      </c>
      <c r="O47" s="91">
        <v>3793498</v>
      </c>
      <c r="P47" s="61">
        <v>107668</v>
      </c>
      <c r="Q47" s="109">
        <v>45247</v>
      </c>
      <c r="R47" s="100">
        <f>U47/N47*1000</f>
        <v>9.0371458173976702</v>
      </c>
      <c r="S47" s="108" t="s">
        <v>105</v>
      </c>
      <c r="T47" s="54">
        <f>U47/P47</f>
        <v>1.4708476056024073</v>
      </c>
      <c r="U47" s="55">
        <v>158363.22</v>
      </c>
      <c r="V47" s="56">
        <f t="shared" ref="V47:V49" si="13">N47*1.8/1000</f>
        <v>31542.458400000003</v>
      </c>
      <c r="W47" s="56">
        <v>0</v>
      </c>
      <c r="X47" s="57">
        <f>U47*0.1</f>
        <v>15836.322</v>
      </c>
      <c r="Y47" s="57">
        <v>0</v>
      </c>
      <c r="Z47" s="58">
        <f t="shared" si="12"/>
        <v>205742.00040000002</v>
      </c>
      <c r="AA47" s="89">
        <v>20</v>
      </c>
      <c r="AB47" s="110" t="s">
        <v>94</v>
      </c>
      <c r="AC47" s="111"/>
    </row>
    <row r="48" spans="2:29" ht="63" customHeight="1" x14ac:dyDescent="0.3">
      <c r="B48" s="12" t="s">
        <v>59</v>
      </c>
      <c r="C48" s="13" t="s">
        <v>61</v>
      </c>
      <c r="D48" s="14" t="s">
        <v>17</v>
      </c>
      <c r="E48" s="14" t="s">
        <v>27</v>
      </c>
      <c r="F48" s="15" t="s">
        <v>22</v>
      </c>
      <c r="G48" s="16" t="s">
        <v>22</v>
      </c>
      <c r="H48" s="16" t="s">
        <v>23</v>
      </c>
      <c r="I48" s="17" t="s">
        <v>91</v>
      </c>
      <c r="J48" s="85">
        <f>M48/L48</f>
        <v>50000</v>
      </c>
      <c r="K48" s="19" t="s">
        <v>20</v>
      </c>
      <c r="L48" s="20">
        <v>3</v>
      </c>
      <c r="M48" s="83">
        <v>150000</v>
      </c>
      <c r="N48" s="52">
        <v>5051583</v>
      </c>
      <c r="O48" s="91">
        <v>2595592</v>
      </c>
      <c r="P48" s="61">
        <v>770500</v>
      </c>
      <c r="Q48" s="109">
        <v>879831</v>
      </c>
      <c r="R48" s="100">
        <f>U48/N48*1000</f>
        <v>24.364713001845164</v>
      </c>
      <c r="S48" s="108" t="s">
        <v>110</v>
      </c>
      <c r="T48" s="54">
        <f>U48/P48</f>
        <v>0.15974090850097339</v>
      </c>
      <c r="U48" s="55">
        <v>123080.37</v>
      </c>
      <c r="V48" s="56">
        <f t="shared" si="13"/>
        <v>9092.849400000001</v>
      </c>
      <c r="W48" s="56">
        <v>0</v>
      </c>
      <c r="X48" s="57">
        <f>U48*0.1</f>
        <v>12308.037</v>
      </c>
      <c r="Y48" s="57">
        <v>0</v>
      </c>
      <c r="Z48" s="58">
        <f t="shared" si="12"/>
        <v>144481.25640000001</v>
      </c>
      <c r="AA48" s="89">
        <v>20</v>
      </c>
      <c r="AB48" s="110" t="s">
        <v>94</v>
      </c>
      <c r="AC48" s="111"/>
    </row>
    <row r="49" spans="2:29" ht="63" customHeight="1" thickBot="1" x14ac:dyDescent="0.35">
      <c r="B49" s="35" t="s">
        <v>59</v>
      </c>
      <c r="C49" s="36" t="s">
        <v>61</v>
      </c>
      <c r="D49" s="37" t="s">
        <v>17</v>
      </c>
      <c r="E49" s="37" t="s">
        <v>27</v>
      </c>
      <c r="F49" s="38" t="s">
        <v>71</v>
      </c>
      <c r="G49" s="39" t="s">
        <v>90</v>
      </c>
      <c r="H49" s="39" t="s">
        <v>23</v>
      </c>
      <c r="I49" s="40" t="s">
        <v>93</v>
      </c>
      <c r="J49" s="95">
        <f>M49/L49</f>
        <v>12500</v>
      </c>
      <c r="K49" s="42" t="s">
        <v>20</v>
      </c>
      <c r="L49" s="43">
        <v>4</v>
      </c>
      <c r="M49" s="96">
        <v>50000</v>
      </c>
      <c r="N49" s="75">
        <v>169417</v>
      </c>
      <c r="O49" s="97">
        <v>0</v>
      </c>
      <c r="P49" s="76">
        <v>3726</v>
      </c>
      <c r="Q49" s="77"/>
      <c r="R49" s="78"/>
      <c r="S49" s="98" t="s">
        <v>39</v>
      </c>
      <c r="T49" s="79">
        <f>U49/P49</f>
        <v>9.1212963115942038</v>
      </c>
      <c r="U49" s="55">
        <v>33985.950057000002</v>
      </c>
      <c r="V49" s="81">
        <f t="shared" si="13"/>
        <v>304.95060000000001</v>
      </c>
      <c r="W49" s="56">
        <v>0</v>
      </c>
      <c r="X49" s="57">
        <f>U49*0.1</f>
        <v>3398.5950057000005</v>
      </c>
      <c r="Y49" s="57">
        <v>0</v>
      </c>
      <c r="Z49" s="58">
        <f>U49+V49+W49+X49+Y49</f>
        <v>37689.495662699999</v>
      </c>
      <c r="AA49" s="99">
        <v>20</v>
      </c>
      <c r="AB49" s="118" t="s">
        <v>94</v>
      </c>
      <c r="AC49" s="119"/>
    </row>
    <row r="50" spans="2:29" ht="31.8" x14ac:dyDescent="1.1000000000000001">
      <c r="B50" s="72"/>
      <c r="C50" s="72"/>
      <c r="D50" s="72"/>
      <c r="E50" s="72"/>
      <c r="F50" s="72"/>
      <c r="G50" s="72"/>
      <c r="H50" s="72"/>
      <c r="I50" s="72"/>
      <c r="J50" s="88">
        <f>J45</f>
        <v>71428.571428571435</v>
      </c>
      <c r="K50" s="72"/>
      <c r="L50" s="72"/>
      <c r="M50" s="86">
        <f>SUM(M45:M49)</f>
        <v>800000</v>
      </c>
      <c r="N50" s="44">
        <f>SUM(N45:N49)</f>
        <v>24561550</v>
      </c>
      <c r="O50" s="51">
        <f>SUM(O45:O49)</f>
        <v>6414050</v>
      </c>
      <c r="P50" s="46">
        <f>SUM(P45:P49)</f>
        <v>934792</v>
      </c>
      <c r="Q50" s="47" t="e">
        <f>SUM(#REF!)</f>
        <v>#REF!</v>
      </c>
      <c r="R50" s="48"/>
      <c r="S50" s="48"/>
      <c r="T50" s="48"/>
      <c r="U50" s="49">
        <f>SUM(U45:U49)</f>
        <v>378188.07005699998</v>
      </c>
      <c r="V50" s="49">
        <f>SUM(V45:V49)</f>
        <v>40940.258399999999</v>
      </c>
      <c r="W50" s="50">
        <f>SUM(W45:W49)</f>
        <v>0</v>
      </c>
      <c r="X50" s="50">
        <f>SUM(X45:X49)</f>
        <v>37818.8070057</v>
      </c>
      <c r="Y50" s="49">
        <f>SUM(Y45:Y49)</f>
        <v>0</v>
      </c>
      <c r="Z50" s="49">
        <f>SUM(Z45:Z49)</f>
        <v>456947.13546270004</v>
      </c>
      <c r="AA50" s="72"/>
      <c r="AB50" s="72"/>
      <c r="AC50" s="72"/>
    </row>
    <row r="51" spans="2:29" ht="31.8" x14ac:dyDescent="0.3">
      <c r="J51" s="88">
        <f>J46</f>
        <v>3076923.076923077</v>
      </c>
    </row>
    <row r="52" spans="2:29" ht="31.8" x14ac:dyDescent="0.3">
      <c r="J52" s="88">
        <f>J47+J48+J49</f>
        <v>112500</v>
      </c>
    </row>
    <row r="53" spans="2:29" ht="31.8" x14ac:dyDescent="0.3">
      <c r="J53" s="88"/>
    </row>
    <row r="54" spans="2:29" ht="31.8" x14ac:dyDescent="0.3">
      <c r="J54" s="88"/>
    </row>
  </sheetData>
  <mergeCells count="29">
    <mergeCell ref="AB45:AC45"/>
    <mergeCell ref="AB46:AC46"/>
    <mergeCell ref="AB47:AC47"/>
    <mergeCell ref="AB48:AC48"/>
    <mergeCell ref="AB49:AC49"/>
    <mergeCell ref="AB44:AC44"/>
    <mergeCell ref="AB18:AC18"/>
    <mergeCell ref="AB39:AC39"/>
    <mergeCell ref="AB29:AC29"/>
    <mergeCell ref="AB35:AC35"/>
    <mergeCell ref="AB36:AC36"/>
    <mergeCell ref="AB37:AC37"/>
    <mergeCell ref="AB38:AC38"/>
    <mergeCell ref="AB19:AC19"/>
    <mergeCell ref="AB20:AC20"/>
    <mergeCell ref="AB21:AC21"/>
    <mergeCell ref="AB22:AC22"/>
    <mergeCell ref="AB23:AC23"/>
    <mergeCell ref="AB28:AC28"/>
    <mergeCell ref="AB30:AC30"/>
    <mergeCell ref="AB31:AC31"/>
    <mergeCell ref="AB32:AC32"/>
    <mergeCell ref="AB33:AC33"/>
    <mergeCell ref="AB34:AC34"/>
    <mergeCell ref="AB17:AC17"/>
    <mergeCell ref="AB24:AC24"/>
    <mergeCell ref="AB25:AC25"/>
    <mergeCell ref="AB26:AC26"/>
    <mergeCell ref="AB27:AC27"/>
  </mergeCells>
  <hyperlinks>
    <hyperlink ref="H18" location="Sheet1!A1" display="Sheet1!A1" xr:uid="{BCC18684-92CF-4552-A861-B5669E8788B2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7BD42-7D12-48E3-95E5-E426EDEF1E88}">
  <dimension ref="F4"/>
  <sheetViews>
    <sheetView workbookViewId="0">
      <selection activeCell="F4" sqref="F4"/>
    </sheetView>
  </sheetViews>
  <sheetFormatPr defaultRowHeight="14.4" x14ac:dyDescent="0.3"/>
  <sheetData>
    <row r="4" spans="6:6" x14ac:dyDescent="0.3">
      <c r="F4" s="6" t="s">
        <v>4</v>
      </c>
    </row>
  </sheetData>
  <hyperlinks>
    <hyperlink ref="F4" r:id="rId1" xr:uid="{0C65C68E-4A06-4EC9-A7A9-16159AA298AF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DF870DAE60337F41993772A05FAB4A33" ma:contentTypeVersion="6" ma:contentTypeDescription="Yeni belge oluşturun." ma:contentTypeScope="" ma:versionID="b0947839209a60131b092317e5699db0">
  <xsd:schema xmlns:xsd="http://www.w3.org/2001/XMLSchema" xmlns:xs="http://www.w3.org/2001/XMLSchema" xmlns:p="http://schemas.microsoft.com/office/2006/metadata/properties" xmlns:ns2="dd9ce43e-bd35-40d6-94d0-c20bc116f5c3" xmlns:ns3="28b9392a-7e92-4085-841a-542dd996eb2c" targetNamespace="http://schemas.microsoft.com/office/2006/metadata/properties" ma:root="true" ma:fieldsID="fb75cfabf03453499190ef57b8b9a7a8" ns2:_="" ns3:_="">
    <xsd:import namespace="dd9ce43e-bd35-40d6-94d0-c20bc116f5c3"/>
    <xsd:import namespace="28b9392a-7e92-4085-841a-542dd996eb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9ce43e-bd35-40d6-94d0-c20bc116f5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b9392a-7e92-4085-841a-542dd996eb2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59D4C4-7CDE-49DE-BAC8-1013C64C5C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9ce43e-bd35-40d6-94d0-c20bc116f5c3"/>
    <ds:schemaRef ds:uri="28b9392a-7e92-4085-841a-542dd996eb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0B330B-A555-4A43-AB09-16AC881F587F}">
  <ds:schemaRefs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28b9392a-7e92-4085-841a-542dd996eb2c"/>
    <ds:schemaRef ds:uri="dd9ce43e-bd35-40d6-94d0-c20bc116f5c3"/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C227E44-5052-4950-900D-48B2A0E245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Gerçekten Nasıl Yedik</vt:lpstr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Berent Yorulmaz (TIME)</dc:creator>
  <cp:lastModifiedBy>Melis Yilmaz (growity)</cp:lastModifiedBy>
  <dcterms:created xsi:type="dcterms:W3CDTF">2018-12-05T15:00:15Z</dcterms:created>
  <dcterms:modified xsi:type="dcterms:W3CDTF">2024-12-10T09:19:28Z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0x010100DF870DAE60337F41993772A05FAB4A33</vt:lpwstr>
  </property>
</Properties>
</file>