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dia\Digital\2025\Markalar\TLC KLİMA\08_Agustos\Rapor\İndirim Kampanyası\"/>
    </mc:Choice>
  </mc:AlternateContent>
  <xr:revisionPtr revIDLastSave="0" documentId="13_ncr:1_{F175B756-D87F-4D03-BA4C-A4B556AE9339}" xr6:coauthVersionLast="47" xr6:coauthVersionMax="47" xr10:uidLastSave="{00000000-0000-0000-0000-000000000000}"/>
  <bookViews>
    <workbookView xWindow="-96" yWindow="0" windowWidth="11712" windowHeight="12336" tabRatio="822" xr2:uid="{00000000-000D-0000-FFFF-FFFF00000000}"/>
  </bookViews>
  <sheets>
    <sheet name="Dijital Medya Raporu" sheetId="12" r:id="rId1"/>
    <sheet name="Sayfa1" sheetId="10" state="hidden" r:id="rId2"/>
    <sheet name="Tahmini Satın Alma Mart" sheetId="1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2">#REF!</definedName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__ooh2" hidden="1">{#N/A,#N/A,FALSE,"Sheet1 (2)"}</definedName>
    <definedName name="___________________________________________ooh2" hidden="1">{#N/A,#N/A,FALSE,"Sheet1 (2)"}</definedName>
    <definedName name="__________________________________________ooh2" hidden="1">{#N/A,#N/A,FALSE,"Sheet1 (2)"}</definedName>
    <definedName name="_________________________________________ooh2" hidden="1">{#N/A,#N/A,FALSE,"Sheet1 (2)"}</definedName>
    <definedName name="________________________________________ooh2" hidden="1">{#N/A,#N/A,FALSE,"Sheet1 (2)"}</definedName>
    <definedName name="_______________________________________ooh2" hidden="1">{#N/A,#N/A,FALSE,"Sheet1 (2)"}</definedName>
    <definedName name="______________________________________ooh2" hidden="1">{#N/A,#N/A,FALSE,"Sheet1 (2)"}</definedName>
    <definedName name="_____________________________________ooh2" hidden="1">{#N/A,#N/A,FALSE,"Sheet1 (2)"}</definedName>
    <definedName name="____________________________________ooh2" hidden="1">{#N/A,#N/A,FALSE,"Sheet1 (2)"}</definedName>
    <definedName name="___________________________________ooh2" hidden="1">{#N/A,#N/A,FALSE,"Sheet1 (2)"}</definedName>
    <definedName name="__________________________________ooh2" hidden="1">{#N/A,#N/A,FALSE,"Sheet1 (2)"}</definedName>
    <definedName name="_________________________________ooh2" hidden="1">{#N/A,#N/A,FALSE,"Sheet1 (2)"}</definedName>
    <definedName name="________________________________ooh2" hidden="1">{#N/A,#N/A,FALSE,"Sheet1 (2)"}</definedName>
    <definedName name="_______________________________ooh2" hidden="1">{#N/A,#N/A,FALSE,"Sheet1 (2)"}</definedName>
    <definedName name="______________________________ooh2" hidden="1">{#N/A,#N/A,FALSE,"Sheet1 (2)"}</definedName>
    <definedName name="_____________________________ooh2" hidden="1">{#N/A,#N/A,FALSE,"Sheet1 (2)"}</definedName>
    <definedName name="____________________________ooh2" hidden="1">{#N/A,#N/A,FALSE,"Sheet1 (2)"}</definedName>
    <definedName name="___________________________abc1">[0]!___________________________abc1</definedName>
    <definedName name="___________________________ooh2" hidden="1">{#N/A,#N/A,FALSE,"Sheet1 (2)"}</definedName>
    <definedName name="__________________________ooh2" hidden="1">{#N/A,#N/A,FALSE,"Sheet1 (2)"}</definedName>
    <definedName name="_________________________abc1">[0]!_________________________abc1</definedName>
    <definedName name="_________________________ooh2" hidden="1">{#N/A,#N/A,FALSE,"Sheet1 (2)"}</definedName>
    <definedName name="________________________abc1">[0]!________________________abc1</definedName>
    <definedName name="________________________ooh2" hidden="1">{#N/A,#N/A,FALSE,"Sheet1 (2)"}</definedName>
    <definedName name="_______________________abc1">[0]!_______________________abc1</definedName>
    <definedName name="_______________________ooh2" hidden="1">{#N/A,#N/A,FALSE,"Sheet1 (2)"}</definedName>
    <definedName name="______________________ooh2" hidden="1">{#N/A,#N/A,FALSE,"Sheet1 (2)"}</definedName>
    <definedName name="_____________________ooh2" hidden="1">{#N/A,#N/A,FALSE,"Sheet1 (2)"}</definedName>
    <definedName name="____________________ooh2" hidden="1">{#N/A,#N/A,FALSE,"Sheet1 (2)"}</definedName>
    <definedName name="___________________ooh2" hidden="1">{#N/A,#N/A,FALSE,"Sheet1 (2)"}</definedName>
    <definedName name="__________________ooh2" hidden="1">{#N/A,#N/A,FALSE,"Sheet1 (2)"}</definedName>
    <definedName name="_________________ooh2" hidden="1">{#N/A,#N/A,FALSE,"Sheet1 (2)"}</definedName>
    <definedName name="________________ooh2" hidden="1">{#N/A,#N/A,FALSE,"Sheet1 (2)"}</definedName>
    <definedName name="_______________ooh2" hidden="1">{#N/A,#N/A,FALSE,"Sheet1 (2)"}</definedName>
    <definedName name="______________ooh2" hidden="1">{#N/A,#N/A,FALSE,"Sheet1 (2)"}</definedName>
    <definedName name="_____________ooh2" hidden="1">{#N/A,#N/A,FALSE,"Sheet1 (2)"}</definedName>
    <definedName name="____________ooh2" hidden="1">{#N/A,#N/A,FALSE,"Sheet1 (2)"}</definedName>
    <definedName name="___________n" hidden="1">{#N/A,#N/A,FALSE,"Sheet1 (2)"}</definedName>
    <definedName name="___________ooh2" hidden="1">{#N/A,#N/A,FALSE,"Sheet1 (2)"}</definedName>
    <definedName name="__________ooh2" hidden="1">{#N/A,#N/A,FALSE,"Sheet1 (2)"}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ooh2" hidden="1">{#N/A,#N/A,FALSE,"Sheet1 (2)"}</definedName>
    <definedName name="_______der1">#REF!</definedName>
    <definedName name="_______der2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ey2" hidden="1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Z2">#REF!</definedName>
    <definedName name="_______TRT1">#REF!</definedName>
    <definedName name="_______TV8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y2" hidden="1">#REF!</definedName>
    <definedName name="______ooh2" hidden="1">{#N/A,#N/A,FALSE,"Sheet1 (2)"}</definedName>
    <definedName name="_____abc1">[0]!_____abc1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y2" hidden="1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xlfn.BAHTTEXT" hidden="1">#NAME?</definedName>
    <definedName name="____abc1">[0]!____abc1</definedName>
    <definedName name="____der2">#REF!</definedName>
    <definedName name="____KAN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ooh2" hidden="1">{#N/A,#N/A,FALSE,"Sheet1 (2)"}</definedName>
    <definedName name="____per3">#REF!</definedName>
    <definedName name="____piv3">#REF!</definedName>
    <definedName name="____TOZ2">#REF!</definedName>
    <definedName name="____TRT1">#REF!</definedName>
    <definedName name="____TV8">#REF!</definedName>
    <definedName name="____xlfn.BAHTTEXT" hidden="1">#NAME?</definedName>
    <definedName name="___abc1">[0]!___abc1</definedName>
    <definedName name="___der1">#REF!</definedName>
    <definedName name="___der2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N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Z2">#REF!</definedName>
    <definedName name="___TRT1">#REF!</definedName>
    <definedName name="___TV8">#REF!</definedName>
    <definedName name="___xlfn.BAHTTEXT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bc1">[0]!__abc1</definedName>
    <definedName name="__der1">#REF!</definedName>
    <definedName name="__der2">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N7">#REF!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lfn.BAHTTEXT">#NAME?</definedName>
    <definedName name="_1_?l_?t">[3]Ekim!#REF!</definedName>
    <definedName name="_2∏l_Ωt">'[4]Hasar Hattı'!#REF!</definedName>
    <definedName name="_abc1">[0]!_abc1</definedName>
    <definedName name="_der1">#REF!</definedName>
    <definedName name="_der2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'Dijital Medya Raporu'!$B$12:$U$12</definedName>
    <definedName name="_xlnm._FilterDatabase" hidden="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N7">#REF!</definedName>
    <definedName name="_Key1" localSheetId="2" hidden="1">#REF!</definedName>
    <definedName name="_Key1" hidden="1">#REF!</definedName>
    <definedName name="_key11" hidden="1">#REF!</definedName>
    <definedName name="_Key2" localSheetId="2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ME1" localSheetId="2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ort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A">#REF!</definedName>
    <definedName name="A_new">#REF!</definedName>
    <definedName name="aa" localSheetId="2" hidden="1">{#N/A,#N/A,FALSE,"Sheet1 (2)"}</definedName>
    <definedName name="aa" hidden="1">{#N/A,#N/A,FALSE,"Sheet1 (2)"}</definedName>
    <definedName name="aaa">#REF!</definedName>
    <definedName name="aaaa">[0]!aaaa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localSheetId="2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localSheetId="2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aaaaa" hidden="1">{#N/A,#N/A,FALSE,"Sheet1 (2)"}</definedName>
    <definedName name="AAAAAAAAAAAAAAAAAAAAAAAAAAAAA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b" hidden="1">{#N/A,#N/A,FALSE,"Sheet1 (2)"}</definedName>
    <definedName name="abc">[0]!abc</definedName>
    <definedName name="ace" hidden="1">{#N/A,#N/A,FALSE,"Sheet1 (2)"}</definedName>
    <definedName name="acelya" hidden="1">{#N/A,#N/A,FALSE,"Sheet1 (2)"}</definedName>
    <definedName name="acık" localSheetId="2" hidden="1">{#N/A,#N/A,FALSE,"Sheet1 (2)"}</definedName>
    <definedName name="acık" hidden="1">{#N/A,#N/A,FALSE,"Sheet1 (2)"}</definedName>
    <definedName name="Acıkha" hidden="1">#REF!</definedName>
    <definedName name="ACwvu.steve." hidden="1">#REF!</definedName>
    <definedName name="açıkhava" localSheetId="2" hidden="1">{#N/A,#N/A,FALSE,"Sheet1 (2)"}</definedName>
    <definedName name="açıkhava" hidden="1">{#N/A,#N/A,FALSE,"Sheet1 (2)"}</definedName>
    <definedName name="AD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rt">[0]!adert</definedName>
    <definedName name="ADET">#REF!</definedName>
    <definedName name="ADFASDFA" hidden="1">{#N/A,#N/A,FALSE,"Sheet1 (2)"}</definedName>
    <definedName name="ADS" hidden="1">{#N/A,#N/A,FALSE,"Sheet1 (2)"}</definedName>
    <definedName name="ADULTS">#REF!</definedName>
    <definedName name="adv" hidden="1">{#N/A,#N/A,FALSE,"Sheet1 (2)"}</definedName>
    <definedName name="adx">[0]!adx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hmet">[3]Ekim!#REF!</definedName>
    <definedName name="ALEV" hidden="1">{#N/A,#N/A,FALSE,"Sheet1 (2)"}</definedName>
    <definedName name="ali">[0]!ali</definedName>
    <definedName name="ALL">#REF!</definedName>
    <definedName name="alper" hidden="1">{#N/A,#N/A,FALSE,"Sheet1 (2)"}</definedName>
    <definedName name="alperrrr" hidden="1">{#N/A,#N/A,FALSE,"Sheet1 (2)"}</definedName>
    <definedName name="Altın">#REF!</definedName>
    <definedName name="ALVO">#REF!</definedName>
    <definedName name="ananı" hidden="1">{#N/A,#N/A,FALSE,"Sheet1 (2)"}</definedName>
    <definedName name="anıl" hidden="1">{#N/A,#N/A,FALSE,"Sheet1 (2)"}</definedName>
    <definedName name="anil123_3" hidden="1">{#N/A,#N/A,FALSE,"Sheet1 (2)"}</definedName>
    <definedName name="ankara" localSheetId="2" hidden="1">{#N/A,#N/A,FALSE,"Sheet1 (2)"}</definedName>
    <definedName name="ankara" hidden="1">{#N/A,#N/A,FALSE,"Sheet1 (2)"}</definedName>
    <definedName name="aps" hidden="1">#REF!</definedName>
    <definedName name="aqswa" hidden="1">{#N/A,#N/A,FALSE,"Sheet1 (2)"}</definedName>
    <definedName name="Área_impressão_IM">#REF!</definedName>
    <definedName name="arzu" hidden="1">{#N/A,#N/A,FALSE,"Sheet1 (2)"}</definedName>
    <definedName name="As">#REF!</definedName>
    <definedName name="asa" hidden="1">{#N/A,#N/A,FALSE,"Sheet1 (2)"}</definedName>
    <definedName name="asascd" hidden="1">#REF!</definedName>
    <definedName name="asda" localSheetId="2" hidden="1">{#N/A,#N/A,FALSE,"Sheet1 (2)"}</definedName>
    <definedName name="asda" hidden="1">{#N/A,#N/A,FALSE,"Sheet1 (2)"}</definedName>
    <definedName name="asda1" localSheetId="2" hidden="1">{#N/A,#N/A,FALSE,"Sheet1 (2)"}</definedName>
    <definedName name="asda1" hidden="1">{#N/A,#N/A,FALSE,"Sheet1 (2)"}</definedName>
    <definedName name="asdad">#REF!</definedName>
    <definedName name="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sd" hidden="1">#REF!</definedName>
    <definedName name="ASPETTI_COMMERCIALI">#REF!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S">#REF!</definedName>
    <definedName name="ATV">[5]Programlar!$A$2:$B$121</definedName>
    <definedName name="ATVIND">#REF!</definedName>
    <definedName name="ATVVW">#REF!</definedName>
    <definedName name="ay" hidden="1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KSANA">[0]!BAKSANA</definedName>
    <definedName name="basin" hidden="1">{#N/A,#N/A,FALSE,"MALİTABLOLAR"}</definedName>
    <definedName name="BASK_GRAFICO">#REF!</definedName>
    <definedName name="BASK_MODELLO">#REF!</definedName>
    <definedName name="BASK_VERSIONE">#REF!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b">#REF!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thnym" hidden="1">{#N/A,#N/A,FALSE,"Sheet1 (2)"}</definedName>
    <definedName name="BELGİN" hidden="1">{#N/A,#N/A,FALSE,"Sheet1 (2)"}</definedName>
    <definedName name="Best">#REF!</definedName>
    <definedName name="bfhtht" hidden="1">{#N/A,#N/A,FALSE,"Sheet1 (2)"}</definedName>
    <definedName name="BFX_BRANDFX">60122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İANCO12" hidden="1">{#N/A,#N/A,FALSE,"MALİTABLOLAR"}</definedName>
    <definedName name="BİLANÇO" hidden="1">{#N/A,#N/A,FALSE,"MALİTABLOLAR"}</definedName>
    <definedName name="billingtype">[6]billingtype!$A$1:$A$65536</definedName>
    <definedName name="BİMAS">[7]Kategoriler!$A$2:$B$45</definedName>
    <definedName name="BİMPAŞ">#REF!</definedName>
    <definedName name="bisküvi" hidden="1">{#N/A,#N/A,FALSE,"Sheet1 (2)"}</definedName>
    <definedName name="bnhk" localSheetId="2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Names">#REF!</definedName>
    <definedName name="BRT">[8]Kategoriler!#REF!</definedName>
    <definedName name="brucu" hidden="1">{#N/A,#N/A,FALSE,"Sheet1 (2)"}</definedName>
    <definedName name="bsderty">[0]!bsderty</definedName>
    <definedName name="btrm" hidden="1">{#N/A,#N/A,FALSE,"Sheet1 (2)"}</definedName>
    <definedName name="bu" hidden="1">{#N/A,#N/A,FALSE,"Sheet1 (2)"}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YINGMETHOD">'[9]Buying Method'!$A$1:$A$65536</definedName>
    <definedName name="BUYUME" hidden="1">{#N/A,#N/A,FALSE,"MALİTABLOLAR"}</definedName>
    <definedName name="byr" hidden="1">{#N/A,#N/A,FALSE,"Sheet1 (2)"}</definedName>
    <definedName name="CAMBIO">#REF!</definedName>
    <definedName name="Campaign">#REF!</definedName>
    <definedName name="CAPEX98" hidden="1">[10]FINALPHP!$G$27</definedName>
    <definedName name="cbhgj" localSheetId="2" hidden="1">{#N/A,#N/A,FALSE,"Sheet1 (2)"}</definedName>
    <definedName name="cbhgj" hidden="1">{#N/A,#N/A,FALSE,"Sheet1 (2)"}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d" hidden="1">{#N/A,#N/A,FALSE,"MALİTABLOLAR"}</definedName>
    <definedName name="cdd" hidden="1">{#N/A,#N/A,FALSE,"MALİTABLOLAR"}</definedName>
    <definedName name="CHN">#REF!</definedName>
    <definedName name="CINE5">#REF!</definedName>
    <definedName name="CINQU">#REF!</definedName>
    <definedName name="CINQUM">#REF!</definedName>
    <definedName name="cinque">#REF!</definedName>
    <definedName name="CLIENTE">#REF!</definedName>
    <definedName name="Client">#REF!</definedName>
    <definedName name="CNBC">#REF!</definedName>
    <definedName name="CNN">#REF!</definedName>
    <definedName name="CNNTURK">[11]Kategoriler!$A$347:$B$350</definedName>
    <definedName name="Code" hidden="1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#REF!</definedName>
    <definedName name="CopyNames">#REF!</definedName>
    <definedName name="CPP_1">#REF!</definedName>
    <definedName name="CPP_2">#REF!</definedName>
    <definedName name="cppant">#REF!</definedName>
    <definedName name="Crax" hidden="1">{#N/A,#N/A,FALSE,"Sheet1 (2)"}</definedName>
    <definedName name="CREATED_WITH">"OptiPlan.xls"</definedName>
    <definedName name="CUSTO_TOTAL_NEGOCIADO">136730.04</definedName>
    <definedName name="CUSTO_TOTAL_TABELA">601707.21</definedName>
    <definedName name="ÇAYKEYFİ" hidden="1">{#N/A,#N/A,FALSE,"Sheet1 (2)"}</definedName>
    <definedName name="çç" localSheetId="2" hidden="1">{#N/A,#N/A,FALSE,"Sheet1 (2)"}</definedName>
    <definedName name="çç" hidden="1">{#N/A,#N/A,FALSE,"Sheet1 (2)"}</definedName>
    <definedName name="d" hidden="1">{#N/A,#N/A,FALSE,"Sheet1 (2)"}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TA">[12]Kategoriler!$A$1:$B$29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Month">#REF!</definedName>
    <definedName name="DataMonthIM">#REF!</definedName>
    <definedName name="DDD" localSheetId="2" hidden="1">{#N/A,#N/A,FALSE,"Sheet1 (2)"}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e_grubu">#REF!</definedName>
    <definedName name="de_ratecard">#REF!</definedName>
    <definedName name="de_tutar">#REF!</definedName>
    <definedName name="Deal">#REF!</definedName>
    <definedName name="deergfdsd" hidden="1">{#N/A,#N/A,FALSE,"Sheet1 (2)"}</definedName>
    <definedName name="DEGI">#REF!</definedName>
    <definedName name="DENİZBANK" localSheetId="2" hidden="1">{#N/A,#N/A,FALSE,"Sheet1 (2)"}</definedName>
    <definedName name="DENİZBANK" hidden="1">{#N/A,#N/A,FALSE,"Sheet1 (2)"}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utar">#REF!</definedName>
    <definedName name="DERGI" localSheetId="2" hidden="1">{#N/A,#N/A,FALSE,"Sheet1 (2)"}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sdg" hidden="1">{#N/A,#N/A,FALSE,"Sheet1 (2)"}</definedName>
    <definedName name="derwr" hidden="1">{#N/A,#N/A,FALSE,"Sheet1 (2)"}</definedName>
    <definedName name="des" hidden="1">{#N/A,#N/A,FALSE,"Sheet1 (2)"}</definedName>
    <definedName name="df">#REF!</definedName>
    <definedName name="dfa" hidden="1">{#N/A,#N/A,FALSE,"Sheet1 (2)"}</definedName>
    <definedName name="DFDF">[0]!DFDF</definedName>
    <definedName name="dfdg" hidden="1">{#N/A,#N/A,FALSE,"Sheet1 (2)"}</definedName>
    <definedName name="dfe" hidden="1">#REF!</definedName>
    <definedName name="dff" hidden="1">#REF!</definedName>
    <definedName name="dffgsfg" hidden="1">#REF!</definedName>
    <definedName name="DFG">#REF!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hf" hidden="1">#REF!</definedName>
    <definedName name="dfhggh" hidden="1">{#N/A,#N/A,FALSE,"Sheet1 (2)"}</definedName>
    <definedName name="dfr">[0]!dfr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SFSDSS" localSheetId="2" hidden="1">{#N/A,#N/A,FALSE,"Sheet1 (2)"}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h" hidden="1">{#N/A,#N/A,FALSE,"Sheet1 (2)"}</definedName>
    <definedName name="DIGER">#REF!</definedName>
    <definedName name="DIXI">#REF!</definedName>
    <definedName name="DIXIOD">#REF!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ji" hidden="1">{#N/A,#N/A,FALSE,"Sheet1 (2)"}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play_area_2" hidden="1">#REF!</definedName>
    <definedName name="DİXİP">#REF!</definedName>
    <definedName name="DİXİPÖDEME">#REF!</definedName>
    <definedName name="dizi">#REF!</definedName>
    <definedName name="DİZİ_KANAL">#REF!</definedName>
    <definedName name="DOLCI" hidden="1">{#N/A,#N/A,FALSE,"MALİTABLOLAR"}</definedName>
    <definedName name="DOLCIA" hidden="1">{#N/A,#N/A,FALSE,"MALİTABLOLAR"}</definedName>
    <definedName name="Dönem">#REF!</definedName>
    <definedName name="dsd" hidden="1">{#N/A,#N/A,FALSE,"Sheet1 (2)"}</definedName>
    <definedName name="DSF" hidden="1">{#N/A,#N/A,FALSE,"Sheet1 (2)"}</definedName>
    <definedName name="DSGSDH" hidden="1">{#N/A,#N/A,FALSE,"Sheet1 (2)"}</definedName>
    <definedName name="dthtn" hidden="1">{#N/A,#N/A,FALSE,"Sheet1 (2)"}</definedName>
    <definedName name="DU">#REF!</definedName>
    <definedName name="due">#REF!</definedName>
    <definedName name="DUM">#REF!</definedName>
    <definedName name="e" localSheetId="2" hidden="1">{#N/A,#N/A,FALSE,"Sheet1 (2)"}</definedName>
    <definedName name="e" hidden="1">{#N/A,#N/A,FALSE,"Sheet1 (2)"}</definedName>
    <definedName name="eaeıi" localSheetId="2" hidden="1">{#N/A,#N/A,FALSE,"Sheet1 (2)"}</definedName>
    <definedName name="eaeıi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" hidden="1">{#N/A,#N/A,FALSE,"Sheet1 (2)"}</definedName>
    <definedName name="EEE" hidden="1">{#N/A,#N/A,FALSE,"Sheet1 (2)"}</definedName>
    <definedName name="EEEE" localSheetId="2" hidden="1">{#N/A,#N/A,FALSE,"Sheet1 (2)"}</definedName>
    <definedName name="EEEE" hidden="1">{#N/A,#N/A,FALSE,"Sheet1 (2)"}</definedName>
    <definedName name="EEEEE" hidden="1">{#N/A,#N/A,FALSE,"Sheet1 (2)"}</definedName>
    <definedName name="EEEEEE" localSheetId="2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ee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reee" hidden="1">{#N/A,#N/A,FALSE,"Sheet1 (2)"}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jhnfd" hidden="1">{#N/A,#N/A,FALSE,"Sheet1 (2)"}</definedName>
    <definedName name="erwert" hidden="1">{#N/A,#N/A,FALSE,"Sheet1 (2)"}</definedName>
    <definedName name="eski" localSheetId="2" hidden="1">{#N/A,#N/A,FALSE,"Sheet1 (2)"}</definedName>
    <definedName name="eski" hidden="1">{#N/A,#N/A,FALSE,"Sheet1 (2)"}</definedName>
    <definedName name="etr5ytyty" hidden="1">{#N/A,#N/A,FALSE,"Sheet1 (2)"}</definedName>
    <definedName name="etrwegt" hidden="1">{#N/A,#N/A,FALSE,"Sheet1 (2)"}</definedName>
    <definedName name="EV__LASTREFTIME__" hidden="1">40527.6608333333</definedName>
    <definedName name="ExchangeRates">#REF!</definedName>
    <definedName name="ezel">#REF!</definedName>
    <definedName name="f" hidden="1">{#N/A,#N/A,FALSE,"Sheet1 (2)"}</definedName>
    <definedName name="FA">#REF!</definedName>
    <definedName name="FactsCount">1</definedName>
    <definedName name="FAÖD">#REF!</definedName>
    <definedName name="FASA">#REF!</definedName>
    <definedName name="FASAOD">#REF!</definedName>
    <definedName name="FASF" hidden="1">{#N/A,#N/A,FALSE,"Sheet1 (2)"}</definedName>
    <definedName name="fcb">[0]!fcb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ddgg">#REF!</definedName>
    <definedName name="fdgh" hidden="1">{#N/A,#N/A,FALSE,"Sheet1 (2)"}</definedName>
    <definedName name="fdsg" hidden="1">{#N/A,#N/A,FALSE,"Sheet1 (2)"}</definedName>
    <definedName name="FeeCli">#REF!</definedName>
    <definedName name="FeeIM">#REF!</definedName>
    <definedName name="fef" hidden="1">#REF!</definedName>
    <definedName name="fersda" localSheetId="2" hidden="1">{#N/A,#N/A,FALSE,"Sheet1 (2)"}</definedName>
    <definedName name="fersda" hidden="1">{#N/A,#N/A,FALSE,"Sheet1 (2)"}</definedName>
    <definedName name="fert">[0]!fert</definedName>
    <definedName name="feveejerg" hidden="1">{#N/A,#N/A,FALSE,"Sheet1 (2)"}</definedName>
    <definedName name="ff" hidden="1">{#N/A,#N/A,FALSE,"Sheet1 (2)"}</definedName>
    <definedName name="fff" localSheetId="2" hidden="1">{#N/A,#N/A,FALSE,"Sheet1 (2)"}</definedName>
    <definedName name="fff" hidden="1">{#N/A,#N/A,FALSE,"Sheet1 (2)"}</definedName>
    <definedName name="FFFF" localSheetId="2" hidden="1">{#N/A,#N/A,FALSE,"Sheet1 (2)"}</definedName>
    <definedName name="FFFF" hidden="1">{#N/A,#N/A,FALSE,"Sheet1 (2)"}</definedName>
    <definedName name="FFFFFF" hidden="1">#REF!</definedName>
    <definedName name="FFFFFFF">#REF!</definedName>
    <definedName name="FG">[0]!FG</definedName>
    <definedName name="fgdhh" hidden="1">{#N/A,#N/A,FALSE,"Sheet1 (2)"}</definedName>
    <definedName name="fgfefghtjty" hidden="1">{#N/A,#N/A,FALSE,"Sheet1 (2)"}</definedName>
    <definedName name="fghf" hidden="1">{#N/A,#N/A,FALSE,"Sheet1 (2)"}</definedName>
    <definedName name="fghfgh" hidden="1">#REF!</definedName>
    <definedName name="fgn" localSheetId="2" hidden="1">{#N/A,#N/A,FALSE,"Sheet1 (2)"}</definedName>
    <definedName name="fgn" hidden="1">{#N/A,#N/A,FALSE,"Sheet1 (2)"}</definedName>
    <definedName name="fgrwgygh" hidden="1">{#N/A,#N/A,FALSE,"Sheet1 (2)"}</definedName>
    <definedName name="fhghg" hidden="1">{#N/A,#N/A,FALSE,"Sheet1 (2)"}</definedName>
    <definedName name="FIATZONENR">#REF!</definedName>
    <definedName name="FIYAT1">#REF!</definedName>
    <definedName name="FIYAT2">[5]Kategoriler!$A$51:$B$81</definedName>
    <definedName name="FIYAT3">[5]Kategoriler!$A$86:$B$102</definedName>
    <definedName name="FİLM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TAY">[13]Sayfa2!#REF!</definedName>
    <definedName name="fiyat">#REF!</definedName>
    <definedName name="fiyat_list">#REF!</definedName>
    <definedName name="FİYAT1">[14]Kategoriler!$A$48:$C$71</definedName>
    <definedName name="FİYAT2">[14]Kategoriler!$A$90:$C$113</definedName>
    <definedName name="FJKFNVBVB" hidden="1">{#N/A,#N/A,FALSE,"Sheet1 (2)"}</definedName>
    <definedName name="FLASH">#REF!</definedName>
    <definedName name="FLASHVW">#REF!</definedName>
    <definedName name="FLOWCHART" hidden="1">{#N/A,#N/A,FALSE,"Sheet1 (2)"}</definedName>
    <definedName name="Form.Quota" localSheetId="2">IF(#REF!=0,0,#REF!*#REF!/#REF!)</definedName>
    <definedName name="Form.Quota">IF(#REF!=0,0,#REF!*#REF!/#REF!)</definedName>
    <definedName name="FORMAT">[15]Format!$A$1:$A$65536</definedName>
    <definedName name="frte">[0]!frte</definedName>
    <definedName name="ftc">[0]!ftc</definedName>
    <definedName name="g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1" hidden="1">{#N/A,#N/A,FALSE,"Sheet1 (2)"}</definedName>
    <definedName name="gazete2" hidden="1">{#N/A,#N/A,FALSE,"Sheet1 (2)"}</definedName>
    <definedName name="gazetecik" hidden="1">{#N/A,#N/A,FALSE,"Sheet1 (2)"}</definedName>
    <definedName name="gdfgdhh" hidden="1">{#N/A,#N/A,FALSE,"Sheet1 (2)"}</definedName>
    <definedName name="gefge" hidden="1">{#N/A,#N/A,FALSE,"Sheet1 (2)"}</definedName>
    <definedName name="Genc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şlkgşl" localSheetId="2" hidden="1">{#N/A,#N/A,FALSE,"Sheet1 (2)"}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hh" hidden="1">{#N/A,#N/A,FALSE,"Sheet1 (2)"}</definedName>
    <definedName name="gfsgg" hidden="1">{#N/A,#N/A,FALSE,"Sheet1 (2)"}</definedName>
    <definedName name="GFTED">#REF!</definedName>
    <definedName name="G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hdhyh" hidden="1">{#N/A,#N/A,FALSE,"Sheet1 (2)"}</definedName>
    <definedName name="ghhhjfj" hidden="1">{#N/A,#N/A,FALSE,"Sheet1 (2)"}</definedName>
    <definedName name="GHJ" hidden="1">{#N/A,#N/A,FALSE,"Sheet1 (2)"}</definedName>
    <definedName name="glöflşfl" hidden="1">{#N/A,#N/A,FALSE,"Sheet1 (2)"}</definedName>
    <definedName name="got">#REF!</definedName>
    <definedName name="GRP">#REF!</definedName>
    <definedName name="grtre">[0]!grtre</definedName>
    <definedName name="GR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nler">#REF!</definedName>
    <definedName name="ğğ" hidden="1">{#N/A,#N/A,FALSE,"Sheet1 (2)"}</definedName>
    <definedName name="H">#REF!</definedName>
    <definedName name="hafta">#REF!</definedName>
    <definedName name="haya" hidden="1">#REF!</definedName>
    <definedName name="haziran" hidden="1">{#N/A,#N/A,FALSE,"Sheet1 (2)"}</definedName>
    <definedName name="hbfghh" localSheetId="2" hidden="1">{#N/A,#N/A,FALSE,"Sheet1 (2)"}</definedName>
    <definedName name="hbfghh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fgfgfg">#REF!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HH" localSheetId="2" hidden="1">{#N/A,#N/A,FALSE,"Sheet1 (2)"}</definedName>
    <definedName name="HHH" hidden="1">{#N/A,#N/A,FALSE,"Sheet1 (2)"}</definedName>
    <definedName name="HiddenRows" hidden="1">#REF!</definedName>
    <definedName name="hjgkjk" hidden="1">{#N/A,#N/A,FALSE,"Sheet1 (2)"}</definedName>
    <definedName name="hjhjh">#REF!</definedName>
    <definedName name="hjhkhk" hidden="1">{#N/A,#N/A,FALSE,"Sheet1 (2)"}</definedName>
    <definedName name="HJUI" localSheetId="2" hidden="1">{#N/A,#N/A,FALSE,"Sheet1 (2)"}</definedName>
    <definedName name="HJUI" hidden="1">{#N/A,#N/A,FALSE,"Sheet1 (2)"}</definedName>
    <definedName name="hjvgjöh" hidden="1">#REF!</definedName>
    <definedName name="hlktdskgf" hidden="1">{#N/A,#N/A,FALSE,"Sheet1 (2)"}</definedName>
    <definedName name="hm">[0]!hm</definedName>
    <definedName name="hsdf" hidden="1">{#N/A,#N/A,FALSE,"Sheet1 (2)"}</definedName>
    <definedName name="HT">#REF!</definedName>
    <definedName name="HTML_CodePage">1254</definedName>
    <definedName name="HTML_Control">{"'franchisee'!$A$39:$I$70"}</definedName>
    <definedName name="HTML_Description">""</definedName>
    <definedName name="HTML_Email">""</definedName>
    <definedName name="HTML_Header">"franchisee"</definedName>
    <definedName name="HTML_LastUpdate">"15.10.1998"</definedName>
    <definedName name="HTML_LineAfter">FALSE</definedName>
    <definedName name="HTML_LineBefore">FALSE</definedName>
    <definedName name="HTML_Name">"McDONALD's"</definedName>
    <definedName name="HTML_OBDlg2">TRUE</definedName>
    <definedName name="HTML_OBDlg4">TRUE</definedName>
    <definedName name="HTML_OS">0</definedName>
    <definedName name="HTML_PathFile">"J:\HOME\PINAR\PROMIX\MIX98\MyHTML.htm"</definedName>
    <definedName name="HTML_Title">"Adres3"</definedName>
    <definedName name="htytyuu" hidden="1">{#N/A,#N/A,FALSE,"Sheet1 (2)"}</definedName>
    <definedName name="ı" localSheetId="2" hidden="1">{#N/A,#N/A,FALSE,"Sheet1 (2)"}</definedName>
    <definedName name="ı" hidden="1">{#N/A,#N/A,FALSE,"Sheet1 (2)"}</definedName>
    <definedName name="ıhıoh" hidden="1">{#N/A,#N/A,FALSE,"Sheet1 (2)"}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SERT">#REF!</definedName>
    <definedName name="INTZONNR">#REF!</definedName>
    <definedName name="ıopıop" hidden="1">{#N/A,#N/A,FALSE,"Sheet1 (2)"}</definedName>
    <definedName name="ıpuuu" hidden="1">{#N/A,#N/A,FALSE,"Sheet1 (2)"}</definedName>
    <definedName name="ilan">#REF!</definedName>
    <definedName name="İLAN_BOYUTU_1">#REF!</definedName>
    <definedName name="İLAN_BOYUTU_2">#REF!</definedName>
    <definedName name="ima">#REF!</definedName>
    <definedName name="istbb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2" hidden="1">{#N/A,#N/A,FALSE,"Sheet1 (2)"}</definedName>
    <definedName name="JJJ" hidden="1">{#N/A,#N/A,FALSE,"Sheet1 (2)"}</definedName>
    <definedName name="jkdsjhjsncd" hidden="1">{#N/A,#N/A,FALSE,"Sheet1 (2)"}</definedName>
    <definedName name="JKIO" localSheetId="2" hidden="1">{#N/A,#N/A,FALSE,"Sheet1 (2)"}</definedName>
    <definedName name="JKIO" hidden="1">{#N/A,#N/A,FALSE,"Sheet1 (2)"}</definedName>
    <definedName name="jkl" hidden="1">{#N/A,#N/A,FALSE,"Sheet1 (2)"}</definedName>
    <definedName name="JOYFM_S1">#REF!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UO" localSheetId="2" hidden="1">{#N/A,#N/A,FALSE,"Sheet1 (2)"}</definedName>
    <definedName name="JUO" hidden="1">{#N/A,#N/A,FALSE,"Sheet1 (2)"}</definedName>
    <definedName name="JXNHXBN" hidden="1">{#N/A,#N/A,FALSE,"Sheet1 (2)"}</definedName>
    <definedName name="k" hidden="1">{#N/A,#N/A,FALSE,"Sheet1 (2)"}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LAMIŞ_FENER_CADDESİ_IGRIP_SOKAK_KÖŞESİ">#REF!</definedName>
    <definedName name="KAMPANYA">#REF!</definedName>
    <definedName name="kampanya_süresi">#REF!</definedName>
    <definedName name="KAN7VW">#REF!</definedName>
    <definedName name="KANAL">#REF!</definedName>
    <definedName name="KANAL7">#REF!</definedName>
    <definedName name="KANALD">#REF!</definedName>
    <definedName name="KANALE">#REF!</definedName>
    <definedName name="kanallar">#REF!</definedName>
    <definedName name="KAND">[16]Kategoriler!$A$95:$B$138</definedName>
    <definedName name="KANDYENI">#REF!</definedName>
    <definedName name="KANE">#REF!</definedName>
    <definedName name="KATEGORI">#REF!</definedName>
    <definedName name="KATEGORİ">#REF!</definedName>
    <definedName name="KATLIST">#REF!</definedName>
    <definedName name="KD">[5]Programlar!$A$130:$B$235</definedName>
    <definedName name="KDIND">#REF!</definedName>
    <definedName name="kdkd" hidden="1">{#N/A,#N/A,FALSE,"Sheet1 (2)"}</definedName>
    <definedName name="KDVW">#REF!</definedName>
    <definedName name="kenan" hidden="1">{#N/A,#N/A,FALSE,"Sheet1 (2)"}</definedName>
    <definedName name="khjklşhl" hidden="1">{#N/A,#N/A,FALSE,"Sheet1 (2)"}</definedName>
    <definedName name="KISSTV">#REF!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H" hidden="1">{#N/A,#N/A,FALSE,"Sheet1 (2)"}</definedName>
    <definedName name="kk" hidden="1">{#N/A,#N/A,FALSE,"Sheet1 (2)"}</definedName>
    <definedName name="KKK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hidden="1">{#N/A,#N/A,FALSE,"MALİTABLOLAR";#N/A,#N/A,FALSE,"PERS MSRMRZ";#N/A,#N/A,FALSE,"MALİTABLOLAR";#N/A,#N/A,FALSE,"İskonto"}</definedName>
    <definedName name="kljkl" hidden="1">{#N/A,#N/A,FALSE,"Sheet1 (2)"}</definedName>
    <definedName name="KOD">#REF!</definedName>
    <definedName name="kola" hidden="1">{#N/A,#N/A,FALSE,"Sheet1 (2)"}</definedName>
    <definedName name="KOLŞ" localSheetId="2" hidden="1">{#N/A,#N/A,FALSE,"Sheet1 (2)"}</definedName>
    <definedName name="KOLŞ" hidden="1">{#N/A,#N/A,FALSE,"Sheet1 (2)"}</definedName>
    <definedName name="KOP" localSheetId="2" hidden="1">{#N/A,#N/A,FALSE,"Sheet1 (2)"}</definedName>
    <definedName name="KOP" hidden="1">{#N/A,#N/A,FALSE,"Sheet1 (2)"}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rakeer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L_E">#REF!</definedName>
    <definedName name="L_Eq_new">#REF!</definedName>
    <definedName name="LANG_CELL">#REF!</definedName>
    <definedName name="lansman" hidden="1">{#N/A,#N/A,FALSE,"Sheet1 (2)"}</definedName>
    <definedName name="LIST">[8]Kategoriler!$A$1:$B$44</definedName>
    <definedName name="lig" hidden="1">{#N/A,#N/A,FALSE,"Sheet1 (2)"}</definedName>
    <definedName name="Light" hidden="1">{#N/A,#N/A,FALSE,"MALİTABLOLAR"}</definedName>
    <definedName name="ListStart">#REF!</definedName>
    <definedName name="ljkll" hidden="1">{#N/A,#N/A,FALSE,"Sheet1 (2)"}</definedName>
    <definedName name="M" localSheetId="2" hidden="1">{#N/A,#N/A,FALSE,"Sheet1 (2)"}</definedName>
    <definedName name="M" hidden="1">{#N/A,#N/A,FALSE,"Sheet1 (2)"}</definedName>
    <definedName name="mag" localSheetId="2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2">#REF!</definedName>
    <definedName name="MART444">#REF!</definedName>
    <definedName name="MARTOD2">#REF!</definedName>
    <definedName name="MARTODEME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xRange">'[17]MA-BL'!#REF!</definedName>
    <definedName name="MAYIS">#REF!</definedName>
    <definedName name="mediatype">[18]Mediatype!$A$1:$A$3</definedName>
    <definedName name="Meio">"TV"</definedName>
    <definedName name="mele" hidden="1">{#N/A,#N/A,FALSE,"Sheet1 (2)"}</definedName>
    <definedName name="MELİKE">[0]!MELİKE</definedName>
    <definedName name="memo">[0]!memo</definedName>
    <definedName name="Mepas">#REF!</definedName>
    <definedName name="mmm">[0]!mmm</definedName>
    <definedName name="MMMMMMM" hidden="1">{#N/A,#N/A,FALSE,"Sheet1 (2)"}</definedName>
    <definedName name="Mo">#REF!</definedName>
    <definedName name="MOBILYA" hidden="1">{#N/A,#N/A,FALSE,"MALİTABLOLAR"}</definedName>
    <definedName name="mod">#REF!</definedName>
    <definedName name="Month">#REF!</definedName>
    <definedName name="MonthIM">#REF!</definedName>
    <definedName name="msdfmömöçsdfmöçsdfmöçmöçasdffdf" hidden="1">{#N/A,#N/A,FALSE,"Sheet1 (2)"}</definedName>
    <definedName name="musteri">#REF!</definedName>
    <definedName name="Napoliten" hidden="1">{#N/A,#N/A,FALSE,"MALİTABLOLAR"}</definedName>
    <definedName name="NET_TOTAL">#REF!</definedName>
    <definedName name="netnews">#REF!</definedName>
    <definedName name="NETWORK">[9]Network!$A$1:$A$65536</definedName>
    <definedName name="new" hidden="1">#REF!</definedName>
    <definedName name="nhg" hidden="1">{#N/A,#N/A,FALSE,"Sheet1 (2)"}</definedName>
    <definedName name="Nickolodeon">#REF!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{#N/A,#N/A,FALSE,"MALİTABLOLAR"}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TV">[8]Kategoriler!$A$46:$B$57</definedName>
    <definedName name="ntvno">'[19]ntv-fiyat'!$A$25:$C$41</definedName>
    <definedName name="NumberOne">#REF!</definedName>
    <definedName name="O" hidden="1">{#N/A,#N/A,FALSE,"Sheet1 (2)"}</definedName>
    <definedName name="OCAK">#REF!</definedName>
    <definedName name="od" hidden="1">#REF!</definedName>
    <definedName name="odluu" hidden="1">{#N/A,#N/A,FALSE,"Sheet1 (2)"}</definedName>
    <definedName name="ogogo" hidden="1">{#N/A,#N/A,FALSE,"Sheet1 (2)"}</definedName>
    <definedName name="onur" hidden="1">{#N/A,#N/A,FALSE,"Sheet1 (2)"}</definedName>
    <definedName name="oooo" hidden="1">{"payback2",#N/A,FALSE,"Wirtschaftlichkeitsberechnung"}</definedName>
    <definedName name="OrderTable" hidden="1">#REF!</definedName>
    <definedName name="OTT">#REF!</definedName>
    <definedName name="OTTM">#REF!</definedName>
    <definedName name="otto">#REF!</definedName>
    <definedName name="oyo" hidden="1">{#N/A,#N/A,FALSE,"Sheet1 (2)"}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önnnn">[0]!önnnn</definedName>
    <definedName name="parentcompany">[6]network!$A$1:$A$65536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ER">#REF!</definedName>
    <definedName name="perger">#REF!</definedName>
    <definedName name="PERIODO" localSheetId="0">VLOOKUP("ALL_MONTH_9",LANG_STRS_RNG,[20]!LANG_CELL+1,FALSE) &amp; " " &amp;  2006</definedName>
    <definedName name="PERIODO" localSheetId="2">VLOOKUP("ALL_MONTH_9",LANG_STRS_RNG,LANG_CELL+1,FALSE) &amp; " " &amp;  2006</definedName>
    <definedName name="PERIODO">VLOOKUP("ALL_MONTH_9",LANG_STRS_RNG,LANG_CELL+1,FALSE) &amp; " " &amp;  2006</definedName>
    <definedName name="PEROD">#REF!</definedName>
    <definedName name="PerOd2">#REF!</definedName>
    <definedName name="PERÖD">#REF!</definedName>
    <definedName name="PERSILOCAK">#REF!</definedName>
    <definedName name="PERSILOD">#REF!</definedName>
    <definedName name="persil">#REF!</definedName>
    <definedName name="PERSİL2">#REF!</definedName>
    <definedName name="PERSİLEKİM">#REF!</definedName>
    <definedName name="persileyl">#REF!</definedName>
    <definedName name="PERSİLÖDEME">#REF!</definedName>
    <definedName name="Peugeot" hidden="1">{#N/A,#N/A,FALSE,"Sheet1 (2)"}</definedName>
    <definedName name="PKASIM">#REF!</definedName>
    <definedName name="PLACEMENT">[21]Placement!$A$1:$A$65536</definedName>
    <definedName name="plan">#REF!</definedName>
    <definedName name="PLAN1">#REF!</definedName>
    <definedName name="play" hidden="1">{#N/A,#N/A,FALSE,"Sheet1 (2)"}</definedName>
    <definedName name="PLAY2" hidden="1">{#N/A,#N/A,FALSE,"Sheet1 (2)"}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S." hidden="1">{#N/A,#N/A,FALSE,"Sheet1 (2)"}</definedName>
    <definedName name="prd" hidden="1">{#N/A,#N/A,FALSE,"Sheet1 (2)"}</definedName>
    <definedName name="PRIL">#REF!</definedName>
    <definedName name="PRINT_AREA_MI">#REF!</definedName>
    <definedName name="PriceInput">#REF!</definedName>
    <definedName name="priceinput">#REF!</definedName>
    <definedName name="_xlnm.Print_Area">#REF!</definedName>
    <definedName name="_xlnm.Print_Titles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Form" hidden="1">#REF!</definedName>
    <definedName name="Product" hidden="1">#REF!</definedName>
    <definedName name="PRODUTO">#REF!</definedName>
    <definedName name="Prog_List">#REF!</definedName>
    <definedName name="ProggramaticHedefleme" hidden="1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UATTR">#REF!</definedName>
    <definedName name="QUATTRM">#REF!</definedName>
    <definedName name="quattro">#REF!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A" localSheetId="2" hidden="1">{#N/A,#N/A,FALSE,"Sheet1 (2)"}</definedName>
    <definedName name="RAA" hidden="1">{#N/A,#N/A,FALSE,"Sheet1 (2)"}</definedName>
    <definedName name="RADYO" localSheetId="2" hidden="1">{#N/A,#N/A,FALSE,"Sheet1 (2)"}</definedName>
    <definedName name="RADYO" hidden="1">{#N/A,#N/A,FALSE,"Sheet1 (2)"}</definedName>
    <definedName name="RADYOOOO" hidden="1">{#N/A,#N/A,FALSE,"Sheet1 (2)"}</definedName>
    <definedName name="RateCategoryNames">#REF!</definedName>
    <definedName name="RATING">#REF!</definedName>
    <definedName name="RCArea" hidden="1">#REF!</definedName>
    <definedName name="referans" hidden="1">{#N/A,#N/A,FALSE,"Sheet1 (2)"}</definedName>
    <definedName name="REFZONE">#REF!</definedName>
    <definedName name="reyhan">[0]!reyhan</definedName>
    <definedName name="rg" hidden="1">#REF!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rr" hidden="1">{#N/A,#N/A,FALSE,"Sheet1 (2)"}</definedName>
    <definedName name="RRRR" localSheetId="2" hidden="1">{#N/A,#N/A,FALSE,"Sheet1 (2)"}</definedName>
    <definedName name="RRRR" hidden="1">{#N/A,#N/A,FALSE,"Sheet1 (2)"}</definedName>
    <definedName name="RRRRRRRR" localSheetId="2" hidden="1">{#N/A,#N/A,FALSE,"Sheet1 (2)"}</definedName>
    <definedName name="RRRRRRRR" hidden="1">{#N/A,#N/A,FALSE,"Sheet1 (2)"}</definedName>
    <definedName name="rrrrrrrrrr" localSheetId="2" hidden="1">{#N/A,#N/A,FALSE,"Sheet1 (2)"}</definedName>
    <definedName name="rrrrrrrrrr" hidden="1">{#N/A,#N/A,FALSE,"Sheet1 (2)"}</definedName>
    <definedName name="rtethyrthhj" hidden="1">{#N/A,#N/A,FALSE,"Sheet1 (2)"}</definedName>
    <definedName name="rtqerr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[0]!rty</definedName>
    <definedName name="s">#REF!</definedName>
    <definedName name="saa" hidden="1">{#N/A,#N/A,FALSE,"Sheet1 (2)"}</definedName>
    <definedName name="saaaa" hidden="1">{#N/A,#N/A,FALSE,"Sheet1 (2)"}</definedName>
    <definedName name="SAAT">#REF!</definedName>
    <definedName name="sadsa" hidden="1">#REF!</definedName>
    <definedName name="SAPBEXdnldView" hidden="1">"4HBBPVBME4KI29H1EKD9891CA"</definedName>
    <definedName name="SAPBEXhrIndnt" hidden="1">1</definedName>
    <definedName name="SAPBEXsysID" hidden="1">"BWP"</definedName>
    <definedName name="sav" hidden="1">#REF!</definedName>
    <definedName name="savas" hidden="1">{#N/A,#N/A,FALSE,"Sheet1 (2)"}</definedName>
    <definedName name="sd" hidden="1">#REF!</definedName>
    <definedName name="sda" hidden="1">{#N/A,#N/A,FALSE,"Sheet1 (2)"}</definedName>
    <definedName name="sdasdadsda">#REF!</definedName>
    <definedName name="sdf">#REF!</definedName>
    <definedName name="SDFASDF" hidden="1">{#N/A,#N/A,FALSE,"Sheet1 (2)"}</definedName>
    <definedName name="sdfe" hidden="1">{#N/A,#N/A,FALSE,"Sheet1 (2)"}</definedName>
    <definedName name="sdfgg" hidden="1">{#N/A,#N/A,FALSE,"Sheet1 (2)"}</definedName>
    <definedName name="SDFRWEFT" hidden="1">{#N/A,#N/A,FALSE,"Sheet1 (2)"}</definedName>
    <definedName name="sdfsd" hidden="1">{#N/A,#N/A,FALSE,"Sheet1 (2)"}</definedName>
    <definedName name="sdfsdf" hidden="1">{#N/A,#N/A,FALSE,"Sheet1 (2)"}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dg">#REF!</definedName>
    <definedName name="sdgsegfasdf" hidden="1">{#N/A,#N/A,FALSE,"Sheet1 (2)"}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i">#REF!</definedName>
    <definedName name="SELECTED">#REF!</definedName>
    <definedName name="SEM">#REF!</definedName>
    <definedName name="ser" hidden="1">{#N/A,#N/A,FALSE,"Sheet1 (2)"}</definedName>
    <definedName name="SES" hidden="1">{#N/A,#N/A,FALSE,"Sheet1 (2)"}</definedName>
    <definedName name="SETT">#REF!</definedName>
    <definedName name="sette">#REF!</definedName>
    <definedName name="SETTM">#REF!</definedName>
    <definedName name="sfd" hidden="1">{#N/A,#N/A,FALSE,"Sheet1 (2)"}</definedName>
    <definedName name="sfds" hidden="1">{#N/A,#N/A,FALSE,"Sheet1 (2)"}</definedName>
    <definedName name="sfgdfgsfg">#REF!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OW">[5]Programlar!$A$246:$B$347</definedName>
    <definedName name="SHOWVW">#REF!</definedName>
    <definedName name="Sıperback" hidden="1">#REF!</definedName>
    <definedName name="SITES">[21]Sites!$A$1:$A$65536</definedName>
    <definedName name="SIVI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OFT">#REF!</definedName>
    <definedName name="SOFTOD">#REF!</definedName>
    <definedName name="sosyal" hidden="1">{#N/A,#N/A,FALSE,"Sheet1 (2)"}</definedName>
    <definedName name="SpecialPrice" hidden="1">#REF!</definedName>
    <definedName name="SPOT">#REF!</definedName>
    <definedName name="spot_süresi3">[22]GAZETE!$B$6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s" hidden="1">{#N/A,#N/A,FALSE,"Sheet1 (2)"}</definedName>
    <definedName name="ssfw" hidden="1">{#N/A,#N/A,FALSE,"Sheet1 (2)"}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VW">#REF!</definedName>
    <definedName name="StationNames">#REF!</definedName>
    <definedName name="STV">#REF!</definedName>
    <definedName name="STVVW">#REF!</definedName>
    <definedName name="sumru">[0]!sumru</definedName>
    <definedName name="superback" hidden="1">{#N/A,#N/A,FALSE,"Sheet1 (2)"}</definedName>
    <definedName name="SURE">#REF!</definedName>
    <definedName name="swds">[23]Programlar!$A$435:$B$487</definedName>
    <definedName name="Swvu.steve." hidden="1">#REF!</definedName>
    <definedName name="SZEGF">[24]Programlar!$A$130:$B$235</definedName>
    <definedName name="t">#REF!</definedName>
    <definedName name="t6yr6uyjuy" hidden="1">{#N/A,#N/A,FALSE,"Sheet1 (2)"}</definedName>
    <definedName name="TA" hidden="1">{#N/A,#N/A,FALSE,"Sheet1 (2)"}</definedName>
    <definedName name="TABLO">[13]Sayfa2!#REF!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KVİM">#REF!</definedName>
    <definedName name="TAMER" hidden="1">{#N/A,#N/A,FALSE,"Sheet1 (2)"}</definedName>
    <definedName name="Target">#REF!</definedName>
    <definedName name="TARGET_1">#REF!</definedName>
    <definedName name="TARGET_2">#REF!</definedName>
    <definedName name="TARIFE">#REF!</definedName>
    <definedName name="tarifeee">#REF!</definedName>
    <definedName name="TARİH">#REF!</definedName>
    <definedName name="TARYFE">#REF!</definedName>
    <definedName name="tat" localSheetId="2" hidden="1">{#N/A,#N/A,FALSE,"Sheet1 (2)"}</definedName>
    <definedName name="tat" hidden="1">{#N/A,#N/A,FALSE,"Sheet1 (2)"}</definedName>
    <definedName name="tbl_ProdInfo" hidden="1">#REF!</definedName>
    <definedName name="TCAGUS">#REF!</definedName>
    <definedName name="TEK">#REF!</definedName>
    <definedName name="TELEMONİTÖR">#REF!</definedName>
    <definedName name="TELESPOT">#REF!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T">[5]Programlar!$A$435:$B$487</definedName>
    <definedName name="TGRTVW">#REF!</definedName>
    <definedName name="TGRTYAZ">#REF!</definedName>
    <definedName name="thş" localSheetId="2" hidden="1">{#N/A,#N/A,FALSE,"Sheet1 (2)"}</definedName>
    <definedName name="thş" hidden="1">{#N/A,#N/A,FALSE,"Sheet1 (2)"}</definedName>
    <definedName name="thytr" hidden="1">{#N/A,#N/A,FALSE,"Sheet1 (2)"}</definedName>
    <definedName name="tito">#REF!</definedName>
    <definedName name="Titolo">#REF!</definedName>
    <definedName name="TL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z">#REF!</definedName>
    <definedName name="TR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">#REF!</definedName>
    <definedName name="tressad" hidden="1">{#N/A,#N/A,FALSE,"Sheet1 (2)"}</definedName>
    <definedName name="TRM">#REF!</definedName>
    <definedName name="TROY">#REF!</definedName>
    <definedName name="TROYKÜM99">#REF!</definedName>
    <definedName name="TROYTOP">#REF!</definedName>
    <definedName name="TRT">[16]Kategoriler!$A$415:$B$498</definedName>
    <definedName name="TRTVW">#REF!</definedName>
    <definedName name="try" hidden="1">{#N/A,#N/A,FALSE,"Sheet1 (2)"}</definedName>
    <definedName name="TTTTT">#REF!</definedName>
    <definedName name="TTTTTTTT">#REF!</definedName>
    <definedName name="TUBORG">#REF!</definedName>
    <definedName name="TUTAR">#REF!</definedName>
    <definedName name="tutku" localSheetId="2" hidden="1">{#N/A,#N/A,FALSE,"Sheet1 (2)"}</definedName>
    <definedName name="tutku" hidden="1">{#N/A,#N/A,FALSE,"Sheet1 (2)"}</definedName>
    <definedName name="TÜR">#REF!</definedName>
    <definedName name="TV">#REF!</definedName>
    <definedName name="tyetywy" hidden="1">{#N/A,#N/A,FALSE,"Sheet1 (2)"}</definedName>
    <definedName name="Typologies">#REF!</definedName>
    <definedName name="tytey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2" hidden="1">{#N/A,#N/A,FALSE,"Sheet1 (2)"}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d">#REF!</definedName>
    <definedName name="un">#REF!</definedName>
    <definedName name="UNM">#REF!</definedName>
    <definedName name="uno">#REF!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U" hidden="1">{#N/A,#N/A,FALSE,"MALİTABLOLAR"}</definedName>
    <definedName name="V" hidden="1">{#N/A,#N/A,FALSE,"Sheet1 (2)"}</definedName>
    <definedName name="vcx" hidden="1">{#N/A,#N/A,FALSE,"Sheet1 (2)"}</definedName>
    <definedName name="vektorm">#REF!</definedName>
    <definedName name="Veri_TabanI">'[4]Hasar Hattı'!#REF!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F" localSheetId="2" hidden="1">{#N/A,#N/A,FALSE,"Sheet1 (2)"}</definedName>
    <definedName name="VF" hidden="1">{#N/A,#N/A,FALSE,"Sheet1 (2)"}</definedName>
    <definedName name="vhgh" hidden="1">{#N/A,#N/A,FALSE,"Sheet1 (2)"}</definedName>
    <definedName name="VINCW">#REF!</definedName>
    <definedName name="VNGC">[24]Kategoriler!$A$86:$B$102</definedName>
    <definedName name="vpiv">#REF!</definedName>
    <definedName name="vrnksmödeme">#REF!</definedName>
    <definedName name="vv">#REF!</definedName>
    <definedName name="w" hidden="1">{#N/A,#N/A,FALSE,"Sheet1 (2)"}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qer">[0]!wqer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localSheetId="2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w" hidden="1">{#N/A,#N/A,FALSE,"Sheet1 (2)"}</definedName>
    <definedName name="X" localSheetId="2" hidden="1">{#N/A,#N/A,FALSE,"Sheet1 (2)"}</definedName>
    <definedName name="X" hidden="1">{#N/A,#N/A,FALSE,"Sheet1 (2)"}</definedName>
    <definedName name="xcvhxkcvjlkcvjl" hidden="1">#REF!</definedName>
    <definedName name="XLR_ERRNAMESTR" hidden="1">#REF!</definedName>
    <definedName name="XLR_VERSION" hidden="1">#REF!</definedName>
    <definedName name="xsad" hidden="1">#REF!</definedName>
    <definedName name="XSXASX" hidden="1">{#N/A,#N/A,FALSE,"Sheet1 (2)"}</definedName>
    <definedName name="xx" hidden="1">{#N/A,#N/A,FALSE,"Sheet1 (2)"}</definedName>
    <definedName name="xxx" localSheetId="2" hidden="1">{#N/A,#N/A,FALSE,"Sheet1 (2)"}</definedName>
    <definedName name="xxx" hidden="1">{#N/A,#N/A,FALSE,"Sheet1 (2)"}</definedName>
    <definedName name="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elda" hidden="1">{#N/A,#N/A,FALSE,"Sheet1 (2)"}</definedName>
    <definedName name="YENI">#REF!</definedName>
    <definedName name="YENİ" hidden="1">{#N/A,#N/A,FALSE,"Sheet1 (2)"}</definedName>
    <definedName name="YEREL" hidden="1">{#N/A,#N/A,FALSE,"Sheet1 (2)"}</definedName>
    <definedName name="yfg">#REF!</definedName>
    <definedName name="ygbr">[0]!ygbr</definedName>
    <definedName name="YKB">#REF!</definedName>
    <definedName name="ykb2">#REF!</definedName>
    <definedName name="YKBMARTGERÇ">#REF!</definedName>
    <definedName name="ykbod">#REF!</definedName>
    <definedName name="YOK" hidden="1">{#N/A,#N/A,FALSE,"MALİTABLOLAR"}</definedName>
    <definedName name="yuuyjjj" hidden="1">{#N/A,#N/A,FALSE,"Sheet1 (2)"}</definedName>
    <definedName name="yuyuyrjysu" hidden="1">{#N/A,#N/A,FALSE,"Sheet1 (2)"}</definedName>
    <definedName name="YY" hidden="1">{#N/A,#N/A,FALSE,"MALİTABLOLAR"}</definedName>
    <definedName name="yyy" hidden="1">{#N/A,#N/A,FALSE,"Sheet1 (2)"}</definedName>
    <definedName name="z" hidden="1">#REF!</definedName>
    <definedName name="zdfbfa" hidden="1">{#N/A,#N/A,FALSE,"1997 P&amp;L(pk) (Atlanta)";#N/A,#N/A,FALSE,"ONGOING P&amp;L(PK)(Atlanta)"}</definedName>
    <definedName name="Ze">#REF!</definedName>
    <definedName name="ZEDPAS">#REF!</definedName>
    <definedName name="ZEYNEP" localSheetId="2" hidden="1">{#N/A,#N/A,FALSE,"Sheet1 (2)"}</definedName>
    <definedName name="ZEYNEP" hidden="1">{#N/A,#N/A,FALSE,"Sheet1 (2)"}</definedName>
    <definedName name="zizi" hidden="1">{#N/A,#N/A,FALSE,"MALİTABLOLAR"}</definedName>
    <definedName name="zxc" hidden="1">{#N/A,#N/A,FALSE,"Sheet1 (2)"}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2" l="1"/>
  <c r="H30" i="12"/>
  <c r="H29" i="12"/>
  <c r="H28" i="12"/>
  <c r="E9" i="12"/>
  <c r="N28" i="12"/>
  <c r="K17" i="12"/>
  <c r="K16" i="12"/>
  <c r="E10" i="12"/>
  <c r="G28" i="12"/>
  <c r="Q16" i="12"/>
  <c r="Q17" i="12"/>
  <c r="S17" i="12"/>
  <c r="S16" i="12"/>
  <c r="I16" i="12"/>
  <c r="I17" i="12"/>
  <c r="K21" i="12" l="1"/>
  <c r="Q21" i="12"/>
  <c r="Q20" i="12"/>
  <c r="K20" i="12" l="1"/>
  <c r="Q19" i="12"/>
  <c r="K19" i="12"/>
  <c r="Q18" i="12"/>
  <c r="K18" i="12"/>
  <c r="K15" i="12"/>
  <c r="Q15" i="12"/>
  <c r="R22" i="12" l="1"/>
  <c r="R28" i="12" s="1"/>
  <c r="R26" i="12"/>
  <c r="P23" i="12"/>
  <c r="Q27" i="12"/>
  <c r="P25" i="12"/>
  <c r="P28" i="12" l="1"/>
  <c r="M23" i="12"/>
  <c r="K23" i="12" s="1"/>
  <c r="M24" i="12"/>
  <c r="K24" i="12" s="1"/>
  <c r="M25" i="12"/>
  <c r="K25" i="12" s="1"/>
  <c r="M26" i="12"/>
  <c r="M27" i="12"/>
  <c r="M22" i="12"/>
  <c r="L28" i="12"/>
  <c r="G24" i="12"/>
  <c r="G25" i="12"/>
  <c r="I25" i="12" s="1"/>
  <c r="G18" i="12"/>
  <c r="G19" i="12"/>
  <c r="G20" i="12"/>
  <c r="I20" i="12" s="1"/>
  <c r="G21" i="12"/>
  <c r="I21" i="12" s="1"/>
  <c r="G22" i="12"/>
  <c r="I22" i="12" s="1"/>
  <c r="G23" i="12"/>
  <c r="I23" i="12" s="1"/>
  <c r="G26" i="12"/>
  <c r="I26" i="12" s="1"/>
  <c r="G27" i="12"/>
  <c r="I27" i="12" s="1"/>
  <c r="G15" i="12"/>
  <c r="S15" i="12"/>
  <c r="I24" i="12" l="1"/>
  <c r="G30" i="12"/>
  <c r="G29" i="12"/>
  <c r="E8" i="12" l="1"/>
  <c r="E7" i="12" s="1"/>
  <c r="I18" i="12"/>
  <c r="I19" i="12"/>
  <c r="I15" i="12"/>
  <c r="L4" i="14" l="1"/>
  <c r="L3" i="14" l="1"/>
  <c r="L5" i="14" l="1"/>
  <c r="N5" i="14" s="1"/>
  <c r="L6" i="14" l="1"/>
  <c r="N6" i="14" s="1"/>
  <c r="L7" i="14" l="1"/>
  <c r="N7" i="14" s="1"/>
  <c r="L8" i="14" l="1"/>
  <c r="N8" i="14" s="1"/>
  <c r="H7" i="10" l="1"/>
  <c r="E7" i="10"/>
  <c r="E6" i="10"/>
  <c r="E8" i="10"/>
  <c r="E5" i="10"/>
  <c r="E4" i="10"/>
  <c r="E6" i="12"/>
</calcChain>
</file>

<file path=xl/sharedStrings.xml><?xml version="1.0" encoding="utf-8"?>
<sst xmlns="http://schemas.openxmlformats.org/spreadsheetml/2006/main" count="140" uniqueCount="83">
  <si>
    <t>Marka:</t>
  </si>
  <si>
    <t>Kampanya Adı:</t>
  </si>
  <si>
    <t>Kampanya Dönemi:</t>
  </si>
  <si>
    <t>Planlanan Herşey Dahil  Kampanya Bütçesi:</t>
  </si>
  <si>
    <t>Kalan Plan Bütçesi:</t>
  </si>
  <si>
    <t>Gerçekleşen  Kampanya Maliyeti:</t>
  </si>
  <si>
    <t>Gerçekleşen Yayın Maliyeti:</t>
  </si>
  <si>
    <t>Gerçekleşen Adserveri Bedeli:</t>
  </si>
  <si>
    <t>Gerçekleşen AHB Bedeli:</t>
  </si>
  <si>
    <t>Platform</t>
  </si>
  <si>
    <t>Mecra</t>
  </si>
  <si>
    <t>Site/Network</t>
  </si>
  <si>
    <t>Kategori / Hedefleme</t>
  </si>
  <si>
    <t>Yayın Türü</t>
  </si>
  <si>
    <t>Planlanan Impression/View</t>
  </si>
  <si>
    <t>Desktop / Mobile</t>
  </si>
  <si>
    <t>Youtube</t>
  </si>
  <si>
    <t>Hedeflemeli Yayın</t>
  </si>
  <si>
    <t>Meta</t>
  </si>
  <si>
    <t>Video Views</t>
  </si>
  <si>
    <t>-</t>
  </si>
  <si>
    <t>Reach</t>
  </si>
  <si>
    <t>Metrik</t>
  </si>
  <si>
    <t>Hedef</t>
  </si>
  <si>
    <t>Nisan Hedef</t>
  </si>
  <si>
    <t>Şubat</t>
  </si>
  <si>
    <t>Mart</t>
  </si>
  <si>
    <t>Trafik</t>
  </si>
  <si>
    <t>Teklif</t>
  </si>
  <si>
    <t>Randevu</t>
  </si>
  <si>
    <t>MH Onaylı Randevu</t>
  </si>
  <si>
    <t>Ziyaret</t>
  </si>
  <si>
    <t>Satın alım</t>
  </si>
  <si>
    <t>Adet</t>
  </si>
  <si>
    <t>Oran</t>
  </si>
  <si>
    <t>Birim Maliyet</t>
  </si>
  <si>
    <t>Sorgu</t>
  </si>
  <si>
    <t>MH Onay</t>
  </si>
  <si>
    <t>Satın Alma</t>
  </si>
  <si>
    <t>Performans Maliyet</t>
  </si>
  <si>
    <t>Click</t>
  </si>
  <si>
    <t>CTR %</t>
  </si>
  <si>
    <t>%100 VCR</t>
  </si>
  <si>
    <t xml:space="preserve"> Planlanan Yayın Bedeli</t>
  </si>
  <si>
    <t>Gerçekleşen Yayın Maliyeti</t>
  </si>
  <si>
    <t>Unit Cost</t>
  </si>
  <si>
    <t>Planlanan Unit Cost       (CPM, CPV, CPC)</t>
  </si>
  <si>
    <t>Gerçekleşeni Unit Cost 
(CPM, CPV,  CPC)</t>
  </si>
  <si>
    <t>Video Completion</t>
  </si>
  <si>
    <t>Secondary Metrics</t>
  </si>
  <si>
    <t>Objektive</t>
  </si>
  <si>
    <t>Gerçekleşme Oranı</t>
  </si>
  <si>
    <t>Budget</t>
  </si>
  <si>
    <t>İndirim Kampanyası</t>
  </si>
  <si>
    <t>Google</t>
  </si>
  <si>
    <t>Search</t>
  </si>
  <si>
    <t>Non-skippable</t>
  </si>
  <si>
    <t>Connected Tv</t>
  </si>
  <si>
    <t>IG -FB (Reels &amp; Story)</t>
  </si>
  <si>
    <t>Traffic</t>
  </si>
  <si>
    <t>TikTok</t>
  </si>
  <si>
    <t>Traffc</t>
  </si>
  <si>
    <t>Pinterest</t>
  </si>
  <si>
    <t>Hefelemeli Yayın</t>
  </si>
  <si>
    <t>Video View</t>
  </si>
  <si>
    <t>Tooplay</t>
  </si>
  <si>
    <t>Hedeflemeli Yayın              (Now, Star Tv, Puhu, Show)</t>
  </si>
  <si>
    <t>Preroll</t>
  </si>
  <si>
    <t>Oasis</t>
  </si>
  <si>
    <t>Network Geneli</t>
  </si>
  <si>
    <t>Big &amp; Bold Banner CPC</t>
  </si>
  <si>
    <t>Refresh</t>
  </si>
  <si>
    <t>Native CPC</t>
  </si>
  <si>
    <t xml:space="preserve">Bond </t>
  </si>
  <si>
    <t>Gaming App</t>
  </si>
  <si>
    <t>In - Game Video</t>
  </si>
  <si>
    <t>Go Viral</t>
  </si>
  <si>
    <t>Gerçekleşen Impression/View</t>
  </si>
  <si>
    <t>All in</t>
  </si>
  <si>
    <t>Display CPC</t>
  </si>
  <si>
    <t>TLC KLİMA</t>
  </si>
  <si>
    <t>Ağustos</t>
  </si>
  <si>
    <t>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</si>
</sst>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₺&quot;#,##0"/>
    <numFmt numFmtId="166" formatCode="_-[$₺-41F]* #,##0.00_-;\-[$₺-41F]* #,##0.00_-;_-[$₺-41F]* &quot;-&quot;??_-;_-@_-"/>
    <numFmt numFmtId="167" formatCode="&quot;₺&quot;#,##0.00"/>
    <numFmt numFmtId="168" formatCode="0.0%"/>
    <numFmt numFmtId="169" formatCode="#,##0\ &quot;view&quot;"/>
    <numFmt numFmtId="170" formatCode="#,##0\ &quot;click&quot;"/>
    <numFmt numFmtId="171" formatCode="#,##0\ &quot;imp&quot;"/>
    <numFmt numFmtId="172" formatCode="#,##0\ &quot;reach&quot;"/>
  </numFmts>
  <fonts count="27" x14ac:knownFonts="1">
    <font>
      <sz val="11"/>
      <color theme="1"/>
      <name val="Calibri"/>
      <family val="2"/>
      <charset val="162"/>
      <scheme val="minor"/>
    </font>
    <font>
      <sz val="10"/>
      <name val="Arial Tur"/>
    </font>
    <font>
      <sz val="1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charset val="162"/>
      <scheme val="minor"/>
    </font>
    <font>
      <sz val="14"/>
      <color theme="1"/>
      <name val="Poppins"/>
      <charset val="162"/>
    </font>
    <font>
      <b/>
      <sz val="14"/>
      <color theme="0"/>
      <name val="Poppins"/>
      <charset val="162"/>
    </font>
    <font>
      <sz val="14"/>
      <color rgb="FF000000"/>
      <name val="Poppins"/>
      <charset val="162"/>
    </font>
    <font>
      <b/>
      <sz val="14"/>
      <color theme="1"/>
      <name val="Poppins"/>
      <charset val="162"/>
    </font>
    <font>
      <b/>
      <sz val="16"/>
      <color theme="1"/>
      <name val="Poppins"/>
      <charset val="162"/>
    </font>
    <font>
      <sz val="11"/>
      <name val="Calibri"/>
      <family val="2"/>
      <charset val="162"/>
    </font>
    <font>
      <b/>
      <u/>
      <sz val="14"/>
      <color rgb="FFC00000"/>
      <name val="Poppins"/>
      <charset val="162"/>
    </font>
    <font>
      <b/>
      <sz val="18"/>
      <color rgb="FF0070C0"/>
      <name val="Poppins"/>
      <charset val="162"/>
    </font>
    <font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Poppins"/>
      <charset val="162"/>
    </font>
    <font>
      <b/>
      <sz val="16"/>
      <color theme="0"/>
      <name val="Poppins"/>
      <charset val="162"/>
    </font>
    <font>
      <b/>
      <sz val="13"/>
      <color theme="0"/>
      <name val="Poppins"/>
      <charset val="162"/>
    </font>
    <font>
      <sz val="14"/>
      <color theme="0"/>
      <name val="Poppins"/>
      <charset val="162"/>
    </font>
    <font>
      <b/>
      <u/>
      <sz val="12"/>
      <color rgb="FFC00000"/>
      <name val="Poppins"/>
      <charset val="16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6" fillId="0" borderId="0"/>
    <xf numFmtId="0" fontId="19" fillId="0" borderId="0"/>
    <xf numFmtId="0" fontId="20" fillId="0" borderId="0"/>
    <xf numFmtId="44" fontId="4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9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10" fontId="8" fillId="6" borderId="0" xfId="0" applyNumberFormat="1" applyFont="1" applyFill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10" fontId="7" fillId="7" borderId="6" xfId="0" applyNumberFormat="1" applyFont="1" applyFill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5" fontId="0" fillId="0" borderId="0" xfId="0" applyNumberFormat="1"/>
    <xf numFmtId="165" fontId="0" fillId="0" borderId="6" xfId="0" applyNumberFormat="1" applyBorder="1" applyAlignment="1">
      <alignment horizontal="center"/>
    </xf>
    <xf numFmtId="165" fontId="7" fillId="7" borderId="6" xfId="0" applyNumberFormat="1" applyFont="1" applyFill="1" applyBorder="1" applyAlignment="1">
      <alignment horizontal="center"/>
    </xf>
    <xf numFmtId="9" fontId="0" fillId="0" borderId="0" xfId="9" applyFont="1"/>
    <xf numFmtId="0" fontId="0" fillId="6" borderId="6" xfId="0" applyFill="1" applyBorder="1" applyAlignment="1">
      <alignment horizontal="center"/>
    </xf>
    <xf numFmtId="168" fontId="0" fillId="6" borderId="6" xfId="0" applyNumberFormat="1" applyFill="1" applyBorder="1" applyAlignment="1">
      <alignment horizontal="center"/>
    </xf>
    <xf numFmtId="9" fontId="0" fillId="8" borderId="6" xfId="0" applyNumberForma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 wrapText="1"/>
    </xf>
    <xf numFmtId="44" fontId="17" fillId="0" borderId="0" xfId="0" applyNumberFormat="1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9" fontId="13" fillId="0" borderId="7" xfId="1" applyNumberFormat="1" applyFont="1" applyBorder="1" applyAlignment="1">
      <alignment horizontal="center" vertical="center"/>
    </xf>
    <xf numFmtId="9" fontId="6" fillId="0" borderId="0" xfId="9" applyFont="1" applyAlignment="1">
      <alignment horizontal="center" vertical="center"/>
    </xf>
    <xf numFmtId="44" fontId="6" fillId="0" borderId="0" xfId="6" applyFont="1" applyAlignment="1">
      <alignment horizontal="center" vertical="center"/>
    </xf>
    <xf numFmtId="44" fontId="0" fillId="0" borderId="0" xfId="6" applyFont="1"/>
    <xf numFmtId="172" fontId="13" fillId="0" borderId="7" xfId="1" applyNumberFormat="1" applyFont="1" applyBorder="1" applyAlignment="1">
      <alignment horizontal="center" vertical="center"/>
    </xf>
    <xf numFmtId="170" fontId="13" fillId="0" borderId="7" xfId="1" applyNumberFormat="1" applyFont="1" applyBorder="1" applyAlignment="1">
      <alignment horizontal="center" vertical="center"/>
    </xf>
    <xf numFmtId="0" fontId="22" fillId="0" borderId="0" xfId="0" applyFont="1"/>
    <xf numFmtId="0" fontId="23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170" fontId="12" fillId="9" borderId="11" xfId="0" applyNumberFormat="1" applyFont="1" applyFill="1" applyBorder="1" applyAlignment="1">
      <alignment horizontal="center" vertical="center" wrapText="1"/>
    </xf>
    <xf numFmtId="169" fontId="12" fillId="9" borderId="7" xfId="1" applyNumberFormat="1" applyFont="1" applyFill="1" applyBorder="1" applyAlignment="1">
      <alignment horizontal="center" vertical="center"/>
    </xf>
    <xf numFmtId="166" fontId="24" fillId="10" borderId="7" xfId="6" applyNumberFormat="1" applyFont="1" applyFill="1" applyBorder="1" applyAlignment="1">
      <alignment horizontal="center" vertical="center"/>
    </xf>
    <xf numFmtId="171" fontId="17" fillId="0" borderId="0" xfId="0" applyNumberFormat="1" applyFont="1" applyAlignment="1">
      <alignment horizontal="center" vertical="center" wrapText="1"/>
    </xf>
    <xf numFmtId="171" fontId="12" fillId="9" borderId="7" xfId="1" applyNumberFormat="1" applyFont="1" applyFill="1" applyBorder="1" applyAlignment="1">
      <alignment horizontal="center" vertical="center"/>
    </xf>
    <xf numFmtId="10" fontId="13" fillId="0" borderId="7" xfId="1" applyNumberFormat="1" applyFont="1" applyBorder="1" applyAlignment="1">
      <alignment horizontal="center" vertical="center"/>
    </xf>
    <xf numFmtId="9" fontId="13" fillId="0" borderId="7" xfId="1" applyNumberFormat="1" applyFont="1" applyBorder="1" applyAlignment="1">
      <alignment horizontal="center" vertical="center"/>
    </xf>
    <xf numFmtId="170" fontId="17" fillId="0" borderId="0" xfId="0" applyNumberFormat="1" applyFont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9" fontId="17" fillId="0" borderId="0" xfId="0" applyNumberFormat="1" applyFont="1" applyAlignment="1">
      <alignment horizontal="center" vertical="center" wrapText="1"/>
    </xf>
    <xf numFmtId="9" fontId="12" fillId="9" borderId="7" xfId="9" applyFont="1" applyFill="1" applyBorder="1" applyAlignment="1">
      <alignment horizontal="center" vertical="center"/>
    </xf>
    <xf numFmtId="170" fontId="12" fillId="9" borderId="7" xfId="1" applyNumberFormat="1" applyFont="1" applyFill="1" applyBorder="1" applyAlignment="1">
      <alignment horizontal="center" vertical="center"/>
    </xf>
    <xf numFmtId="171" fontId="26" fillId="0" borderId="0" xfId="0" applyNumberFormat="1" applyFont="1" applyAlignment="1">
      <alignment horizontal="center" vertical="center" wrapText="1"/>
    </xf>
    <xf numFmtId="169" fontId="26" fillId="0" borderId="0" xfId="0" applyNumberFormat="1" applyFont="1" applyAlignment="1">
      <alignment horizontal="center" vertical="center" wrapText="1"/>
    </xf>
    <xf numFmtId="170" fontId="26" fillId="0" borderId="0" xfId="0" applyNumberFormat="1" applyFont="1" applyAlignment="1">
      <alignment horizontal="center" vertical="center" wrapText="1"/>
    </xf>
    <xf numFmtId="172" fontId="17" fillId="0" borderId="0" xfId="0" applyNumberFormat="1" applyFont="1" applyAlignment="1">
      <alignment horizontal="center" vertical="center" wrapText="1"/>
    </xf>
    <xf numFmtId="171" fontId="13" fillId="0" borderId="7" xfId="1" applyNumberFormat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167" fontId="14" fillId="5" borderId="0" xfId="0" applyNumberFormat="1" applyFont="1" applyFill="1" applyAlignment="1">
      <alignment horizontal="center" vertical="center"/>
    </xf>
    <xf numFmtId="167" fontId="14" fillId="5" borderId="4" xfId="0" applyNumberFormat="1" applyFont="1" applyFill="1" applyBorder="1" applyAlignment="1">
      <alignment horizontal="center" vertical="center"/>
    </xf>
    <xf numFmtId="167" fontId="18" fillId="5" borderId="0" xfId="0" applyNumberFormat="1" applyFont="1" applyFill="1" applyAlignment="1">
      <alignment horizontal="center" vertical="center"/>
    </xf>
    <xf numFmtId="167" fontId="18" fillId="5" borderId="4" xfId="0" applyNumberFormat="1" applyFont="1" applyFill="1" applyBorder="1" applyAlignment="1">
      <alignment horizontal="center" vertical="center"/>
    </xf>
    <xf numFmtId="167" fontId="15" fillId="5" borderId="0" xfId="0" applyNumberFormat="1" applyFont="1" applyFill="1" applyAlignment="1">
      <alignment horizontal="center" vertical="center"/>
    </xf>
    <xf numFmtId="167" fontId="15" fillId="5" borderId="4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right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right" vertical="center"/>
    </xf>
    <xf numFmtId="0" fontId="12" fillId="9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7" fontId="11" fillId="3" borderId="0" xfId="0" applyNumberFormat="1" applyFont="1" applyFill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169" fontId="12" fillId="9" borderId="9" xfId="1" applyNumberFormat="1" applyFont="1" applyFill="1" applyBorder="1" applyAlignment="1">
      <alignment horizontal="center" vertical="center"/>
    </xf>
    <xf numFmtId="167" fontId="11" fillId="3" borderId="0" xfId="0" applyNumberFormat="1" applyFont="1" applyFill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right" vertical="center"/>
    </xf>
    <xf numFmtId="0" fontId="12" fillId="4" borderId="9" xfId="0" applyFont="1" applyFill="1" applyBorder="1" applyAlignment="1">
      <alignment horizontal="right" vertical="center"/>
    </xf>
    <xf numFmtId="167" fontId="11" fillId="3" borderId="9" xfId="0" applyNumberFormat="1" applyFont="1" applyFill="1" applyBorder="1" applyAlignment="1">
      <alignment horizontal="center" vertical="center"/>
    </xf>
    <xf numFmtId="167" fontId="11" fillId="3" borderId="10" xfId="0" applyNumberFormat="1" applyFont="1" applyFill="1" applyBorder="1" applyAlignment="1">
      <alignment horizontal="center" vertical="center"/>
    </xf>
  </cellXfs>
  <cellStyles count="20">
    <cellStyle name="Comma 2" xfId="17" xr:uid="{00000000-0005-0000-0000-000000000000}"/>
    <cellStyle name="Currency" xfId="6" builtinId="4"/>
    <cellStyle name="Currency 2" xfId="8" xr:uid="{00000000-0005-0000-0000-000001000000}"/>
    <cellStyle name="Currency 3" xfId="14" xr:uid="{00000000-0005-0000-0000-000002000000}"/>
    <cellStyle name="Currency 4 3 3 3" xfId="4" xr:uid="{00000000-0005-0000-0000-000003000000}"/>
    <cellStyle name="Normal" xfId="0" builtinId="0"/>
    <cellStyle name="Normal 2" xfId="2" xr:uid="{00000000-0005-0000-0000-000005000000}"/>
    <cellStyle name="Normal 2 2" xfId="10" xr:uid="{00000000-0005-0000-0000-000006000000}"/>
    <cellStyle name="Normal 3" xfId="5" xr:uid="{00000000-0005-0000-0000-000007000000}"/>
    <cellStyle name="Normal 4" xfId="7" xr:uid="{00000000-0005-0000-0000-000008000000}"/>
    <cellStyle name="Normal 5" xfId="11" xr:uid="{00000000-0005-0000-0000-000009000000}"/>
    <cellStyle name="Normal 6" xfId="12" xr:uid="{00000000-0005-0000-0000-00000A000000}"/>
    <cellStyle name="Normal 7" xfId="13" xr:uid="{00000000-0005-0000-0000-00000B000000}"/>
    <cellStyle name="Normal 8" xfId="15" xr:uid="{00000000-0005-0000-0000-00000C000000}"/>
    <cellStyle name="Normal_Zed_s'nek_UCLA_onlineplan_Feb27" xfId="1" xr:uid="{00000000-0005-0000-0000-00000D000000}"/>
    <cellStyle name="ParaBirimi 2" xfId="16" xr:uid="{00000000-0005-0000-0000-00000F000000}"/>
    <cellStyle name="Percent" xfId="9" builtinId="5"/>
    <cellStyle name="Percent 2" xfId="3" xr:uid="{00000000-0005-0000-0000-000010000000}"/>
    <cellStyle name="Virgül 2" xfId="18" xr:uid="{761853F2-0482-4D4A-A26C-1360E84B202E}"/>
    <cellStyle name="Yüzde 2" xfId="19" xr:uid="{6ED1C7BE-0809-4081-B48E-A436BDD49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1999/Plans/Alo%20Hasar%20Hatti/CU%20Derg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2000/Plans/CU%20gaze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YKB/1999/Plans/Turkcell%20Kart%20Kampanya/TURKCELLDEV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2014/UM%20Digital/Plans&amp;%20Reports/TOYOTA/Toyota%20-%20Corolla%20Re-Lansman%20May&#305;s%202014/Report/Coca_Cola_RocnCoke_Digital_MediaPlan_19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/Ykb/2001/01%20January%202001/worldcardocakay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Praktiker/2000/Plans/Praktiker%20March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DATA/EXDATA/CPEXPE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TV&amp;Radio/Pepsi/2002/07%20July%202002/PLANNING/Pepsi/2001/06%20June%202001/PepsiFortuneTeller12ndwaveJune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ril/02%20February%201999/PRILARALIK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File/MEDIA/PLANNING/Ykb/2001/01%20January%202001/worldcardocakays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medya-my.sharepoint.com/UMDATA/2014/UM%20Digital/Plans&amp;%20Reports/TOYOTA/Toyota%20-%20Yaris%20Hybrid%20Lansman%20Aral&#305;k%202014/Toyota_Yaris%20Hybrid%20Lansman_Aral&#305;k%202014_02122014_v2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Programyede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earch\Gruppe\MUELLER\TV-CHART\1999\DAUB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Omdsql/buying/Internet/2011/Plans%20&amp;%20Reports/VODAFONE/Plans%202011/VF%20-%20Servis%20Kampanyas&#305;%20Mart%202011/VF_Servis_Kampanyas&#305;_Digital_MediaPlan_24.0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ersil/03%20March%201999/PERSILMart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dia\Digital\2023\Markalar\ULUDA&#286;\03_Mart\Plan\Uluda&#287;%20Limonata&amp;&#350;erbet%20Digital%20Plan&#305;2023%20-175K.xlsx" TargetMode="External"/><Relationship Id="rId1" Type="http://schemas.openxmlformats.org/officeDocument/2006/relationships/externalLinkPath" Target="https://icpmedya-my.sharepoint.com/Media/Digital/2023/Markalar/ULUDA&#286;/03_Mart/Plan/Uluda&#287;%20Limonata&amp;&#350;erbet%20Digital%20Plan&#305;2023%20-175K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Istmewzzz02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SERS/MEDPLN/Client/Renault/Kangoo%20VP/Satis/Bahsenligi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08DC1\TURKCELLDEV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YKB/1999/Plans/Turkcell%20Kart%20Kampanya/TURKCELLDEV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Tnt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Dropdown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\\Server\LOCALTIME\COMMUNICATIO"/>
      <sheetName val="France - tables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Köprü"/>
      <sheetName val="Proposal Details"/>
      <sheetName val="Hidden_Data"/>
      <sheetName val="Propos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tv spot list"/>
      <sheetName val="Copies"/>
      <sheetName val="CU gazete"/>
      <sheetName val="Ekim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network"/>
      <sheetName val="creativetype"/>
      <sheetName val="Mediatype"/>
      <sheetName val="Calculation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  <row r="36">
          <cell r="A36" t="str">
            <v>Fixed - 11 hours</v>
          </cell>
        </row>
        <row r="37">
          <cell r="A37" t="str">
            <v>Fixed - 12 hours</v>
          </cell>
        </row>
        <row r="38">
          <cell r="A38" t="str">
            <v>Fixed - 13 hours</v>
          </cell>
        </row>
        <row r="39">
          <cell r="A39" t="str">
            <v>Fixed - 14 hours</v>
          </cell>
        </row>
        <row r="40">
          <cell r="A40" t="str">
            <v>Fixed - 15 hours</v>
          </cell>
        </row>
        <row r="41">
          <cell r="A41" t="str">
            <v>Fixed - 16 hours</v>
          </cell>
        </row>
        <row r="42">
          <cell r="A42" t="str">
            <v>Fixed - 17 hours</v>
          </cell>
        </row>
        <row r="43">
          <cell r="A43" t="str">
            <v>Fixed - 18 hours</v>
          </cell>
        </row>
        <row r="44">
          <cell r="A44" t="str">
            <v>Fixed - 19 hours</v>
          </cell>
        </row>
        <row r="45">
          <cell r="A45" t="str">
            <v>Fixed - 20 hours</v>
          </cell>
        </row>
        <row r="46">
          <cell r="A46" t="str">
            <v>Fixed - 21 hours</v>
          </cell>
        </row>
        <row r="47">
          <cell r="A47" t="str">
            <v>Fixed - 22 hours</v>
          </cell>
        </row>
        <row r="48">
          <cell r="A48" t="str">
            <v>Fixed - 23 hours</v>
          </cell>
        </row>
      </sheetData>
      <sheetData sheetId="1" refreshError="1">
        <row r="1">
          <cell r="A1" t="str">
            <v>ADSMRT</v>
          </cell>
        </row>
        <row r="2">
          <cell r="A2" t="str">
            <v>ADTECH</v>
          </cell>
        </row>
        <row r="3">
          <cell r="A3" t="str">
            <v>AHMETÇELİK</v>
          </cell>
        </row>
        <row r="4">
          <cell r="A4" t="str">
            <v>AIRKULE</v>
          </cell>
        </row>
        <row r="5">
          <cell r="A5" t="str">
            <v>AKAKCE</v>
          </cell>
        </row>
        <row r="6">
          <cell r="A6" t="str">
            <v>AKAMPÜS</v>
          </cell>
        </row>
        <row r="7">
          <cell r="A7" t="str">
            <v>AKMEDYA</v>
          </cell>
        </row>
        <row r="8">
          <cell r="A8" t="str">
            <v>ALTINTEKNOLOJİ</v>
          </cell>
        </row>
        <row r="9">
          <cell r="A9" t="str">
            <v>ANAMEDYA</v>
          </cell>
        </row>
        <row r="10">
          <cell r="A10" t="str">
            <v>ANNEYIZBIZ</v>
          </cell>
        </row>
        <row r="11">
          <cell r="A11" t="str">
            <v>APLUSMEDYA</v>
          </cell>
        </row>
        <row r="12">
          <cell r="A12" t="str">
            <v>ARKİTERABİLİŞİMHİZMETLERİ</v>
          </cell>
        </row>
        <row r="13">
          <cell r="A13" t="str">
            <v>BEE</v>
          </cell>
        </row>
        <row r="14">
          <cell r="A14" t="str">
            <v>BİAİLETİŞİMREKLAMVEDANIŞM</v>
          </cell>
        </row>
        <row r="15">
          <cell r="A15" t="str">
            <v>BİLETIX</v>
          </cell>
        </row>
        <row r="16">
          <cell r="A16" t="str">
            <v>BİLYABİLİŞİM</v>
          </cell>
        </row>
        <row r="17">
          <cell r="A17" t="str">
            <v>BİRMENBİLİŞİMİNŞAATMEDYA</v>
          </cell>
        </row>
        <row r="18">
          <cell r="A18" t="str">
            <v>BORSAGÜNDEM</v>
          </cell>
        </row>
        <row r="19">
          <cell r="A19" t="str">
            <v>BOXOFFICETURKIYE</v>
          </cell>
        </row>
        <row r="20">
          <cell r="A20" t="str">
            <v>BOYUTYAYINGRUBU</v>
          </cell>
        </row>
        <row r="21">
          <cell r="A21" t="str">
            <v>CİNER</v>
          </cell>
        </row>
        <row r="22">
          <cell r="A22" t="str">
            <v>COOLSHARK</v>
          </cell>
        </row>
        <row r="23">
          <cell r="A23" t="str">
            <v>COMMEDYA</v>
          </cell>
        </row>
        <row r="24">
          <cell r="A24" t="str">
            <v>DATAPROFIL</v>
          </cell>
        </row>
        <row r="25">
          <cell r="A25" t="str">
            <v>DIGITOUCH</v>
          </cell>
        </row>
        <row r="26">
          <cell r="A26" t="str">
            <v>DMARKET</v>
          </cell>
        </row>
        <row r="27">
          <cell r="A27" t="str">
            <v>DOĞUŞGRUP</v>
          </cell>
        </row>
        <row r="28">
          <cell r="A28" t="str">
            <v>DOKTORSİTESİ</v>
          </cell>
        </row>
        <row r="29">
          <cell r="A29" t="str">
            <v>DÜNYAAKTÜEL</v>
          </cell>
        </row>
        <row r="30">
          <cell r="A30" t="str">
            <v>EOTODERGİ</v>
          </cell>
        </row>
        <row r="31">
          <cell r="A31" t="str">
            <v>ERAMEDYA</v>
          </cell>
        </row>
        <row r="32">
          <cell r="A32" t="str">
            <v>ETUKETICI</v>
          </cell>
        </row>
        <row r="33">
          <cell r="A33" t="str">
            <v>EUROMESSAGE</v>
          </cell>
        </row>
        <row r="34">
          <cell r="A34" t="str">
            <v>EVO</v>
          </cell>
        </row>
        <row r="35">
          <cell r="A35" t="str">
            <v>FEZA</v>
          </cell>
        </row>
        <row r="36">
          <cell r="A36" t="str">
            <v>FİNANSGÜNDEM</v>
          </cell>
        </row>
        <row r="37">
          <cell r="A37" t="str">
            <v>FİNANSTREND</v>
          </cell>
        </row>
        <row r="38">
          <cell r="A38" t="str">
            <v>FOX</v>
          </cell>
        </row>
        <row r="39">
          <cell r="A39" t="str">
            <v>GENART</v>
          </cell>
        </row>
        <row r="40">
          <cell r="A40" t="str">
            <v>GENÇONLINE</v>
          </cell>
        </row>
        <row r="41">
          <cell r="A41" t="str">
            <v>GİTTİGİDİYOR</v>
          </cell>
        </row>
        <row r="42">
          <cell r="A42" t="str">
            <v>GOOGLEIRELANDLİMİTED</v>
          </cell>
        </row>
        <row r="43">
          <cell r="A43" t="str">
            <v>HÜRRİYET</v>
          </cell>
        </row>
        <row r="44">
          <cell r="A44" t="str">
            <v>IMDER</v>
          </cell>
        </row>
        <row r="45">
          <cell r="A45" t="str">
            <v>INTERPRO</v>
          </cell>
        </row>
        <row r="46">
          <cell r="A46" t="str">
            <v>İHLASFUARHİZM</v>
          </cell>
        </row>
        <row r="47">
          <cell r="A47" t="str">
            <v>İNDEKS</v>
          </cell>
        </row>
        <row r="48">
          <cell r="A48" t="str">
            <v>İSTANBULNET</v>
          </cell>
        </row>
        <row r="49">
          <cell r="A49" t="str">
            <v>İZ</v>
          </cell>
        </row>
        <row r="50">
          <cell r="A50" t="str">
            <v>KADINLARARASI</v>
          </cell>
        </row>
        <row r="51">
          <cell r="A51" t="str">
            <v>KADINLARKLUBU</v>
          </cell>
        </row>
        <row r="52">
          <cell r="A52" t="str">
            <v>KARİYERNET</v>
          </cell>
        </row>
        <row r="53">
          <cell r="A53" t="str">
            <v>KOZA</v>
          </cell>
        </row>
        <row r="54">
          <cell r="A54" t="str">
            <v>LİNKZ</v>
          </cell>
        </row>
        <row r="55">
          <cell r="A55" t="str">
            <v>LOCALDİGİTAL</v>
          </cell>
        </row>
        <row r="56">
          <cell r="A56" t="str">
            <v>LOGARİTMA</v>
          </cell>
        </row>
        <row r="57">
          <cell r="A57" t="str">
            <v>LOJİPORT</v>
          </cell>
        </row>
        <row r="58">
          <cell r="A58" t="str">
            <v>M3WORKS</v>
          </cell>
        </row>
        <row r="59">
          <cell r="A59" t="str">
            <v>MAGNETBİLİŞİM</v>
          </cell>
        </row>
        <row r="60">
          <cell r="A60" t="str">
            <v>MAKSİMUM</v>
          </cell>
        </row>
        <row r="61">
          <cell r="A61" t="str">
            <v>MARSYAYINCILIK</v>
          </cell>
        </row>
        <row r="62">
          <cell r="A62" t="str">
            <v>MCDDIGITAL</v>
          </cell>
        </row>
        <row r="63">
          <cell r="A63" t="str">
            <v>MEDICON</v>
          </cell>
        </row>
        <row r="64">
          <cell r="A64" t="str">
            <v>MEDYACİN</v>
          </cell>
        </row>
        <row r="65">
          <cell r="A65" t="str">
            <v>MEDYAFARK</v>
          </cell>
        </row>
        <row r="66">
          <cell r="A66" t="str">
            <v>MEDYAGURU</v>
          </cell>
        </row>
        <row r="67">
          <cell r="A67" t="str">
            <v>MEDYAGURU ADKLIK</v>
          </cell>
        </row>
        <row r="68">
          <cell r="A68" t="str">
            <v>MEDYAKLİK</v>
          </cell>
        </row>
        <row r="69">
          <cell r="A69" t="str">
            <v>MEDYAMAGİLETİŞİM</v>
          </cell>
        </row>
        <row r="70">
          <cell r="A70" t="str">
            <v>MEDYANET</v>
          </cell>
        </row>
        <row r="71">
          <cell r="A71" t="str">
            <v>MICROSOFT &amp; NETCOM</v>
          </cell>
        </row>
        <row r="72">
          <cell r="A72" t="str">
            <v>MİLLİYET</v>
          </cell>
        </row>
        <row r="73">
          <cell r="A73" t="str">
            <v>MİLLİYETEMLAK</v>
          </cell>
        </row>
        <row r="74">
          <cell r="A74" t="str">
            <v>MOBILLIFE</v>
          </cell>
        </row>
        <row r="75">
          <cell r="A75" t="str">
            <v>MOBİLERA</v>
          </cell>
        </row>
        <row r="76">
          <cell r="A76" t="str">
            <v>MOBİLİKE</v>
          </cell>
        </row>
        <row r="77">
          <cell r="A77" t="str">
            <v>MOVE</v>
          </cell>
        </row>
        <row r="78">
          <cell r="A78" t="str">
            <v>MUTLUDERGİ</v>
          </cell>
        </row>
        <row r="79">
          <cell r="A79" t="str">
            <v>MYNET</v>
          </cell>
        </row>
        <row r="80">
          <cell r="A80" t="str">
            <v>NETBOOK</v>
          </cell>
        </row>
        <row r="81">
          <cell r="A81" t="str">
            <v>NETBOOK HABERTURK</v>
          </cell>
        </row>
        <row r="82">
          <cell r="A82" t="str">
            <v>NETBOOK MEMURLAR</v>
          </cell>
        </row>
        <row r="83">
          <cell r="A83" t="str">
            <v>NETWORK</v>
          </cell>
        </row>
        <row r="84">
          <cell r="A84" t="str">
            <v>NOKTACOM</v>
          </cell>
        </row>
        <row r="85">
          <cell r="A85" t="str">
            <v>NRAANIMASYON</v>
          </cell>
        </row>
        <row r="86">
          <cell r="A86" t="str">
            <v>ODATV</v>
          </cell>
        </row>
        <row r="87">
          <cell r="A87" t="str">
            <v>ODC</v>
          </cell>
        </row>
        <row r="88">
          <cell r="A88" t="str">
            <v>OMDDIGITAL</v>
          </cell>
        </row>
        <row r="89">
          <cell r="A89" t="str">
            <v>ORTİORTAKLAR</v>
          </cell>
        </row>
        <row r="90">
          <cell r="A90" t="str">
            <v>OTOMOBİLPORT</v>
          </cell>
        </row>
        <row r="91">
          <cell r="A91" t="str">
            <v>OZNMEDYA</v>
          </cell>
        </row>
        <row r="92">
          <cell r="A92" t="str">
            <v>PCLABS</v>
          </cell>
        </row>
        <row r="93">
          <cell r="A93" t="str">
            <v>PERFORMANMAGAZİN</v>
          </cell>
        </row>
        <row r="94">
          <cell r="A94" t="str">
            <v>PRESTIJYAYINCILIK</v>
          </cell>
        </row>
        <row r="95">
          <cell r="A95" t="str">
            <v>PROFARK</v>
          </cell>
        </row>
        <row r="96">
          <cell r="A96" t="str">
            <v>PROJECTHOUSE</v>
          </cell>
        </row>
        <row r="97">
          <cell r="A97" t="str">
            <v>PROJEHABER</v>
          </cell>
        </row>
        <row r="98">
          <cell r="A98" t="str">
            <v>PUBLIK</v>
          </cell>
        </row>
        <row r="99">
          <cell r="A99" t="str">
            <v>PUNTO</v>
          </cell>
        </row>
        <row r="100">
          <cell r="A100" t="str">
            <v>R2D2REKLAM</v>
          </cell>
        </row>
        <row r="101">
          <cell r="A101" t="str">
            <v>REKLAMSTORE</v>
          </cell>
        </row>
        <row r="102">
          <cell r="A102" t="str">
            <v>REKLAMZ</v>
          </cell>
        </row>
        <row r="103">
          <cell r="A103" t="str">
            <v>REKLAMZ POSTA</v>
          </cell>
        </row>
        <row r="104">
          <cell r="A104" t="str">
            <v>RODER</v>
          </cell>
        </row>
        <row r="105">
          <cell r="A105" t="str">
            <v>RÖVAŞATAYAYINCILIK</v>
          </cell>
        </row>
        <row r="106">
          <cell r="A106" t="str">
            <v>SAHİBİNDEN</v>
          </cell>
        </row>
        <row r="107">
          <cell r="A107" t="str">
            <v>SEMYAYINCILIK</v>
          </cell>
        </row>
        <row r="108">
          <cell r="A108" t="str">
            <v>SEMYAYINCILIK IDDAA</v>
          </cell>
        </row>
        <row r="109">
          <cell r="A109" t="str">
            <v>SHIFTDELETE</v>
          </cell>
        </row>
        <row r="110">
          <cell r="A110" t="str">
            <v>TARIMGENTR</v>
          </cell>
        </row>
        <row r="111">
          <cell r="A111" t="str">
            <v>TAŞIMACILAR</v>
          </cell>
        </row>
        <row r="112">
          <cell r="A112" t="str">
            <v>TECHNOLABS</v>
          </cell>
        </row>
        <row r="113">
          <cell r="A113" t="str">
            <v>TEMPO DIGITAL</v>
          </cell>
        </row>
        <row r="114">
          <cell r="A114" t="str">
            <v>TİPEEZ</v>
          </cell>
        </row>
        <row r="115">
          <cell r="A115" t="str">
            <v>TTBOOM</v>
          </cell>
        </row>
        <row r="116">
          <cell r="A116" t="str">
            <v>TURHAZIRBET</v>
          </cell>
        </row>
        <row r="117">
          <cell r="A117" t="str">
            <v>TURKCELL</v>
          </cell>
        </row>
        <row r="118">
          <cell r="A118" t="str">
            <v>TURKTİCARET</v>
          </cell>
        </row>
        <row r="119">
          <cell r="A119" t="str">
            <v>TURKUVAZ</v>
          </cell>
        </row>
        <row r="120">
          <cell r="A120" t="str">
            <v>TÜRKİYETÜKETİCİLER</v>
          </cell>
        </row>
        <row r="121">
          <cell r="A121" t="str">
            <v>ULASIMGAZETESİ</v>
          </cell>
        </row>
        <row r="122">
          <cell r="A122" t="str">
            <v>UND</v>
          </cell>
        </row>
        <row r="123">
          <cell r="A123" t="str">
            <v>UZMANTV</v>
          </cell>
        </row>
        <row r="124">
          <cell r="A124" t="str">
            <v>VODAFONE</v>
          </cell>
        </row>
        <row r="125">
          <cell r="A125" t="str">
            <v>YAPI</v>
          </cell>
        </row>
        <row r="126">
          <cell r="A126" t="str">
            <v>YAPIMSGIHTISASYAYINCILIK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lan"/>
      <sheetName val="ÖDEME"/>
      <sheetName val="tanımlar"/>
      <sheetName val="Copies"/>
      <sheetName val="Exchange"/>
      <sheetName val="Payments"/>
      <sheetName val="Stations"/>
      <sheetName val="Prices"/>
      <sheetName val="HL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Method"/>
      <sheetName val="Network"/>
      <sheetName val="Media Plan"/>
      <sheetName val="Ordino.Sablon"/>
      <sheetName val="MedPlan.Sablon"/>
      <sheetName val="Client"/>
      <sheetName val="Media Type"/>
      <sheetName val="Sites"/>
      <sheetName val="Format"/>
      <sheetName val="Placement"/>
      <sheetName val="Adserving"/>
      <sheetName val="Viewability"/>
      <sheetName val="Indexes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</sheetData>
      <sheetData sheetId="1" refreshError="1">
        <row r="1">
          <cell r="A1" t="str">
            <v>Name</v>
          </cell>
        </row>
        <row r="2">
          <cell r="A2" t="str">
            <v>2025ARENABİLGİSAYAR</v>
          </cell>
        </row>
        <row r="3">
          <cell r="A3" t="str">
            <v>ADNBOOST</v>
          </cell>
        </row>
        <row r="4">
          <cell r="A4" t="str">
            <v>ADNOMIA DIJITAL PAZARLAMA VE MEDYA A.Ş.</v>
          </cell>
        </row>
        <row r="5">
          <cell r="A5" t="str">
            <v>AERODEON</v>
          </cell>
        </row>
        <row r="6">
          <cell r="A6" t="str">
            <v>AĞEĞİTİMAJANSI</v>
          </cell>
        </row>
        <row r="7">
          <cell r="A7" t="str">
            <v>ALTINMECRALAR</v>
          </cell>
        </row>
        <row r="8">
          <cell r="A8" t="str">
            <v>ANADOLUYAKASISELENDİNÇ</v>
          </cell>
        </row>
        <row r="9">
          <cell r="A9" t="str">
            <v>APLUSMEDYA</v>
          </cell>
        </row>
        <row r="10">
          <cell r="A10" t="str">
            <v>APLUSYAZILIM</v>
          </cell>
        </row>
        <row r="11">
          <cell r="A11" t="str">
            <v>APOLLOBİLGİ</v>
          </cell>
        </row>
        <row r="12">
          <cell r="A12" t="str">
            <v>ASAYERDANIŞMANLIK</v>
          </cell>
        </row>
        <row r="13">
          <cell r="A13" t="str">
            <v>BOXOFFICETURKİYE</v>
          </cell>
        </row>
        <row r="14">
          <cell r="A14" t="str">
            <v>BURCUSARAR</v>
          </cell>
        </row>
        <row r="15">
          <cell r="A15" t="str">
            <v>CDOMEDYA</v>
          </cell>
        </row>
        <row r="16">
          <cell r="A16" t="str">
            <v>CLIPKITTURKEY</v>
          </cell>
        </row>
        <row r="17">
          <cell r="A17" t="str">
            <v>COMMEDYA</v>
          </cell>
        </row>
        <row r="18">
          <cell r="A18" t="str">
            <v>COOLSHARKİNTERNET</v>
          </cell>
        </row>
        <row r="19">
          <cell r="A19" t="str">
            <v>ÇİLEKMEDYA</v>
          </cell>
        </row>
        <row r="20">
          <cell r="A20" t="str">
            <v>DAHAİYİYAŞAMREKLAM</v>
          </cell>
        </row>
        <row r="21">
          <cell r="A21" t="str">
            <v>DEKAMEDIA</v>
          </cell>
        </row>
        <row r="22">
          <cell r="A22" t="str">
            <v>DIGITALMARCOMNETWORK</v>
          </cell>
        </row>
        <row r="23">
          <cell r="A23" t="str">
            <v>DOĞANİNTERNET</v>
          </cell>
        </row>
        <row r="24">
          <cell r="A24" t="str">
            <v>DOĞUŞYAYINGRUBU</v>
          </cell>
        </row>
        <row r="25">
          <cell r="A25" t="str">
            <v>DOKTORLARSİTESİ</v>
          </cell>
        </row>
        <row r="26">
          <cell r="A26" t="str">
            <v>DONANIMHABER</v>
          </cell>
        </row>
        <row r="27">
          <cell r="A27" t="str">
            <v>DÜNYA</v>
          </cell>
        </row>
        <row r="28">
          <cell r="A28" t="str">
            <v>EKART</v>
          </cell>
        </row>
        <row r="29">
          <cell r="A29" t="str">
            <v>ENUYGUNCOM</v>
          </cell>
        </row>
        <row r="30">
          <cell r="A30" t="str">
            <v>ESEĞİTİM</v>
          </cell>
        </row>
        <row r="31">
          <cell r="A31" t="str">
            <v>ESM</v>
          </cell>
        </row>
        <row r="32">
          <cell r="A32" t="str">
            <v>ESTETİK YAYINCILIK A.Ş.</v>
          </cell>
        </row>
        <row r="33">
          <cell r="A33" t="str">
            <v>ETAPHAVACILIK</v>
          </cell>
        </row>
        <row r="34">
          <cell r="A34" t="str">
            <v>ETKİYAYINCILIK</v>
          </cell>
        </row>
        <row r="35">
          <cell r="A35" t="str">
            <v>FEZA</v>
          </cell>
        </row>
        <row r="36">
          <cell r="A36" t="str">
            <v>FİNANSTREND</v>
          </cell>
        </row>
        <row r="37">
          <cell r="A37" t="str">
            <v>GCAİLETİŞİM</v>
          </cell>
        </row>
        <row r="38">
          <cell r="A38" t="str">
            <v>GELİŞMİŞMOTOR</v>
          </cell>
        </row>
        <row r="39">
          <cell r="A39" t="str">
            <v>GENART</v>
          </cell>
        </row>
        <row r="40">
          <cell r="A40" t="str">
            <v>GİTTİGİDİYOR</v>
          </cell>
        </row>
        <row r="41">
          <cell r="A41" t="str">
            <v>GOOGLE</v>
          </cell>
        </row>
        <row r="42">
          <cell r="A42" t="str">
            <v>GÜNEŞ</v>
          </cell>
        </row>
        <row r="43">
          <cell r="A43" t="str">
            <v>HÜRRİYET</v>
          </cell>
        </row>
        <row r="44">
          <cell r="A44" t="str">
            <v>INTERNETTE</v>
          </cell>
        </row>
        <row r="45">
          <cell r="A45" t="str">
            <v>İNTERPROMEDYA</v>
          </cell>
        </row>
        <row r="46">
          <cell r="A46" t="str">
            <v>İSTANBULCOM</v>
          </cell>
        </row>
        <row r="47">
          <cell r="A47" t="str">
            <v>İZHALKLAİLİŞKİLER</v>
          </cell>
        </row>
        <row r="48">
          <cell r="A48" t="str">
            <v>KAMPÜSBİLİŞİM</v>
          </cell>
        </row>
        <row r="49">
          <cell r="A49" t="str">
            <v>KARİYERNET</v>
          </cell>
        </row>
        <row r="50">
          <cell r="A50" t="str">
            <v>KARNAVAL</v>
          </cell>
        </row>
        <row r="51">
          <cell r="A51" t="str">
            <v>KATUİNTERNET</v>
          </cell>
        </row>
        <row r="52">
          <cell r="A52" t="str">
            <v>KENSHOOUKLTD</v>
          </cell>
        </row>
        <row r="53">
          <cell r="A53" t="str">
            <v>LEVENTDOĞANMEDYAPLANLAMA</v>
          </cell>
        </row>
        <row r="54">
          <cell r="A54" t="str">
            <v>LİNKZ</v>
          </cell>
        </row>
        <row r="55">
          <cell r="A55" t="str">
            <v>LOGARİTMA</v>
          </cell>
        </row>
        <row r="56">
          <cell r="A56" t="str">
            <v>MAGNETBİLGİ</v>
          </cell>
        </row>
        <row r="57">
          <cell r="A57" t="str">
            <v>MAKSİMUM</v>
          </cell>
        </row>
        <row r="58">
          <cell r="A58" t="str">
            <v>MAPDİJİTAL</v>
          </cell>
        </row>
        <row r="59">
          <cell r="A59" t="str">
            <v>MCCANNİSTANBUL</v>
          </cell>
        </row>
        <row r="60">
          <cell r="A60" t="str">
            <v>MCDTELEKOMİNİKASYON</v>
          </cell>
        </row>
        <row r="61">
          <cell r="A61" t="str">
            <v>MEDIAMIND</v>
          </cell>
        </row>
        <row r="62">
          <cell r="A62" t="str">
            <v>MEDYAGÜNDEMDİGİTAL</v>
          </cell>
        </row>
        <row r="63">
          <cell r="A63" t="str">
            <v>METETURİZM</v>
          </cell>
        </row>
        <row r="64">
          <cell r="A64" t="str">
            <v>MICROSOFT</v>
          </cell>
        </row>
        <row r="65">
          <cell r="A65" t="str">
            <v>MİLLİYETGAZETECİLİK</v>
          </cell>
        </row>
        <row r="66">
          <cell r="A66" t="str">
            <v>MOBİLİKE</v>
          </cell>
        </row>
        <row r="67">
          <cell r="A67" t="str">
            <v>MOKSİİNTERAKTİF</v>
          </cell>
        </row>
        <row r="68">
          <cell r="A68" t="str">
            <v>MOVEZ</v>
          </cell>
        </row>
        <row r="69">
          <cell r="A69" t="str">
            <v>MURATÖZEL</v>
          </cell>
        </row>
        <row r="70">
          <cell r="A70" t="str">
            <v>MWORKS</v>
          </cell>
        </row>
        <row r="71">
          <cell r="A71" t="str">
            <v>MYNET</v>
          </cell>
        </row>
        <row r="72">
          <cell r="A72" t="str">
            <v>NETBOOK</v>
          </cell>
        </row>
        <row r="73">
          <cell r="A73" t="str">
            <v>NETCOM</v>
          </cell>
        </row>
        <row r="74">
          <cell r="A74" t="str">
            <v>NOKTACOMMEDYA</v>
          </cell>
        </row>
        <row r="75">
          <cell r="A75" t="str">
            <v>OGMEDYA</v>
          </cell>
        </row>
        <row r="76">
          <cell r="A76" t="str">
            <v>OLYMPOSTANITIM</v>
          </cell>
        </row>
        <row r="77">
          <cell r="A77" t="str">
            <v>PBGELEKTRONİK</v>
          </cell>
        </row>
        <row r="78">
          <cell r="A78" t="str">
            <v>PERSPEKTİFBİLİŞİM</v>
          </cell>
        </row>
        <row r="79">
          <cell r="A79" t="str">
            <v>PİRAMİTBİLGİSAYAR</v>
          </cell>
        </row>
        <row r="80">
          <cell r="A80" t="str">
            <v>PORTAKALREKLAM</v>
          </cell>
        </row>
        <row r="81">
          <cell r="A81" t="str">
            <v>PUBLIKİLETİŞİM</v>
          </cell>
        </row>
        <row r="82">
          <cell r="A82" t="str">
            <v>PUNTOMEDYA</v>
          </cell>
        </row>
        <row r="83">
          <cell r="A83" t="str">
            <v>REKLAMPORTALI</v>
          </cell>
        </row>
        <row r="84">
          <cell r="A84" t="str">
            <v>REKLAMZ</v>
          </cell>
        </row>
        <row r="85">
          <cell r="A85" t="str">
            <v>ROTAYAYINYAPIM</v>
          </cell>
        </row>
        <row r="86">
          <cell r="A86" t="str">
            <v>RSINTERNET</v>
          </cell>
        </row>
        <row r="87">
          <cell r="A87" t="str">
            <v>SAHİBİNDEN</v>
          </cell>
        </row>
        <row r="88">
          <cell r="A88" t="str">
            <v>SANEİLETİŞİM</v>
          </cell>
        </row>
        <row r="89">
          <cell r="A89" t="str">
            <v>SATIŞOFİSİ</v>
          </cell>
        </row>
        <row r="90">
          <cell r="A90" t="str">
            <v>SCVDANIŞMANLIK</v>
          </cell>
        </row>
        <row r="91">
          <cell r="A91" t="str">
            <v>SHİFTDELETENET</v>
          </cell>
        </row>
        <row r="92">
          <cell r="A92" t="str">
            <v>SOSYALİNTERNET</v>
          </cell>
        </row>
        <row r="93">
          <cell r="A93" t="str">
            <v>SOSYALİNTERNET</v>
          </cell>
        </row>
        <row r="94">
          <cell r="A94" t="str">
            <v>SPECTRUMMEDYALABS</v>
          </cell>
        </row>
        <row r="95">
          <cell r="A95" t="str">
            <v>SPOTIFYAB</v>
          </cell>
        </row>
        <row r="96">
          <cell r="A96" t="str">
            <v>SÜPERMOBİLMEDYA</v>
          </cell>
        </row>
        <row r="97">
          <cell r="A97" t="str">
            <v>TABLETMEDYA</v>
          </cell>
        </row>
        <row r="98">
          <cell r="A98" t="str">
            <v>TABLETMEDYAREKLAM</v>
          </cell>
        </row>
        <row r="99">
          <cell r="A99" t="str">
            <v>TAŞITCOMBİLGİHİZMETLERİ</v>
          </cell>
        </row>
        <row r="100">
          <cell r="A100" t="str">
            <v>TEŞKİLATİLETİŞİM</v>
          </cell>
        </row>
        <row r="101">
          <cell r="A101" t="str">
            <v>TEŞKİLATİLETİŞİM</v>
          </cell>
        </row>
        <row r="102">
          <cell r="A102" t="str">
            <v>THMAGGERYAYINCILIK</v>
          </cell>
        </row>
        <row r="103">
          <cell r="A103" t="str">
            <v>THMAGGERYAYINCILIK</v>
          </cell>
        </row>
        <row r="104">
          <cell r="A104" t="str">
            <v>TMEDYAPAZARLAMA</v>
          </cell>
        </row>
        <row r="105">
          <cell r="A105" t="str">
            <v>TUANA</v>
          </cell>
        </row>
        <row r="106">
          <cell r="A106" t="str">
            <v>TURKCELL</v>
          </cell>
        </row>
        <row r="107">
          <cell r="A107" t="str">
            <v>TURKCELL</v>
          </cell>
        </row>
        <row r="108">
          <cell r="A108" t="str">
            <v>TURKEYYELLOWPAGES</v>
          </cell>
        </row>
        <row r="109">
          <cell r="A109" t="str">
            <v>TURKEYYELLOWPAGES</v>
          </cell>
        </row>
        <row r="110">
          <cell r="A110" t="str">
            <v>TURKUVAZREKLAM</v>
          </cell>
        </row>
        <row r="111">
          <cell r="A111" t="str">
            <v>TURKUVAZREKLAM</v>
          </cell>
        </row>
        <row r="112">
          <cell r="A112" t="str">
            <v>TÜRKTİCARETNET</v>
          </cell>
        </row>
        <row r="113">
          <cell r="A113" t="str">
            <v>TÜRKTİCARETNET</v>
          </cell>
        </row>
        <row r="114">
          <cell r="A114" t="str">
            <v>UĞURBİLGİTEKNOLOJİLERİ</v>
          </cell>
        </row>
        <row r="115">
          <cell r="A115" t="str">
            <v>UĞURBİLGİTEKNOLOJİLERİ</v>
          </cell>
        </row>
        <row r="116">
          <cell r="A116" t="str">
            <v>VATANGAZETECİLİK</v>
          </cell>
        </row>
        <row r="117">
          <cell r="A117" t="str">
            <v>VATANGAZETECİLİK</v>
          </cell>
        </row>
        <row r="118">
          <cell r="A118" t="str">
            <v>VİDYODAMEDYA</v>
          </cell>
        </row>
        <row r="119">
          <cell r="A119" t="str">
            <v>VİDYODAMEDYA</v>
          </cell>
        </row>
        <row r="120">
          <cell r="A120" t="str">
            <v>YENİBİRİŞ</v>
          </cell>
        </row>
        <row r="121">
          <cell r="A121" t="str">
            <v>YENİBİRİŞ</v>
          </cell>
        </row>
        <row r="122">
          <cell r="A122" t="str">
            <v>YÜKSELÖZELEĞİTİM</v>
          </cell>
        </row>
        <row r="123">
          <cell r="A123" t="str">
            <v>YÜKSELÖZELEĞİTİM</v>
          </cell>
        </row>
        <row r="124">
          <cell r="A124" t="str">
            <v>ZANOXREKLAM</v>
          </cell>
        </row>
        <row r="125">
          <cell r="A125" t="str">
            <v>ZANOXREKLAM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Name</v>
          </cell>
        </row>
      </sheetData>
      <sheetData sheetId="8">
        <row r="1">
          <cell r="A1" t="str">
            <v>Format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Copies"/>
      <sheetName val="Exchange"/>
      <sheetName val="Payments"/>
      <sheetName val="Stations"/>
      <sheetName val="Prices"/>
      <sheetName val="Ekim"/>
      <sheetName val="CampaignData"/>
      <sheetName val="rendelés melléklet"/>
      <sheetName val="Data 2000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HL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##"/>
      <sheetName val="Скидки"/>
      <sheetName val="Ekim"/>
      <sheetName val="Fa man - real"/>
      <sheetName val="P3"/>
      <sheetName val="alapok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radiomınd"/>
      <sheetName val="Foglio1"/>
      <sheetName val="Kategori Dizi kanalları"/>
      <sheetName val="Sayfa4"/>
      <sheetName val="billingtype"/>
      <sheetName val="network"/>
      <sheetName val="tuborg"/>
    </sheetNames>
    <sheetDataSet>
      <sheetData sheetId="0" refreshError="1">
        <row r="2">
          <cell r="A2" t="str">
            <v>K1</v>
          </cell>
        </row>
        <row r="48">
          <cell r="A48" t="str">
            <v>K12</v>
          </cell>
          <cell r="B48">
            <v>825</v>
          </cell>
        </row>
        <row r="49">
          <cell r="A49" t="str">
            <v>K11</v>
          </cell>
          <cell r="B49">
            <v>725</v>
          </cell>
        </row>
        <row r="50">
          <cell r="A50" t="str">
            <v>K10</v>
          </cell>
          <cell r="B50">
            <v>625</v>
          </cell>
        </row>
        <row r="51">
          <cell r="A51" t="str">
            <v>K9</v>
          </cell>
          <cell r="B51">
            <v>525</v>
          </cell>
        </row>
        <row r="52">
          <cell r="A52" t="str">
            <v>K8</v>
          </cell>
          <cell r="B52">
            <v>470</v>
          </cell>
        </row>
        <row r="53">
          <cell r="A53" t="str">
            <v>K7</v>
          </cell>
          <cell r="B53">
            <v>330</v>
          </cell>
        </row>
        <row r="54">
          <cell r="A54" t="str">
            <v>KÖ12</v>
          </cell>
          <cell r="B54">
            <v>618.75</v>
          </cell>
        </row>
        <row r="55">
          <cell r="A55" t="str">
            <v>KÖ11</v>
          </cell>
          <cell r="B55">
            <v>543.75</v>
          </cell>
        </row>
        <row r="56">
          <cell r="A56" t="str">
            <v>KÖ10</v>
          </cell>
          <cell r="B56">
            <v>468.75</v>
          </cell>
        </row>
        <row r="57">
          <cell r="A57" t="str">
            <v>KÖ9</v>
          </cell>
          <cell r="B57">
            <v>393.75</v>
          </cell>
        </row>
        <row r="58">
          <cell r="A58" t="str">
            <v>KÖ8</v>
          </cell>
          <cell r="B58">
            <v>352.5</v>
          </cell>
        </row>
        <row r="59">
          <cell r="A59" t="str">
            <v>KÖ7</v>
          </cell>
          <cell r="B59">
            <v>247.5</v>
          </cell>
        </row>
        <row r="60">
          <cell r="A60" t="str">
            <v>K6</v>
          </cell>
          <cell r="B60">
            <v>200</v>
          </cell>
        </row>
        <row r="61">
          <cell r="A61" t="str">
            <v>K5</v>
          </cell>
          <cell r="B61">
            <v>175</v>
          </cell>
        </row>
        <row r="62">
          <cell r="A62" t="str">
            <v>K4</v>
          </cell>
          <cell r="B62">
            <v>150</v>
          </cell>
        </row>
        <row r="63">
          <cell r="A63" t="str">
            <v>K3</v>
          </cell>
          <cell r="B63">
            <v>125</v>
          </cell>
        </row>
        <row r="64">
          <cell r="A64" t="str">
            <v>K2</v>
          </cell>
          <cell r="B64">
            <v>105</v>
          </cell>
        </row>
        <row r="65">
          <cell r="A65" t="str">
            <v>K1</v>
          </cell>
          <cell r="B65">
            <v>70</v>
          </cell>
        </row>
        <row r="66">
          <cell r="A66" t="str">
            <v>KÖ6</v>
          </cell>
          <cell r="B66">
            <v>150</v>
          </cell>
        </row>
        <row r="67">
          <cell r="A67" t="str">
            <v>KÖ5</v>
          </cell>
          <cell r="B67">
            <v>131.25</v>
          </cell>
        </row>
        <row r="68">
          <cell r="A68" t="str">
            <v>KÖ4</v>
          </cell>
          <cell r="B68">
            <v>112.5</v>
          </cell>
        </row>
        <row r="69">
          <cell r="A69" t="str">
            <v>KÖ3</v>
          </cell>
          <cell r="B69">
            <v>93.75</v>
          </cell>
        </row>
        <row r="70">
          <cell r="A70" t="str">
            <v>KÖ2</v>
          </cell>
          <cell r="B70">
            <v>78.75</v>
          </cell>
        </row>
        <row r="71">
          <cell r="A71" t="str">
            <v>KÖ1</v>
          </cell>
          <cell r="B71">
            <v>52.5</v>
          </cell>
        </row>
        <row r="90">
          <cell r="A90" t="str">
            <v>K12</v>
          </cell>
          <cell r="B90">
            <v>18</v>
          </cell>
        </row>
        <row r="91">
          <cell r="A91" t="str">
            <v>K11</v>
          </cell>
          <cell r="B91">
            <v>17</v>
          </cell>
        </row>
        <row r="92">
          <cell r="A92" t="str">
            <v>K10</v>
          </cell>
          <cell r="B92">
            <v>15</v>
          </cell>
        </row>
        <row r="93">
          <cell r="A93" t="str">
            <v>K9</v>
          </cell>
          <cell r="B93">
            <v>14</v>
          </cell>
        </row>
        <row r="94">
          <cell r="A94" t="str">
            <v>K8</v>
          </cell>
          <cell r="B94">
            <v>13</v>
          </cell>
        </row>
        <row r="95">
          <cell r="A95" t="str">
            <v>K7</v>
          </cell>
          <cell r="B95">
            <v>11</v>
          </cell>
        </row>
        <row r="96">
          <cell r="A96" t="str">
            <v>KÖ12</v>
          </cell>
          <cell r="B96">
            <v>12.6</v>
          </cell>
        </row>
        <row r="97">
          <cell r="A97" t="str">
            <v>KÖ11</v>
          </cell>
          <cell r="B97">
            <v>11.899999999999999</v>
          </cell>
        </row>
        <row r="98">
          <cell r="A98" t="str">
            <v>KÖ10</v>
          </cell>
          <cell r="B98">
            <v>10.5</v>
          </cell>
        </row>
        <row r="99">
          <cell r="A99" t="str">
            <v>KÖ9</v>
          </cell>
          <cell r="B99">
            <v>9.7999999999999989</v>
          </cell>
        </row>
        <row r="100">
          <cell r="A100" t="str">
            <v>KÖ8</v>
          </cell>
          <cell r="B100">
            <v>9.1</v>
          </cell>
        </row>
        <row r="101">
          <cell r="A101" t="str">
            <v>KÖ7</v>
          </cell>
          <cell r="B101">
            <v>7.6999999999999993</v>
          </cell>
        </row>
        <row r="102">
          <cell r="A102" t="str">
            <v>K6</v>
          </cell>
          <cell r="B102">
            <v>7</v>
          </cell>
        </row>
        <row r="103">
          <cell r="A103" t="str">
            <v>K5</v>
          </cell>
          <cell r="B103">
            <v>7</v>
          </cell>
        </row>
        <row r="104">
          <cell r="A104" t="str">
            <v>K4</v>
          </cell>
          <cell r="B104">
            <v>5</v>
          </cell>
        </row>
        <row r="105">
          <cell r="A105" t="str">
            <v>K3</v>
          </cell>
          <cell r="B105">
            <v>5</v>
          </cell>
        </row>
        <row r="106">
          <cell r="A106" t="str">
            <v>K2</v>
          </cell>
          <cell r="B106">
            <v>3</v>
          </cell>
        </row>
        <row r="107">
          <cell r="A107" t="str">
            <v>K1</v>
          </cell>
          <cell r="B107">
            <v>3</v>
          </cell>
        </row>
        <row r="108">
          <cell r="A108" t="str">
            <v>KÖ6</v>
          </cell>
          <cell r="B108">
            <v>4.8999999999999995</v>
          </cell>
        </row>
        <row r="109">
          <cell r="A109" t="str">
            <v>KÖ5</v>
          </cell>
          <cell r="B109">
            <v>4.8999999999999995</v>
          </cell>
        </row>
        <row r="110">
          <cell r="A110" t="str">
            <v>KÖ4</v>
          </cell>
          <cell r="B110">
            <v>3.5</v>
          </cell>
        </row>
        <row r="111">
          <cell r="A111" t="str">
            <v>KÖ3</v>
          </cell>
          <cell r="B111">
            <v>3.5</v>
          </cell>
        </row>
        <row r="112">
          <cell r="A112" t="str">
            <v>KÖ2</v>
          </cell>
          <cell r="B112">
            <v>2.0999999999999996</v>
          </cell>
        </row>
        <row r="113">
          <cell r="A113" t="str">
            <v>KÖ1</v>
          </cell>
          <cell r="B113">
            <v>2.0999999999999996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RT FM"/>
      <sheetName val="tv spot list"/>
      <sheetName val="HL"/>
      <sheetName val="tv_spot_list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</sheetNames>
    <sheetDataSet>
      <sheetData sheetId="0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449"/>
      <sheetName val="MA-BL"/>
      <sheetName val="MA_BL"/>
      <sheetName val="Köprü"/>
      <sheetName val="kategoriler"/>
      <sheetName val="tanımlar"/>
      <sheetName val="Data CpGRP"/>
      <sheetName val="MP NEON 2007"/>
      <sheetName val="Data KAND"/>
      <sheetName val="Kur"/>
      <sheetName val="Team"/>
      <sheetName val="Sch#13"/>
      <sheetName val="12"/>
      <sheetName val="Source-DO NOT ADJUST"/>
      <sheetName val="GRP"/>
      <sheetName val="LODI"/>
      <sheetName val="Incentives MBR"/>
      <sheetName val="Makro1"/>
      <sheetName val="#REF"/>
      <sheetName val="MP NEON 2008"/>
      <sheetName val="Laikai rad"/>
      <sheetName val="Evaluation2"/>
      <sheetName val="Pazarla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type"/>
      <sheetName val="creativetype"/>
      <sheetName val="billingtype"/>
      <sheetName val="parentcompany"/>
      <sheetName val="Media Plan"/>
      <sheetName val="LinkZ Network"/>
      <sheetName val="Adklik Network"/>
      <sheetName val="Adhood Network"/>
      <sheetName val="Adex Network"/>
    </sheetNames>
    <sheetDataSet>
      <sheetData sheetId="0" refreshError="1">
        <row r="1">
          <cell r="A1" t="str">
            <v>Display</v>
          </cell>
        </row>
        <row r="2">
          <cell r="A2" t="str">
            <v>Performance</v>
          </cell>
        </row>
        <row r="3">
          <cell r="A3" t="str">
            <v>Video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udağ Ramazan Kampanyası"/>
      <sheetName val="YouTube"/>
      <sheetName val="Meta Hedefleme"/>
      <sheetName val="Tiktok Hedefleme"/>
      <sheetName val="Twitter"/>
      <sheetName val="Sayfa1"/>
      <sheetName val="Tahmini Satın Alma Mart"/>
      <sheetName val="Uludağ Limonata&amp;Şerbet Digital "/>
    </sheetNames>
    <definedNames>
      <definedName name="LANG_CELL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ement"/>
      <sheetName val="Site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Foglio1"/>
      <sheetName val="Copies"/>
      <sheetName val="SpotList (2)"/>
      <sheetName val="Exchange"/>
      <sheetName val="Payments"/>
      <sheetName val="Stations"/>
      <sheetName val="Prices"/>
      <sheetName val="Bahsenligi01"/>
      <sheetName val="Prezzi volumi Agosto"/>
      <sheetName val="tv spot list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GAZE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CampaignData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0"/>
  <sheetViews>
    <sheetView showGridLines="0" tabSelected="1" topLeftCell="C6" zoomScale="40" zoomScaleNormal="40" workbookViewId="0">
      <selection activeCell="H8" sqref="H8"/>
    </sheetView>
  </sheetViews>
  <sheetFormatPr defaultColWidth="9.109375" defaultRowHeight="18" x14ac:dyDescent="0.3"/>
  <cols>
    <col min="1" max="1" width="3" style="1" customWidth="1"/>
    <col min="2" max="2" width="34" style="1" customWidth="1"/>
    <col min="3" max="3" width="27.33203125" style="1" customWidth="1"/>
    <col min="4" max="4" width="30.88671875" style="1" customWidth="1"/>
    <col min="5" max="5" width="31.33203125" style="1" bestFit="1" customWidth="1"/>
    <col min="6" max="6" width="37.21875" style="1" customWidth="1"/>
    <col min="7" max="7" width="40.5546875" style="1" customWidth="1"/>
    <col min="8" max="8" width="47.6640625" style="1" customWidth="1"/>
    <col min="9" max="9" width="28.109375" style="1" hidden="1" customWidth="1"/>
    <col min="10" max="11" width="36.33203125" style="1" hidden="1" customWidth="1"/>
    <col min="12" max="12" width="35" style="1" hidden="1" customWidth="1"/>
    <col min="13" max="13" width="33.88671875" style="2" customWidth="1"/>
    <col min="14" max="15" width="31.6640625" style="1" customWidth="1"/>
    <col min="16" max="16" width="28.33203125" style="1" bestFit="1" customWidth="1"/>
    <col min="17" max="21" width="36.33203125" style="1" customWidth="1"/>
    <col min="22" max="16384" width="9.109375" style="1"/>
  </cols>
  <sheetData>
    <row r="1" spans="2:21" ht="18.600000000000001" thickBot="1" x14ac:dyDescent="0.35"/>
    <row r="2" spans="2:21" ht="23.4" customHeight="1" x14ac:dyDescent="0.3">
      <c r="B2" s="70" t="s">
        <v>0</v>
      </c>
      <c r="C2" s="71"/>
      <c r="D2" s="71"/>
      <c r="E2" s="72" t="s">
        <v>80</v>
      </c>
      <c r="F2" s="73"/>
    </row>
    <row r="3" spans="2:21" ht="36.75" customHeight="1" x14ac:dyDescent="0.3">
      <c r="B3" s="74" t="s">
        <v>1</v>
      </c>
      <c r="C3" s="75"/>
      <c r="D3" s="75"/>
      <c r="E3" s="76" t="s">
        <v>53</v>
      </c>
      <c r="F3" s="77"/>
      <c r="M3" s="1"/>
    </row>
    <row r="4" spans="2:21" ht="36.75" customHeight="1" x14ac:dyDescent="0.3">
      <c r="B4" s="74" t="s">
        <v>2</v>
      </c>
      <c r="C4" s="75"/>
      <c r="D4" s="75"/>
      <c r="E4" s="78" t="s">
        <v>81</v>
      </c>
      <c r="F4" s="79"/>
      <c r="H4" s="35"/>
      <c r="I4" s="35"/>
      <c r="J4" s="35"/>
      <c r="K4" s="35"/>
      <c r="L4" s="35"/>
      <c r="M4" s="1"/>
      <c r="Q4" s="35"/>
      <c r="R4" s="35"/>
      <c r="S4" s="35"/>
      <c r="T4" s="35"/>
      <c r="U4" s="35"/>
    </row>
    <row r="5" spans="2:21" ht="36.75" customHeight="1" x14ac:dyDescent="0.3">
      <c r="B5" s="62" t="s">
        <v>3</v>
      </c>
      <c r="C5" s="63"/>
      <c r="D5" s="63"/>
      <c r="E5" s="64">
        <v>2910199.61</v>
      </c>
      <c r="F5" s="65"/>
      <c r="H5" s="36"/>
      <c r="I5"/>
      <c r="J5"/>
      <c r="K5"/>
      <c r="L5"/>
      <c r="M5" s="1"/>
      <c r="Q5"/>
      <c r="R5"/>
      <c r="S5"/>
      <c r="T5"/>
      <c r="U5"/>
    </row>
    <row r="6" spans="2:21" ht="36.75" customHeight="1" x14ac:dyDescent="0.3">
      <c r="B6" s="62" t="s">
        <v>4</v>
      </c>
      <c r="C6" s="63"/>
      <c r="D6" s="63"/>
      <c r="E6" s="66">
        <f>E5-E7</f>
        <v>1811472.4155999999</v>
      </c>
      <c r="F6" s="67"/>
      <c r="G6" s="34"/>
      <c r="M6" s="1"/>
    </row>
    <row r="7" spans="2:21" ht="36.75" customHeight="1" x14ac:dyDescent="0.3">
      <c r="B7" s="62" t="s">
        <v>5</v>
      </c>
      <c r="C7" s="63"/>
      <c r="D7" s="63"/>
      <c r="E7" s="68">
        <f>E8+E9+E10</f>
        <v>1098727.1943999999</v>
      </c>
      <c r="F7" s="69"/>
      <c r="H7" s="34"/>
      <c r="M7" s="1"/>
    </row>
    <row r="8" spans="2:21" ht="26.4" x14ac:dyDescent="0.3">
      <c r="B8" s="62" t="s">
        <v>6</v>
      </c>
      <c r="C8" s="63"/>
      <c r="D8" s="63"/>
      <c r="E8" s="84">
        <f>M28</f>
        <v>1037664.72</v>
      </c>
      <c r="F8" s="85"/>
      <c r="M8"/>
      <c r="N8"/>
      <c r="O8"/>
      <c r="P8"/>
    </row>
    <row r="9" spans="2:21" ht="26.4" x14ac:dyDescent="0.3">
      <c r="B9" s="62" t="s">
        <v>7</v>
      </c>
      <c r="C9" s="63"/>
      <c r="D9" s="63"/>
      <c r="E9" s="84">
        <f>(H22+H26+H27)*4/1000 + (H23+H24+H25)*4/1000</f>
        <v>1650.6680000000001</v>
      </c>
      <c r="F9" s="85"/>
      <c r="M9"/>
      <c r="N9"/>
      <c r="O9"/>
      <c r="P9"/>
    </row>
    <row r="10" spans="2:21" ht="27" thickBot="1" x14ac:dyDescent="0.35">
      <c r="B10" s="86" t="s">
        <v>8</v>
      </c>
      <c r="C10" s="87"/>
      <c r="D10" s="87"/>
      <c r="E10" s="88">
        <f>(M15+M16+M17+M18+M19+M20+M21)*0.08</f>
        <v>59411.806400000009</v>
      </c>
      <c r="F10" s="89"/>
      <c r="M10"/>
      <c r="N10"/>
      <c r="O10"/>
      <c r="P10"/>
    </row>
    <row r="11" spans="2:21" x14ac:dyDescent="0.3">
      <c r="M11"/>
      <c r="N11"/>
      <c r="O11"/>
      <c r="P11"/>
    </row>
    <row r="12" spans="2:21" ht="33" customHeight="1" thickBot="1" x14ac:dyDescent="0.75">
      <c r="B12" s="27"/>
      <c r="C12" s="27"/>
      <c r="D12" s="27"/>
      <c r="E12" s="27"/>
      <c r="F12" s="27"/>
      <c r="G12" s="27"/>
      <c r="H12" s="27"/>
      <c r="I12" s="27"/>
      <c r="J12" s="27"/>
      <c r="K12" s="27"/>
      <c r="M12" s="39"/>
      <c r="N12" s="39"/>
      <c r="O12" s="39"/>
      <c r="P12" s="39"/>
    </row>
    <row r="13" spans="2:21" ht="29.25" customHeight="1" thickBot="1" x14ac:dyDescent="0.35">
      <c r="B13" s="40" t="s">
        <v>53</v>
      </c>
      <c r="C13" s="27"/>
      <c r="D13" s="27"/>
      <c r="E13" s="27"/>
      <c r="F13" s="27"/>
      <c r="G13" s="83" t="s">
        <v>50</v>
      </c>
      <c r="H13" s="83"/>
      <c r="I13" s="83"/>
      <c r="J13" s="83" t="s">
        <v>45</v>
      </c>
      <c r="K13" s="83"/>
      <c r="L13" s="83" t="s">
        <v>52</v>
      </c>
      <c r="M13" s="83"/>
      <c r="N13" s="80" t="s">
        <v>49</v>
      </c>
      <c r="O13" s="81"/>
      <c r="P13" s="81"/>
      <c r="Q13" s="81"/>
      <c r="R13" s="81"/>
      <c r="S13" s="82"/>
    </row>
    <row r="14" spans="2:21" s="2" customFormat="1" ht="73.95" customHeight="1" x14ac:dyDescent="0.3">
      <c r="B14" s="44" t="s">
        <v>9</v>
      </c>
      <c r="C14" s="44" t="s">
        <v>10</v>
      </c>
      <c r="D14" s="44" t="s">
        <v>11</v>
      </c>
      <c r="E14" s="44" t="s">
        <v>12</v>
      </c>
      <c r="F14" s="44" t="s">
        <v>13</v>
      </c>
      <c r="G14" s="44" t="s">
        <v>14</v>
      </c>
      <c r="H14" s="44" t="s">
        <v>77</v>
      </c>
      <c r="I14" s="44" t="s">
        <v>51</v>
      </c>
      <c r="J14" s="44" t="s">
        <v>46</v>
      </c>
      <c r="K14" s="44" t="s">
        <v>47</v>
      </c>
      <c r="L14" s="44" t="s">
        <v>43</v>
      </c>
      <c r="M14" s="45" t="s">
        <v>44</v>
      </c>
      <c r="N14" s="44" t="s">
        <v>21</v>
      </c>
      <c r="O14" s="44" t="s">
        <v>82</v>
      </c>
      <c r="P14" s="44" t="s">
        <v>40</v>
      </c>
      <c r="Q14" s="44" t="s">
        <v>41</v>
      </c>
      <c r="R14" s="44" t="s">
        <v>48</v>
      </c>
      <c r="S14" s="44" t="s">
        <v>42</v>
      </c>
    </row>
    <row r="15" spans="2:21" ht="64.95" customHeight="1" x14ac:dyDescent="0.3">
      <c r="B15" s="30" t="s">
        <v>15</v>
      </c>
      <c r="C15" s="31" t="s">
        <v>54</v>
      </c>
      <c r="D15" s="32" t="s">
        <v>54</v>
      </c>
      <c r="E15" s="43" t="s">
        <v>17</v>
      </c>
      <c r="F15" s="30" t="s">
        <v>55</v>
      </c>
      <c r="G15" s="56">
        <f>L15/J15</f>
        <v>22500</v>
      </c>
      <c r="H15" s="56">
        <v>27029</v>
      </c>
      <c r="I15" s="55">
        <f t="shared" ref="I15:I19" si="0">H15/G15</f>
        <v>1.2012888888888889</v>
      </c>
      <c r="J15" s="42">
        <v>8</v>
      </c>
      <c r="K15" s="42">
        <f>M15/H15</f>
        <v>2.6363476266232562</v>
      </c>
      <c r="L15" s="47">
        <v>180000</v>
      </c>
      <c r="M15" s="47">
        <v>71257.84</v>
      </c>
      <c r="N15" s="37" t="s">
        <v>20</v>
      </c>
      <c r="O15" s="61">
        <v>176088</v>
      </c>
      <c r="P15" s="38">
        <v>27021</v>
      </c>
      <c r="Q15" s="50">
        <f>P15/O15</f>
        <v>0.15345168324928446</v>
      </c>
      <c r="R15" s="33"/>
      <c r="S15" s="51">
        <f>R15/H15</f>
        <v>0</v>
      </c>
    </row>
    <row r="16" spans="2:21" ht="64.95" customHeight="1" x14ac:dyDescent="0.3">
      <c r="B16" s="30" t="s">
        <v>15</v>
      </c>
      <c r="C16" s="31" t="s">
        <v>54</v>
      </c>
      <c r="D16" s="32" t="s">
        <v>16</v>
      </c>
      <c r="E16" s="43" t="s">
        <v>17</v>
      </c>
      <c r="F16" s="30" t="s">
        <v>56</v>
      </c>
      <c r="G16" s="49">
        <v>10714285.714285715</v>
      </c>
      <c r="H16" s="49">
        <v>1744866</v>
      </c>
      <c r="I16" s="55">
        <f t="shared" si="0"/>
        <v>0.16285416</v>
      </c>
      <c r="J16" s="42">
        <v>70</v>
      </c>
      <c r="K16" s="42">
        <f>M16/H16*1000</f>
        <v>220.09530244729393</v>
      </c>
      <c r="L16" s="47">
        <v>750000</v>
      </c>
      <c r="M16" s="47">
        <v>384036.81</v>
      </c>
      <c r="N16" s="37">
        <v>1660827</v>
      </c>
      <c r="O16" s="61">
        <v>1744866</v>
      </c>
      <c r="P16" s="38">
        <v>1715</v>
      </c>
      <c r="Q16" s="50">
        <f t="shared" ref="Q16:Q17" si="1">P16/O16</f>
        <v>9.8288349936327484E-4</v>
      </c>
      <c r="R16" s="33">
        <v>1744866</v>
      </c>
      <c r="S16" s="51">
        <f t="shared" ref="S16:S17" si="2">R16/H16</f>
        <v>1</v>
      </c>
    </row>
    <row r="17" spans="2:21" ht="64.95" customHeight="1" x14ac:dyDescent="0.3">
      <c r="B17" s="30" t="s">
        <v>15</v>
      </c>
      <c r="C17" s="31" t="s">
        <v>54</v>
      </c>
      <c r="D17" s="32" t="s">
        <v>16</v>
      </c>
      <c r="E17" s="43" t="s">
        <v>17</v>
      </c>
      <c r="F17" s="30" t="s">
        <v>57</v>
      </c>
      <c r="G17" s="49">
        <v>1500000</v>
      </c>
      <c r="H17" s="49">
        <v>325568</v>
      </c>
      <c r="I17" s="55">
        <f t="shared" si="0"/>
        <v>0.21704533333333334</v>
      </c>
      <c r="J17" s="42">
        <v>100</v>
      </c>
      <c r="K17" s="42">
        <f>M17/H17*1000</f>
        <v>199.1825056516611</v>
      </c>
      <c r="L17" s="47">
        <v>150000</v>
      </c>
      <c r="M17" s="47">
        <v>64847.45</v>
      </c>
      <c r="N17" s="37">
        <v>388498</v>
      </c>
      <c r="O17" s="61">
        <v>325568</v>
      </c>
      <c r="P17" s="38">
        <v>75</v>
      </c>
      <c r="Q17" s="50">
        <f t="shared" si="1"/>
        <v>2.3036662079811284E-4</v>
      </c>
      <c r="R17" s="33">
        <v>325568</v>
      </c>
      <c r="S17" s="51">
        <f t="shared" si="2"/>
        <v>1</v>
      </c>
    </row>
    <row r="18" spans="2:21" ht="64.95" customHeight="1" x14ac:dyDescent="0.3">
      <c r="B18" s="30" t="s">
        <v>15</v>
      </c>
      <c r="C18" s="31" t="s">
        <v>18</v>
      </c>
      <c r="D18" s="32" t="s">
        <v>58</v>
      </c>
      <c r="E18" s="43" t="s">
        <v>17</v>
      </c>
      <c r="F18" s="30" t="s">
        <v>19</v>
      </c>
      <c r="G18" s="46">
        <f t="shared" ref="G18:G27" si="3">L18/J18</f>
        <v>320000</v>
      </c>
      <c r="H18" s="46">
        <v>228357</v>
      </c>
      <c r="I18" s="55">
        <f t="shared" si="0"/>
        <v>0.71361562499999998</v>
      </c>
      <c r="J18" s="42">
        <v>0.25</v>
      </c>
      <c r="K18" s="42">
        <f>M18/H18</f>
        <v>0.13432852945169188</v>
      </c>
      <c r="L18" s="47">
        <v>80000</v>
      </c>
      <c r="M18" s="47">
        <v>30674.86</v>
      </c>
      <c r="N18" s="37">
        <v>911768</v>
      </c>
      <c r="O18" s="61">
        <v>2261559</v>
      </c>
      <c r="P18" s="38">
        <v>1669</v>
      </c>
      <c r="Q18" s="50">
        <f t="shared" ref="Q18:Q19" si="4">P18/O18</f>
        <v>7.3798649515665964E-4</v>
      </c>
      <c r="R18" s="33">
        <v>228778</v>
      </c>
      <c r="S18" s="51">
        <v>0.371</v>
      </c>
    </row>
    <row r="19" spans="2:21" ht="64.95" customHeight="1" x14ac:dyDescent="0.3">
      <c r="B19" s="30" t="s">
        <v>15</v>
      </c>
      <c r="C19" s="31" t="s">
        <v>18</v>
      </c>
      <c r="D19" s="32" t="s">
        <v>58</v>
      </c>
      <c r="E19" s="43" t="s">
        <v>17</v>
      </c>
      <c r="F19" s="30" t="s">
        <v>59</v>
      </c>
      <c r="G19" s="56">
        <f t="shared" si="3"/>
        <v>33333.333333333336</v>
      </c>
      <c r="H19" s="56">
        <v>35588</v>
      </c>
      <c r="I19" s="55">
        <f t="shared" si="0"/>
        <v>1.0676399999999999</v>
      </c>
      <c r="J19" s="42">
        <v>4.5</v>
      </c>
      <c r="K19" s="42">
        <f>M19/H19</f>
        <v>3.4109407665505227</v>
      </c>
      <c r="L19" s="47">
        <v>150000</v>
      </c>
      <c r="M19" s="47">
        <v>121388.56</v>
      </c>
      <c r="N19" s="37">
        <v>1524061</v>
      </c>
      <c r="O19" s="61">
        <v>3586174</v>
      </c>
      <c r="P19" s="38">
        <v>35588</v>
      </c>
      <c r="Q19" s="50">
        <f t="shared" si="4"/>
        <v>9.9236679536464211E-3</v>
      </c>
      <c r="R19" s="33">
        <v>144176</v>
      </c>
      <c r="S19" s="51">
        <v>0.29399999999999998</v>
      </c>
    </row>
    <row r="20" spans="2:21" ht="64.95" customHeight="1" x14ac:dyDescent="0.3">
      <c r="B20" s="30" t="s">
        <v>15</v>
      </c>
      <c r="C20" s="31" t="s">
        <v>60</v>
      </c>
      <c r="D20" s="32" t="s">
        <v>60</v>
      </c>
      <c r="E20" s="43" t="s">
        <v>17</v>
      </c>
      <c r="F20" s="30" t="s">
        <v>61</v>
      </c>
      <c r="G20" s="56">
        <f t="shared" si="3"/>
        <v>17857.142857142859</v>
      </c>
      <c r="H20" s="56">
        <v>392948</v>
      </c>
      <c r="I20" s="55">
        <f t="shared" ref="I20:I24" si="5">H20/G20</f>
        <v>22.005087999999997</v>
      </c>
      <c r="J20" s="42">
        <v>5.6</v>
      </c>
      <c r="K20" s="42">
        <f>M20/H20</f>
        <v>0.10010049675784073</v>
      </c>
      <c r="L20" s="47">
        <v>100000</v>
      </c>
      <c r="M20" s="47">
        <v>39334.29</v>
      </c>
      <c r="N20" s="37">
        <v>649249</v>
      </c>
      <c r="O20" s="61">
        <v>1786227</v>
      </c>
      <c r="P20" s="38">
        <v>392948</v>
      </c>
      <c r="Q20" s="50">
        <f>P20/O20</f>
        <v>0.2199877171266586</v>
      </c>
      <c r="R20" s="33">
        <v>755890</v>
      </c>
      <c r="S20" s="51">
        <v>0.91200000000000003</v>
      </c>
    </row>
    <row r="21" spans="2:21" ht="64.95" customHeight="1" x14ac:dyDescent="0.3">
      <c r="B21" s="30" t="s">
        <v>15</v>
      </c>
      <c r="C21" s="31" t="s">
        <v>62</v>
      </c>
      <c r="D21" s="32" t="s">
        <v>62</v>
      </c>
      <c r="E21" s="43" t="s">
        <v>63</v>
      </c>
      <c r="F21" s="30" t="s">
        <v>64</v>
      </c>
      <c r="G21" s="46">
        <f t="shared" si="3"/>
        <v>266666.66666666669</v>
      </c>
      <c r="H21" s="46">
        <v>308879</v>
      </c>
      <c r="I21" s="55">
        <f t="shared" si="5"/>
        <v>1.1582962499999998</v>
      </c>
      <c r="J21" s="42">
        <v>0.3</v>
      </c>
      <c r="K21" s="42">
        <f>M21/H21</f>
        <v>0.10071183214138871</v>
      </c>
      <c r="L21" s="47">
        <v>80000</v>
      </c>
      <c r="M21" s="47">
        <v>31107.77</v>
      </c>
      <c r="N21" s="37">
        <v>503639</v>
      </c>
      <c r="O21" s="61">
        <v>1012849</v>
      </c>
      <c r="P21" s="38">
        <v>3420</v>
      </c>
      <c r="Q21" s="50">
        <f t="shared" ref="Q21" si="6">P21/O21</f>
        <v>3.376613888151146E-3</v>
      </c>
      <c r="R21" s="33">
        <v>299119</v>
      </c>
      <c r="S21" s="51">
        <v>0.495</v>
      </c>
    </row>
    <row r="22" spans="2:21" ht="94.2" customHeight="1" x14ac:dyDescent="0.3">
      <c r="B22" s="30" t="s">
        <v>15</v>
      </c>
      <c r="C22" s="31" t="s">
        <v>65</v>
      </c>
      <c r="D22" s="32" t="s">
        <v>66</v>
      </c>
      <c r="E22" s="43" t="s">
        <v>17</v>
      </c>
      <c r="F22" s="30" t="s">
        <v>67</v>
      </c>
      <c r="G22" s="46">
        <f t="shared" si="3"/>
        <v>280000</v>
      </c>
      <c r="H22" s="46">
        <v>158353</v>
      </c>
      <c r="I22" s="55">
        <f t="shared" si="5"/>
        <v>0.56554642857142856</v>
      </c>
      <c r="J22" s="42">
        <v>0.5</v>
      </c>
      <c r="K22" s="42">
        <v>0.5</v>
      </c>
      <c r="L22" s="47">
        <v>140000</v>
      </c>
      <c r="M22" s="47">
        <f>H22*J22</f>
        <v>79176.5</v>
      </c>
      <c r="N22" s="37">
        <v>80194</v>
      </c>
      <c r="O22" s="37" t="s">
        <v>20</v>
      </c>
      <c r="P22" s="38">
        <v>2219</v>
      </c>
      <c r="Q22" s="50">
        <v>1.4E-2</v>
      </c>
      <c r="R22" s="33">
        <f t="shared" ref="R22" si="7">S22*H22</f>
        <v>152557.28020000001</v>
      </c>
      <c r="S22" s="51">
        <v>0.96340000000000003</v>
      </c>
    </row>
    <row r="23" spans="2:21" ht="64.95" customHeight="1" x14ac:dyDescent="0.3">
      <c r="B23" s="30" t="s">
        <v>15</v>
      </c>
      <c r="C23" s="31" t="s">
        <v>68</v>
      </c>
      <c r="D23" s="32" t="s">
        <v>69</v>
      </c>
      <c r="E23" s="43" t="s">
        <v>17</v>
      </c>
      <c r="F23" s="30" t="s">
        <v>70</v>
      </c>
      <c r="G23" s="56">
        <f t="shared" si="3"/>
        <v>28571.428571428572</v>
      </c>
      <c r="H23" s="56">
        <v>10934</v>
      </c>
      <c r="I23" s="55">
        <f t="shared" si="5"/>
        <v>0.38268999999999997</v>
      </c>
      <c r="J23" s="42">
        <v>3.5</v>
      </c>
      <c r="K23" s="42">
        <f>H23/M23</f>
        <v>0.2857142857142857</v>
      </c>
      <c r="L23" s="47">
        <v>100000</v>
      </c>
      <c r="M23" s="47">
        <f t="shared" ref="M23:M27" si="8">H23*J23</f>
        <v>38269</v>
      </c>
      <c r="N23" s="37" t="s">
        <v>20</v>
      </c>
      <c r="O23" s="37" t="s">
        <v>20</v>
      </c>
      <c r="P23" s="38">
        <f>H23</f>
        <v>10934</v>
      </c>
      <c r="Q23" s="50" t="s">
        <v>20</v>
      </c>
      <c r="R23" s="51" t="s">
        <v>20</v>
      </c>
      <c r="S23" s="51" t="s">
        <v>20</v>
      </c>
    </row>
    <row r="24" spans="2:21" ht="64.95" customHeight="1" x14ac:dyDescent="0.3">
      <c r="B24" s="30" t="s">
        <v>15</v>
      </c>
      <c r="C24" s="31" t="s">
        <v>78</v>
      </c>
      <c r="D24" s="32" t="s">
        <v>69</v>
      </c>
      <c r="E24" s="43" t="s">
        <v>17</v>
      </c>
      <c r="F24" s="30" t="s">
        <v>79</v>
      </c>
      <c r="G24" s="56">
        <f t="shared" si="3"/>
        <v>12500</v>
      </c>
      <c r="H24" s="56">
        <v>10190</v>
      </c>
      <c r="I24" s="55">
        <f t="shared" si="5"/>
        <v>0.81520000000000004</v>
      </c>
      <c r="J24" s="42">
        <v>4</v>
      </c>
      <c r="K24" s="42">
        <f>H24/M24</f>
        <v>0.25</v>
      </c>
      <c r="L24" s="47">
        <v>50000</v>
      </c>
      <c r="M24" s="47">
        <f t="shared" si="8"/>
        <v>40760</v>
      </c>
      <c r="N24" s="37">
        <v>24134</v>
      </c>
      <c r="O24" s="37" t="s">
        <v>20</v>
      </c>
      <c r="P24" s="38">
        <v>10190</v>
      </c>
      <c r="Q24" s="50">
        <v>4.8500000000000001E-2</v>
      </c>
      <c r="R24" s="51" t="s">
        <v>20</v>
      </c>
      <c r="S24" s="50" t="s">
        <v>20</v>
      </c>
    </row>
    <row r="25" spans="2:21" ht="64.95" customHeight="1" x14ac:dyDescent="0.3">
      <c r="B25" s="30" t="s">
        <v>15</v>
      </c>
      <c r="C25" s="31" t="s">
        <v>71</v>
      </c>
      <c r="D25" s="32" t="s">
        <v>69</v>
      </c>
      <c r="E25" s="43" t="s">
        <v>17</v>
      </c>
      <c r="F25" s="30" t="s">
        <v>72</v>
      </c>
      <c r="G25" s="56">
        <f t="shared" si="3"/>
        <v>12500</v>
      </c>
      <c r="H25" s="56">
        <v>4705</v>
      </c>
      <c r="I25" s="55">
        <f t="shared" ref="I25:I26" si="9">H25/G25</f>
        <v>0.37640000000000001</v>
      </c>
      <c r="J25" s="42">
        <v>4</v>
      </c>
      <c r="K25" s="42">
        <f t="shared" ref="K25" si="10">H25/M25</f>
        <v>0.25</v>
      </c>
      <c r="L25" s="47">
        <v>50000</v>
      </c>
      <c r="M25" s="47">
        <f t="shared" si="8"/>
        <v>18820</v>
      </c>
      <c r="N25" s="37" t="s">
        <v>20</v>
      </c>
      <c r="O25" s="37" t="s">
        <v>20</v>
      </c>
      <c r="P25" s="38">
        <f t="shared" ref="P25" si="11">H25</f>
        <v>4705</v>
      </c>
      <c r="Q25" s="50" t="s">
        <v>20</v>
      </c>
      <c r="R25" s="51" t="s">
        <v>20</v>
      </c>
      <c r="S25" s="51" t="s">
        <v>20</v>
      </c>
    </row>
    <row r="26" spans="2:21" ht="64.95" customHeight="1" x14ac:dyDescent="0.3">
      <c r="B26" s="30" t="s">
        <v>15</v>
      </c>
      <c r="C26" s="31" t="s">
        <v>73</v>
      </c>
      <c r="D26" s="32" t="s">
        <v>74</v>
      </c>
      <c r="E26" s="43" t="s">
        <v>17</v>
      </c>
      <c r="F26" s="30" t="s">
        <v>75</v>
      </c>
      <c r="G26" s="46">
        <f t="shared" si="3"/>
        <v>416666.66666666669</v>
      </c>
      <c r="H26" s="46">
        <v>91191</v>
      </c>
      <c r="I26" s="55">
        <f t="shared" si="9"/>
        <v>0.21885839999999998</v>
      </c>
      <c r="J26" s="42">
        <v>0.24</v>
      </c>
      <c r="K26" s="42">
        <v>0.24</v>
      </c>
      <c r="L26" s="47">
        <v>100000</v>
      </c>
      <c r="M26" s="47">
        <f t="shared" si="8"/>
        <v>21885.84</v>
      </c>
      <c r="N26" s="37">
        <v>57601</v>
      </c>
      <c r="O26" s="37" t="s">
        <v>20</v>
      </c>
      <c r="P26" s="38">
        <v>1804</v>
      </c>
      <c r="Q26" s="50">
        <v>1.9800000000000002E-2</v>
      </c>
      <c r="R26" s="33">
        <f>S26*H26</f>
        <v>72952.800000000003</v>
      </c>
      <c r="S26" s="51">
        <v>0.8</v>
      </c>
    </row>
    <row r="27" spans="2:21" ht="64.95" customHeight="1" x14ac:dyDescent="0.3">
      <c r="B27" s="30" t="s">
        <v>15</v>
      </c>
      <c r="C27" s="31" t="s">
        <v>76</v>
      </c>
      <c r="D27" s="32" t="s">
        <v>69</v>
      </c>
      <c r="E27" s="43" t="s">
        <v>17</v>
      </c>
      <c r="F27" s="30" t="s">
        <v>67</v>
      </c>
      <c r="G27" s="46">
        <f t="shared" si="3"/>
        <v>142857.14285714287</v>
      </c>
      <c r="H27" s="46">
        <v>137294</v>
      </c>
      <c r="I27" s="55">
        <f>H27/G27</f>
        <v>0.96105799999999997</v>
      </c>
      <c r="J27" s="42">
        <v>0.7</v>
      </c>
      <c r="K27" s="42">
        <v>0.7</v>
      </c>
      <c r="L27" s="47">
        <v>100000</v>
      </c>
      <c r="M27" s="47">
        <f t="shared" si="8"/>
        <v>96105.799999999988</v>
      </c>
      <c r="N27" s="37">
        <v>80235</v>
      </c>
      <c r="O27" s="37" t="s">
        <v>20</v>
      </c>
      <c r="P27" s="38">
        <v>1765</v>
      </c>
      <c r="Q27" s="50">
        <f>P27/H27</f>
        <v>1.2855623698049441E-2</v>
      </c>
      <c r="R27" s="33">
        <v>132384</v>
      </c>
      <c r="S27" s="51">
        <v>0.96</v>
      </c>
    </row>
    <row r="28" spans="2:21" ht="26.4" x14ac:dyDescent="0.3">
      <c r="B28" s="27"/>
      <c r="C28" s="27"/>
      <c r="D28" s="27"/>
      <c r="E28" s="27"/>
      <c r="F28" s="27"/>
      <c r="G28" s="57">
        <f>G16+G17</f>
        <v>12214285.714285715</v>
      </c>
      <c r="H28" s="57">
        <f>H16+H17</f>
        <v>2070434</v>
      </c>
      <c r="I28" s="28"/>
      <c r="J28" s="48"/>
      <c r="K28" s="28"/>
      <c r="L28" s="29">
        <f>SUM(L15:L27)</f>
        <v>2030000</v>
      </c>
      <c r="M28" s="29">
        <f>SUM(M15:M27)</f>
        <v>1037664.72</v>
      </c>
      <c r="N28" s="60">
        <f>SUM(N15:N27)</f>
        <v>5880206</v>
      </c>
      <c r="O28" s="60"/>
      <c r="P28" s="52">
        <f>SUM(P15:P27)</f>
        <v>494053</v>
      </c>
      <c r="Q28" s="53"/>
      <c r="R28" s="28">
        <f>SUM(R15:R27)</f>
        <v>3856291.0801999997</v>
      </c>
      <c r="S28" s="54"/>
      <c r="T28" s="28"/>
      <c r="U28" s="54"/>
    </row>
    <row r="29" spans="2:21" ht="26.4" x14ac:dyDescent="0.3">
      <c r="B29" s="27"/>
      <c r="C29" s="27"/>
      <c r="D29" s="27"/>
      <c r="E29" s="27"/>
      <c r="F29" s="27"/>
      <c r="G29" s="58">
        <f>G18+G21+G22+G26+G27</f>
        <v>1426190.4761904764</v>
      </c>
      <c r="H29" s="58">
        <f>H18+H21+H22+H26+H27</f>
        <v>924074</v>
      </c>
      <c r="I29" s="41"/>
      <c r="J29" s="41"/>
      <c r="K29" s="41"/>
      <c r="L29" s="41"/>
      <c r="M29" s="27"/>
      <c r="N29" s="27"/>
      <c r="O29" s="27"/>
      <c r="P29" s="27"/>
      <c r="Q29" s="41"/>
      <c r="R29" s="41"/>
      <c r="S29" s="41"/>
      <c r="T29" s="41"/>
      <c r="U29" s="41"/>
    </row>
    <row r="30" spans="2:21" ht="26.4" x14ac:dyDescent="0.3">
      <c r="B30" s="27"/>
      <c r="C30" s="27"/>
      <c r="D30" s="27"/>
      <c r="E30" s="27"/>
      <c r="F30" s="27"/>
      <c r="G30" s="59">
        <f>G15+G19+G20+G23+G24+G25</f>
        <v>127261.90476190476</v>
      </c>
      <c r="H30" s="59">
        <f>H15+H19+H20+H23+H24+H25</f>
        <v>481394</v>
      </c>
      <c r="I30" s="41"/>
      <c r="J30" s="41"/>
      <c r="K30" s="41"/>
      <c r="L30" s="41"/>
      <c r="M30" s="27"/>
      <c r="N30" s="27"/>
      <c r="O30" s="27"/>
      <c r="P30" s="27"/>
      <c r="Q30" s="41"/>
      <c r="R30" s="41"/>
      <c r="S30" s="41"/>
      <c r="T30" s="41"/>
      <c r="U30" s="41"/>
    </row>
  </sheetData>
  <mergeCells count="22">
    <mergeCell ref="N13:S13"/>
    <mergeCell ref="G13:I13"/>
    <mergeCell ref="B8:D8"/>
    <mergeCell ref="E8:F8"/>
    <mergeCell ref="B10:D10"/>
    <mergeCell ref="E10:F10"/>
    <mergeCell ref="J13:K13"/>
    <mergeCell ref="B9:D9"/>
    <mergeCell ref="E9:F9"/>
    <mergeCell ref="L13:M13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8"/>
  <sheetViews>
    <sheetView showGridLines="0" workbookViewId="0">
      <selection activeCell="G12" sqref="G12"/>
    </sheetView>
  </sheetViews>
  <sheetFormatPr defaultColWidth="10.88671875" defaultRowHeight="28.8" x14ac:dyDescent="0.55000000000000004"/>
  <cols>
    <col min="1" max="2" width="10.88671875" style="3"/>
    <col min="3" max="3" width="31.44140625" style="3" bestFit="1" customWidth="1"/>
    <col min="4" max="4" width="27.44140625" style="4" customWidth="1"/>
    <col min="5" max="5" width="27.44140625" style="5" customWidth="1"/>
    <col min="6" max="8" width="12.33203125" style="3" bestFit="1" customWidth="1"/>
    <col min="9" max="16384" width="10.88671875" style="3"/>
  </cols>
  <sheetData>
    <row r="2" spans="3:8" x14ac:dyDescent="0.55000000000000004">
      <c r="C2" s="7" t="s">
        <v>22</v>
      </c>
      <c r="D2" s="8" t="s">
        <v>23</v>
      </c>
      <c r="E2" s="9" t="s">
        <v>24</v>
      </c>
      <c r="F2" s="7" t="s">
        <v>25</v>
      </c>
      <c r="G2" s="7" t="s">
        <v>26</v>
      </c>
    </row>
    <row r="3" spans="3:8" x14ac:dyDescent="0.55000000000000004">
      <c r="C3" s="3" t="s">
        <v>27</v>
      </c>
      <c r="D3" s="6">
        <v>87000</v>
      </c>
    </row>
    <row r="4" spans="3:8" x14ac:dyDescent="0.55000000000000004">
      <c r="C4" s="3" t="s">
        <v>28</v>
      </c>
      <c r="D4" s="6">
        <v>15000</v>
      </c>
      <c r="E4" s="10">
        <f>D4/D3</f>
        <v>0.17241379310344829</v>
      </c>
      <c r="F4" s="5">
        <v>0.12379999999999999</v>
      </c>
      <c r="G4" s="5">
        <v>0.152</v>
      </c>
    </row>
    <row r="5" spans="3:8" x14ac:dyDescent="0.55000000000000004">
      <c r="C5" s="3" t="s">
        <v>29</v>
      </c>
      <c r="D5" s="4">
        <v>300</v>
      </c>
      <c r="E5" s="10">
        <f>D5/D4</f>
        <v>0.02</v>
      </c>
      <c r="F5" s="5">
        <v>1.41E-2</v>
      </c>
      <c r="G5" s="5">
        <v>1.5800000000000002E-2</v>
      </c>
    </row>
    <row r="6" spans="3:8" x14ac:dyDescent="0.55000000000000004">
      <c r="C6" s="3" t="s">
        <v>30</v>
      </c>
      <c r="D6" s="4">
        <v>120</v>
      </c>
      <c r="E6" s="10">
        <f>D6/D5</f>
        <v>0.4</v>
      </c>
      <c r="F6" s="5"/>
      <c r="G6" s="5"/>
    </row>
    <row r="7" spans="3:8" x14ac:dyDescent="0.55000000000000004">
      <c r="C7" s="3" t="s">
        <v>31</v>
      </c>
      <c r="D7" s="4">
        <v>72</v>
      </c>
      <c r="E7" s="10">
        <f>D7/D6</f>
        <v>0.6</v>
      </c>
      <c r="F7" s="5">
        <v>0.17760000000000001</v>
      </c>
      <c r="G7" s="5">
        <v>0.1565</v>
      </c>
      <c r="H7" s="10">
        <f>D7/D5</f>
        <v>0.24</v>
      </c>
    </row>
    <row r="8" spans="3:8" x14ac:dyDescent="0.55000000000000004">
      <c r="C8" s="3" t="s">
        <v>32</v>
      </c>
      <c r="D8" s="4">
        <v>15</v>
      </c>
      <c r="E8" s="10">
        <f>D8/D7</f>
        <v>0.20833333333333334</v>
      </c>
      <c r="F8" s="5">
        <v>0.1714</v>
      </c>
      <c r="G8" s="5">
        <v>6.4500000000000002E-2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R13"/>
  <sheetViews>
    <sheetView showGridLines="0" topLeftCell="K1" zoomScale="123" workbookViewId="0">
      <selection activeCell="K4" sqref="K4"/>
    </sheetView>
  </sheetViews>
  <sheetFormatPr defaultColWidth="8.88671875" defaultRowHeight="14.4" x14ac:dyDescent="0.3"/>
  <cols>
    <col min="1" max="1" width="0" hidden="1" customWidth="1"/>
    <col min="2" max="2" width="18.44140625" hidden="1" customWidth="1"/>
    <col min="3" max="3" width="6.44140625" hidden="1" customWidth="1"/>
    <col min="4" max="4" width="7.109375" hidden="1" customWidth="1"/>
    <col min="5" max="5" width="13.109375" hidden="1" customWidth="1"/>
    <col min="6" max="6" width="0" hidden="1" customWidth="1"/>
    <col min="7" max="7" width="18.44140625" hidden="1" customWidth="1"/>
    <col min="8" max="8" width="7.44140625" hidden="1" customWidth="1"/>
    <col min="9" max="9" width="7.109375" hidden="1" customWidth="1"/>
    <col min="10" max="10" width="13.109375" hidden="1" customWidth="1"/>
    <col min="11" max="11" width="18.88671875" bestFit="1" customWidth="1"/>
    <col min="14" max="14" width="13.109375" bestFit="1" customWidth="1"/>
  </cols>
  <sheetData>
    <row r="2" spans="11:18" x14ac:dyDescent="0.3">
      <c r="K2" s="15" t="s">
        <v>26</v>
      </c>
      <c r="L2" s="15" t="s">
        <v>33</v>
      </c>
      <c r="M2" s="16" t="s">
        <v>34</v>
      </c>
      <c r="N2" s="15" t="s">
        <v>35</v>
      </c>
    </row>
    <row r="3" spans="11:18" hidden="1" x14ac:dyDescent="0.3">
      <c r="K3" s="12" t="s">
        <v>27</v>
      </c>
      <c r="L3" s="11">
        <f>N9/N3</f>
        <v>96502.057613168712</v>
      </c>
      <c r="M3" s="13" t="s">
        <v>20</v>
      </c>
      <c r="N3" s="17">
        <v>4.8600000000000003</v>
      </c>
    </row>
    <row r="4" spans="11:18" x14ac:dyDescent="0.3">
      <c r="K4" s="24" t="s">
        <v>36</v>
      </c>
      <c r="L4" s="14">
        <f>N9/N4</f>
        <v>46900</v>
      </c>
      <c r="M4" s="26">
        <v>0.3</v>
      </c>
      <c r="N4" s="19">
        <v>10</v>
      </c>
      <c r="Q4" s="20"/>
    </row>
    <row r="5" spans="11:18" x14ac:dyDescent="0.3">
      <c r="K5" s="12" t="s">
        <v>29</v>
      </c>
      <c r="L5" s="11">
        <f>L4*M5</f>
        <v>234.5</v>
      </c>
      <c r="M5" s="25">
        <v>5.0000000000000001E-3</v>
      </c>
      <c r="N5" s="21">
        <f>N9/L5</f>
        <v>2000</v>
      </c>
    </row>
    <row r="6" spans="11:18" x14ac:dyDescent="0.3">
      <c r="K6" s="12" t="s">
        <v>37</v>
      </c>
      <c r="L6" s="11">
        <f>L5*M6</f>
        <v>168.84</v>
      </c>
      <c r="M6" s="18">
        <v>0.72</v>
      </c>
      <c r="N6" s="21">
        <f>N9/L6</f>
        <v>2777.7777777777778</v>
      </c>
    </row>
    <row r="7" spans="11:18" x14ac:dyDescent="0.3">
      <c r="K7" s="12" t="s">
        <v>31</v>
      </c>
      <c r="L7" s="11">
        <f>L6*M7</f>
        <v>30.391199999999998</v>
      </c>
      <c r="M7" s="18">
        <v>0.18</v>
      </c>
      <c r="N7" s="21">
        <f>N9/L7</f>
        <v>15432.0987654321</v>
      </c>
      <c r="Q7" s="20"/>
    </row>
    <row r="8" spans="11:18" x14ac:dyDescent="0.3">
      <c r="K8" s="12" t="s">
        <v>38</v>
      </c>
      <c r="L8" s="11">
        <f>L7*M8</f>
        <v>7.5977999999999994</v>
      </c>
      <c r="M8" s="18">
        <v>0.25</v>
      </c>
      <c r="N8" s="21">
        <f>N9/L8</f>
        <v>61728.395061728399</v>
      </c>
      <c r="R8" s="20"/>
    </row>
    <row r="9" spans="11:18" x14ac:dyDescent="0.3">
      <c r="K9" s="15" t="s">
        <v>39</v>
      </c>
      <c r="L9" s="15"/>
      <c r="M9" s="16"/>
      <c r="N9" s="22">
        <v>469000</v>
      </c>
      <c r="P9" s="20"/>
      <c r="R9" s="20"/>
    </row>
    <row r="13" spans="11:18" x14ac:dyDescent="0.3">
      <c r="P13" s="23"/>
    </row>
  </sheetData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Dijital Medya Raporu</vt:lpstr>
      <vt:lpstr>Sayfa1</vt:lpstr>
      <vt:lpstr>Tahmini Satın Alma 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Berent Yorulmaz (TIME)</dc:creator>
  <cp:keywords/>
  <dc:description/>
  <cp:lastModifiedBy>Melek Kaya (growity)</cp:lastModifiedBy>
  <cp:revision/>
  <dcterms:created xsi:type="dcterms:W3CDTF">2018-12-05T15:00:15Z</dcterms:created>
  <dcterms:modified xsi:type="dcterms:W3CDTF">2025-12-18T14:21:23Z</dcterms:modified>
  <cp:category/>
  <cp:contentStatus/>
</cp:coreProperties>
</file>