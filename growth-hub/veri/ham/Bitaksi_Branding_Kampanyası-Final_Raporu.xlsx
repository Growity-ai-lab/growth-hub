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5\Markalar\BiTaksi\Rapor\"/>
    </mc:Choice>
  </mc:AlternateContent>
  <xr:revisionPtr revIDLastSave="0" documentId="13_ncr:1_{88F525CF-8DE1-49D7-82B2-D27D91B30B76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Dijital Medya Raporu" sheetId="12" r:id="rId1"/>
    <sheet name="Sayfa1" sheetId="10" state="hidden" r:id="rId2"/>
    <sheet name="Tahmini Satın Alma Mart" sheetId="1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2">#REF!</definedName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hidden="1">{#N/A,#N/A,FALSE,"Sheet1 (2)"}</definedName>
    <definedName name="___________________________________________ooh2" hidden="1">{#N/A,#N/A,FALSE,"Sheet1 (2)"}</definedName>
    <definedName name="__________________________________________ooh2" hidden="1">{#N/A,#N/A,FALSE,"Sheet1 (2)"}</definedName>
    <definedName name="_________________________________________ooh2" hidden="1">{#N/A,#N/A,FALSE,"Sheet1 (2)"}</definedName>
    <definedName name="________________________________________ooh2" hidden="1">{#N/A,#N/A,FALSE,"Sheet1 (2)"}</definedName>
    <definedName name="_______________________________________ooh2" hidden="1">{#N/A,#N/A,FALSE,"Sheet1 (2)"}</definedName>
    <definedName name="______________________________________ooh2" hidden="1">{#N/A,#N/A,FALSE,"Sheet1 (2)"}</definedName>
    <definedName name="_____________________________________ooh2" hidden="1">{#N/A,#N/A,FALSE,"Sheet1 (2)"}</definedName>
    <definedName name="____________________________________ooh2" hidden="1">{#N/A,#N/A,FALSE,"Sheet1 (2)"}</definedName>
    <definedName name="___________________________________ooh2" hidden="1">{#N/A,#N/A,FALSE,"Sheet1 (2)"}</definedName>
    <definedName name="__________________________________ooh2" hidden="1">{#N/A,#N/A,FALSE,"Sheet1 (2)"}</definedName>
    <definedName name="_________________________________ooh2" hidden="1">{#N/A,#N/A,FALSE,"Sheet1 (2)"}</definedName>
    <definedName name="________________________________ooh2" hidden="1">{#N/A,#N/A,FALSE,"Sheet1 (2)"}</definedName>
    <definedName name="_______________________________ooh2" hidden="1">{#N/A,#N/A,FALSE,"Sheet1 (2)"}</definedName>
    <definedName name="______________________________ooh2" hidden="1">{#N/A,#N/A,FALSE,"Sheet1 (2)"}</definedName>
    <definedName name="_____________________________ooh2" hidden="1">{#N/A,#N/A,FALSE,"Sheet1 (2)"}</definedName>
    <definedName name="____________________________ooh2" hidden="1">{#N/A,#N/A,FALSE,"Sheet1 (2)"}</definedName>
    <definedName name="___________________________abc1">[0]!___________________________abc1</definedName>
    <definedName name="___________________________ooh2" hidden="1">{#N/A,#N/A,FALSE,"Sheet1 (2)"}</definedName>
    <definedName name="__________________________ooh2" hidden="1">{#N/A,#N/A,FALSE,"Sheet1 (2)"}</definedName>
    <definedName name="_________________________abc1">[0]!_________________________abc1</definedName>
    <definedName name="_________________________ooh2" hidden="1">{#N/A,#N/A,FALSE,"Sheet1 (2)"}</definedName>
    <definedName name="________________________abc1">[0]!________________________abc1</definedName>
    <definedName name="________________________ooh2" hidden="1">{#N/A,#N/A,FALSE,"Sheet1 (2)"}</definedName>
    <definedName name="_______________________abc1">[0]!_______________________abc1</definedName>
    <definedName name="_______________________ooh2" hidden="1">{#N/A,#N/A,FALSE,"Sheet1 (2)"}</definedName>
    <definedName name="______________________ooh2" hidden="1">{#N/A,#N/A,FALSE,"Sheet1 (2)"}</definedName>
    <definedName name="_____________________ooh2" hidden="1">{#N/A,#N/A,FALSE,"Sheet1 (2)"}</definedName>
    <definedName name="____________________ooh2" hidden="1">{#N/A,#N/A,FALSE,"Sheet1 (2)"}</definedName>
    <definedName name="___________________ooh2" hidden="1">{#N/A,#N/A,FALSE,"Sheet1 (2)"}</definedName>
    <definedName name="__________________ooh2" hidden="1">{#N/A,#N/A,FALSE,"Sheet1 (2)"}</definedName>
    <definedName name="_________________ooh2" hidden="1">{#N/A,#N/A,FALSE,"Sheet1 (2)"}</definedName>
    <definedName name="________________ooh2" hidden="1">{#N/A,#N/A,FALSE,"Sheet1 (2)"}</definedName>
    <definedName name="_______________ooh2" hidden="1">{#N/A,#N/A,FALSE,"Sheet1 (2)"}</definedName>
    <definedName name="______________ooh2" hidden="1">{#N/A,#N/A,FALSE,"Sheet1 (2)"}</definedName>
    <definedName name="_____________ooh2" hidden="1">{#N/A,#N/A,FALSE,"Sheet1 (2)"}</definedName>
    <definedName name="____________ooh2" hidden="1">{#N/A,#N/A,FALSE,"Sheet1 (2)"}</definedName>
    <definedName name="___________n" hidden="1">{#N/A,#N/A,FALSE,"Sheet1 (2)"}</definedName>
    <definedName name="___________ooh2" hidden="1">{#N/A,#N/A,FALSE,"Sheet1 (2)"}</definedName>
    <definedName name="__________ooh2" hidden="1">{#N/A,#N/A,FALSE,"Sheet1 (2)"}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hidden="1">{#N/A,#N/A,FALSE,"Sheet1 (2)"}</definedName>
    <definedName name="_______der1">#REF!</definedName>
    <definedName name="_______der2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hidden="1">{#N/A,#N/A,FALSE,"Sheet1 (2)"}</definedName>
    <definedName name="_____abc1">[0]!_____abc1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>[0]!___abc1</definedName>
    <definedName name="___der1">#REF!</definedName>
    <definedName name="___der2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>[0]!__abc1</definedName>
    <definedName name="__der1">#REF!</definedName>
    <definedName name="__der2">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'Dijital Medya Raporu'!$B$11:$T$11</definedName>
    <definedName name="_xlnm._FilterDatabase" hidden="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2" hidden="1">#REF!</definedName>
    <definedName name="_Key1" hidden="1">#REF!</definedName>
    <definedName name="_key11" hidden="1">#REF!</definedName>
    <definedName name="_Key2" localSheetId="2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2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localSheetId="2" hidden="1">{#N/A,#N/A,FALSE,"Sheet1 (2)"}</definedName>
    <definedName name="aa" hidden="1">{#N/A,#N/A,FALSE,"Sheet1 (2)"}</definedName>
    <definedName name="aaa">#REF!</definedName>
    <definedName name="aaaa">[0]!aaaa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localSheetId="2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localSheetId="2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aaaaa" hidden="1">{#N/A,#N/A,FALSE,"Sheet1 (2)"}</definedName>
    <definedName name="AAAAAAAAAAAAAAAAAAAAAAAAAAAAA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b" hidden="1">{#N/A,#N/A,FALSE,"Sheet1 (2)"}</definedName>
    <definedName name="abc">[0]!abc</definedName>
    <definedName name="ace" hidden="1">{#N/A,#N/A,FALSE,"Sheet1 (2)"}</definedName>
    <definedName name="acelya" hidden="1">{#N/A,#N/A,FALSE,"Sheet1 (2)"}</definedName>
    <definedName name="acık" localSheetId="2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2" hidden="1">{#N/A,#N/A,FALSE,"Sheet1 (2)"}</definedName>
    <definedName name="açıkhava" hidden="1">{#N/A,#N/A,FALSE,"Sheet1 (2)"}</definedName>
    <definedName name="AD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rt">[0]!adert</definedName>
    <definedName name="ADET">#REF!</definedName>
    <definedName name="ADFASDFA" hidden="1">{#N/A,#N/A,FALSE,"Sheet1 (2)"}</definedName>
    <definedName name="ADS" hidden="1">{#N/A,#N/A,FALSE,"Sheet1 (2)"}</definedName>
    <definedName name="ADULTS">#REF!</definedName>
    <definedName name="adv" hidden="1">{#N/A,#N/A,FALSE,"Sheet1 (2)"}</definedName>
    <definedName name="adx">[0]!adx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hmet">[3]Ekim!#REF!</definedName>
    <definedName name="ALEV" hidden="1">{#N/A,#N/A,FALSE,"Sheet1 (2)"}</definedName>
    <definedName name="ali">[0]!ali</definedName>
    <definedName name="ALL">#REF!</definedName>
    <definedName name="alper" hidden="1">{#N/A,#N/A,FALSE,"Sheet1 (2)"}</definedName>
    <definedName name="alperrrr" hidden="1">{#N/A,#N/A,FALSE,"Sheet1 (2)"}</definedName>
    <definedName name="Altın">#REF!</definedName>
    <definedName name="ALVO">#REF!</definedName>
    <definedName name="ananı" hidden="1">{#N/A,#N/A,FALSE,"Sheet1 (2)"}</definedName>
    <definedName name="anıl" hidden="1">{#N/A,#N/A,FALSE,"Sheet1 (2)"}</definedName>
    <definedName name="anil123_3" hidden="1">{#N/A,#N/A,FALSE,"Sheet1 (2)"}</definedName>
    <definedName name="ankara" localSheetId="2" hidden="1">{#N/A,#N/A,FALSE,"Sheet1 (2)"}</definedName>
    <definedName name="ankara" hidden="1">{#N/A,#N/A,FALSE,"Sheet1 (2)"}</definedName>
    <definedName name="aps" hidden="1">#REF!</definedName>
    <definedName name="aqswa" hidden="1">{#N/A,#N/A,FALSE,"Sheet1 (2)"}</definedName>
    <definedName name="Área_impressão_IM">#REF!</definedName>
    <definedName name="arzu" hidden="1">{#N/A,#N/A,FALSE,"Sheet1 (2)"}</definedName>
    <definedName name="As">#REF!</definedName>
    <definedName name="asa" hidden="1">{#N/A,#N/A,FALSE,"Sheet1 (2)"}</definedName>
    <definedName name="asascd" hidden="1">#REF!</definedName>
    <definedName name="asda" localSheetId="2" hidden="1">{#N/A,#N/A,FALSE,"Sheet1 (2)"}</definedName>
    <definedName name="asda" hidden="1">{#N/A,#N/A,FALSE,"Sheet1 (2)"}</definedName>
    <definedName name="asda1" localSheetId="2" hidden="1">{#N/A,#N/A,FALSE,"Sheet1 (2)"}</definedName>
    <definedName name="asda1" hidden="1">{#N/A,#N/A,FALSE,"Sheet1 (2)"}</definedName>
    <definedName name="asdad">#REF!</definedName>
    <definedName name="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>[0]!BAKSANA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thnym" hidden="1">{#N/A,#N/A,FALSE,"Sheet1 (2)"}</definedName>
    <definedName name="BELGİN" hidden="1">{#N/A,#N/A,FALSE,"Sheet1 (2)"}</definedName>
    <definedName name="Best">#REF!</definedName>
    <definedName name="bfhtht" hidden="1">{#N/A,#N/A,FALSE,"Sheet1 (2)"}</definedName>
    <definedName name="BFX_BRANDFX">60122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İANCO12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hidden="1">{#N/A,#N/A,FALSE,"Sheet1 (2)"}</definedName>
    <definedName name="bnhk" localSheetId="2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hidden="1">{#N/A,#N/A,FALSE,"Sheet1 (2)"}</definedName>
    <definedName name="bsderty">[0]!bsderty</definedName>
    <definedName name="btrm" hidden="1">{#N/A,#N/A,FALSE,"Sheet1 (2)"}</definedName>
    <definedName name="bu" hidden="1">{#N/A,#N/A,FALSE,"Sheet1 (2)"}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YINGMETHOD">'[9]Buying Method'!$A$1:$A$65536</definedName>
    <definedName name="BUYUME" hidden="1">{#N/A,#N/A,FALSE,"MALİTABLOLAR"}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2" hidden="1">{#N/A,#N/A,FALSE,"Sheet1 (2)"}</definedName>
    <definedName name="cbhgj" hidden="1">{#N/A,#N/A,FALSE,"Sheet1 (2)"}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d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hidden="1">{#N/A,#N/A,FALSE,"Sheet1 (2)"}</definedName>
    <definedName name="çç" localSheetId="2" hidden="1">{#N/A,#N/A,FALSE,"Sheet1 (2)"}</definedName>
    <definedName name="çç" hidden="1">{#N/A,#N/A,FALSE,"Sheet1 (2)"}</definedName>
    <definedName name="d" hidden="1">{#N/A,#N/A,FALSE,"Sheet1 (2)"}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DD" localSheetId="2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hidden="1">{#N/A,#N/A,FALSE,"Sheet1 (2)"}</definedName>
    <definedName name="DEGI">#REF!</definedName>
    <definedName name="DENİZBANK" localSheetId="2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2" hidden="1">{#N/A,#N/A,FALSE,"Sheet1 (2)"}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sdg" hidden="1">{#N/A,#N/A,FALSE,"Sheet1 (2)"}</definedName>
    <definedName name="derwr" hidden="1">{#N/A,#N/A,FALSE,"Sheet1 (2)"}</definedName>
    <definedName name="des" hidden="1">{#N/A,#N/A,FALSE,"Sheet1 (2)"}</definedName>
    <definedName name="df">#REF!</definedName>
    <definedName name="dfa" hidden="1">{#N/A,#N/A,FALSE,"Sheet1 (2)"}</definedName>
    <definedName name="DFDF">[0]!DFDF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hf" hidden="1">#REF!</definedName>
    <definedName name="dfhggh" hidden="1">{#N/A,#N/A,FALSE,"Sheet1 (2)"}</definedName>
    <definedName name="dfr">[0]!dfr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SFSDSS" localSheetId="2" hidden="1">{#N/A,#N/A,FALSE,"Sheet1 (2)"}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hidden="1">{#N/A,#N/A,FALSE,"Sheet1 (2)"}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hidden="1">{#N/A,#N/A,FALSE,"MALİTABLOLAR"}</definedName>
    <definedName name="DOLCIA" hidden="1">{#N/A,#N/A,FALSE,"MALİTABLOLAR"}</definedName>
    <definedName name="Dönem">#REF!</definedName>
    <definedName name="dsd" hidden="1">{#N/A,#N/A,FALSE,"Sheet1 (2)"}</definedName>
    <definedName name="DSF" hidden="1">{#N/A,#N/A,FALSE,"Sheet1 (2)"}</definedName>
    <definedName name="DSGSDH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2" hidden="1">{#N/A,#N/A,FALSE,"Sheet1 (2)"}</definedName>
    <definedName name="e" hidden="1">{#N/A,#N/A,FALSE,"Sheet1 (2)"}</definedName>
    <definedName name="eaeıi" localSheetId="2" hidden="1">{#N/A,#N/A,FALSE,"Sheet1 (2)"}</definedName>
    <definedName name="eaeıi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hidden="1">{#N/A,#N/A,FALSE,"Sheet1 (2)"}</definedName>
    <definedName name="EEE" hidden="1">{#N/A,#N/A,FALSE,"Sheet1 (2)"}</definedName>
    <definedName name="EEEE" localSheetId="2" hidden="1">{#N/A,#N/A,FALSE,"Sheet1 (2)"}</definedName>
    <definedName name="EEEE" hidden="1">{#N/A,#N/A,FALSE,"Sheet1 (2)"}</definedName>
    <definedName name="EEEEE" hidden="1">{#N/A,#N/A,FALSE,"Sheet1 (2)"}</definedName>
    <definedName name="EEEEEE" localSheetId="2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ee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reee" hidden="1">{#N/A,#N/A,FALSE,"Sheet1 (2)"}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jhnfd" hidden="1">{#N/A,#N/A,FALSE,"Sheet1 (2)"}</definedName>
    <definedName name="erwert" hidden="1">{#N/A,#N/A,FALSE,"Sheet1 (2)"}</definedName>
    <definedName name="eski" localSheetId="2" hidden="1">{#N/A,#N/A,FALSE,"Sheet1 (2)"}</definedName>
    <definedName name="eski" hidden="1">{#N/A,#N/A,FALSE,"Sheet1 (2)"}</definedName>
    <definedName name="etr5ytyty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hidden="1">{#N/A,#N/A,FALSE,"Sheet1 (2)"}</definedName>
    <definedName name="fcb">[0]!fcb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2" hidden="1">{#N/A,#N/A,FALSE,"Sheet1 (2)"}</definedName>
    <definedName name="fersda" hidden="1">{#N/A,#N/A,FALSE,"Sheet1 (2)"}</definedName>
    <definedName name="fert">[0]!fert</definedName>
    <definedName name="feveejerg" hidden="1">{#N/A,#N/A,FALSE,"Sheet1 (2)"}</definedName>
    <definedName name="ff" hidden="1">{#N/A,#N/A,FALSE,"Sheet1 (2)"}</definedName>
    <definedName name="fff" localSheetId="2" hidden="1">{#N/A,#N/A,FALSE,"Sheet1 (2)"}</definedName>
    <definedName name="fff" hidden="1">{#N/A,#N/A,FALSE,"Sheet1 (2)"}</definedName>
    <definedName name="FFFF" localSheetId="2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>[0]!FG</definedName>
    <definedName name="fgdhh" hidden="1">{#N/A,#N/A,FALSE,"Sheet1 (2)"}</definedName>
    <definedName name="fgfefghtjty" hidden="1">{#N/A,#N/A,FALSE,"Sheet1 (2)"}</definedName>
    <definedName name="fghf" hidden="1">{#N/A,#N/A,FALSE,"Sheet1 (2)"}</definedName>
    <definedName name="fghfgh" hidden="1">#REF!</definedName>
    <definedName name="fgn" localSheetId="2" hidden="1">{#N/A,#N/A,FALSE,"Sheet1 (2)"}</definedName>
    <definedName name="fgn" hidden="1">{#N/A,#N/A,FALSE,"Sheet1 (2)"}</definedName>
    <definedName name="fgrwgygh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hidden="1">{#N/A,#N/A,FALSE,"Sheet1 (2)"}</definedName>
    <definedName name="FLASH">#REF!</definedName>
    <definedName name="FLASHVW">#REF!</definedName>
    <definedName name="FLOWCHART" hidden="1">{#N/A,#N/A,FALSE,"Sheet1 (2)"}</definedName>
    <definedName name="Form.Quota" localSheetId="2">IF(#REF!=0,0,#REF!*#REF!/#REF!)</definedName>
    <definedName name="Form.Quota">IF(#REF!=0,0,#REF!*#REF!/#REF!)</definedName>
    <definedName name="FORMAT">[15]Format!$A$1:$A$65536</definedName>
    <definedName name="frte">[0]!frte</definedName>
    <definedName name="ftc">[0]!ftc</definedName>
    <definedName name="g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1" hidden="1">{#N/A,#N/A,FALSE,"Sheet1 (2)"}</definedName>
    <definedName name="gazete2" hidden="1">{#N/A,#N/A,FALSE,"Sheet1 (2)"}</definedName>
    <definedName name="gazetecik" hidden="1">{#N/A,#N/A,FALSE,"Sheet1 (2)"}</definedName>
    <definedName name="gdfgdhh" hidden="1">{#N/A,#N/A,FALSE,"Sheet1 (2)"}</definedName>
    <definedName name="gefge" hidden="1">{#N/A,#N/A,FALSE,"Sheet1 (2)"}</definedName>
    <definedName name="Genc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2" hidden="1">{#N/A,#N/A,FALSE,"Sheet1 (2)"}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hh" hidden="1">{#N/A,#N/A,FALSE,"Sheet1 (2)"}</definedName>
    <definedName name="gfsgg" hidden="1">{#N/A,#N/A,FALSE,"Sheet1 (2)"}</definedName>
    <definedName name="GFTED">#REF!</definedName>
    <definedName name="G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hdhyh" hidden="1">{#N/A,#N/A,FALSE,"Sheet1 (2)"}</definedName>
    <definedName name="ghhhjfj" hidden="1">{#N/A,#N/A,FALSE,"Sheet1 (2)"}</definedName>
    <definedName name="GHJ" hidden="1">{#N/A,#N/A,FALSE,"Sheet1 (2)"}</definedName>
    <definedName name="glöflşfl" hidden="1">{#N/A,#N/A,FALSE,"Sheet1 (2)"}</definedName>
    <definedName name="got">#REF!</definedName>
    <definedName name="GRP">#REF!</definedName>
    <definedName name="grtre">[0]!grtre</definedName>
    <definedName name="GR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hidden="1">{#N/A,#N/A,FALSE,"Sheet1 (2)"}</definedName>
    <definedName name="hbfghh" localSheetId="2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2" hidden="1">{#N/A,#N/A,FALSE,"Sheet1 (2)"}</definedName>
    <definedName name="HHH" hidden="1">{#N/A,#N/A,FALSE,"Sheet1 (2)"}</definedName>
    <definedName name="HiddenRows" hidden="1">#REF!</definedName>
    <definedName name="hjgkjk" hidden="1">{#N/A,#N/A,FALSE,"Sheet1 (2)"}</definedName>
    <definedName name="hjhjh">#REF!</definedName>
    <definedName name="hjhkhk" hidden="1">{#N/A,#N/A,FALSE,"Sheet1 (2)"}</definedName>
    <definedName name="HJUI" localSheetId="2" hidden="1">{#N/A,#N/A,FALSE,"Sheet1 (2)"}</definedName>
    <definedName name="HJUI" hidden="1">{#N/A,#N/A,FALSE,"Sheet1 (2)"}</definedName>
    <definedName name="hjvgjöh" hidden="1">#REF!</definedName>
    <definedName name="hlktdskgf" hidden="1">{#N/A,#N/A,FALSE,"Sheet1 (2)"}</definedName>
    <definedName name="hm">[0]!hm</definedName>
    <definedName name="hsdf" hidden="1">{#N/A,#N/A,FALSE,"Sheet1 (2)"}</definedName>
    <definedName name="HT">#REF!</definedName>
    <definedName name="HTML_CodePage">1254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hidden="1">{#N/A,#N/A,FALSE,"Sheet1 (2)"}</definedName>
    <definedName name="ı" localSheetId="2" hidden="1">{#N/A,#N/A,FALSE,"Sheet1 (2)"}</definedName>
    <definedName name="ı" hidden="1">{#N/A,#N/A,FALSE,"Sheet1 (2)"}</definedName>
    <definedName name="ıhıoh" hidden="1">{#N/A,#N/A,FALSE,"Sheet1 (2)"}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2" hidden="1">{#N/A,#N/A,FALSE,"Sheet1 (2)"}</definedName>
    <definedName name="JJJ" hidden="1">{#N/A,#N/A,FALSE,"Sheet1 (2)"}</definedName>
    <definedName name="jkdsjhjsncd" hidden="1">{#N/A,#N/A,FALSE,"Sheet1 (2)"}</definedName>
    <definedName name="JKIO" localSheetId="2" hidden="1">{#N/A,#N/A,FALSE,"Sheet1 (2)"}</definedName>
    <definedName name="JKIO" hidden="1">{#N/A,#N/A,FALSE,"Sheet1 (2)"}</definedName>
    <definedName name="jkl" hidden="1">{#N/A,#N/A,FALSE,"Sheet1 (2)"}</definedName>
    <definedName name="JOYFM_S1">#REF!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2" hidden="1">{#N/A,#N/A,FALSE,"Sheet1 (2)"}</definedName>
    <definedName name="JUO" hidden="1">{#N/A,#N/A,FALSE,"Sheet1 (2)"}</definedName>
    <definedName name="JXNHXBN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hidden="1">{#N/A,#N/A,FALSE,"Sheet1 (2)"}</definedName>
    <definedName name="KDVW">#REF!</definedName>
    <definedName name="kenan" hidden="1">{#N/A,#N/A,FALSE,"Sheet1 (2)"}</definedName>
    <definedName name="khjklşhl" hidden="1">{#N/A,#N/A,FALSE,"Sheet1 (2)"}</definedName>
    <definedName name="KISSTV">#REF!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hidden="1">{#N/A,#N/A,FALSE,"Sheet1 (2)"}</definedName>
    <definedName name="kk" hidden="1">{#N/A,#N/A,FALSE,"Sheet1 (2)"}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hidden="1">{#N/A,#N/A,FALSE,"MALİTABLOLAR";#N/A,#N/A,FALSE,"PERS MSRMRZ";#N/A,#N/A,FALSE,"MALİTABLOLAR";#N/A,#N/A,FALSE,"İskonto"}</definedName>
    <definedName name="kljkl" hidden="1">{#N/A,#N/A,FALSE,"Sheet1 (2)"}</definedName>
    <definedName name="KOD">#REF!</definedName>
    <definedName name="kola" hidden="1">{#N/A,#N/A,FALSE,"Sheet1 (2)"}</definedName>
    <definedName name="KOLŞ" localSheetId="2" hidden="1">{#N/A,#N/A,FALSE,"Sheet1 (2)"}</definedName>
    <definedName name="KOLŞ" hidden="1">{#N/A,#N/A,FALSE,"Sheet1 (2)"}</definedName>
    <definedName name="KOP" localSheetId="2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hidden="1">{#N/A,#N/A,FALSE,"Sheet1 (2)"}</definedName>
    <definedName name="LIST">[8]Kategoriler!$A$1:$B$44</definedName>
    <definedName name="lig" hidden="1">{#N/A,#N/A,FALSE,"Sheet1 (2)"}</definedName>
    <definedName name="Light" hidden="1">{#N/A,#N/A,FALSE,"MALİTABLOLAR"}</definedName>
    <definedName name="ListStart">#REF!</definedName>
    <definedName name="ljkll" hidden="1">{#N/A,#N/A,FALSE,"Sheet1 (2)"}</definedName>
    <definedName name="M" localSheetId="2" hidden="1">{#N/A,#N/A,FALSE,"Sheet1 (2)"}</definedName>
    <definedName name="M" hidden="1">{#N/A,#N/A,FALSE,"Sheet1 (2)"}</definedName>
    <definedName name="mag" localSheetId="2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hidden="1">{#N/A,#N/A,FALSE,"Sheet1 (2)"}</definedName>
    <definedName name="MELİKE">[0]!MELİKE</definedName>
    <definedName name="memo">[0]!memo</definedName>
    <definedName name="Mepas">#REF!</definedName>
    <definedName name="mmm">[0]!mmm</definedName>
    <definedName name="MMMMMMM" hidden="1">{#N/A,#N/A,FALSE,"Sheet1 (2)"}</definedName>
    <definedName name="Mo">#REF!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hidden="1">{#N/A,#N/A,FALSE,"Sheet1 (2)"}</definedName>
    <definedName name="musteri">#REF!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hidden="1">{#N/A,#N/A,FALSE,"Sheet1 (2)"}</definedName>
    <definedName name="Nickolodeon">#REF!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{#N/A,#N/A,FALSE,"MALİTABLOLAR"}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hidden="1">{#N/A,#N/A,FALSE,"Sheet1 (2)"}</definedName>
    <definedName name="OCAK">#REF!</definedName>
    <definedName name="od" hidden="1">#REF!</definedName>
    <definedName name="odluu" hidden="1">{#N/A,#N/A,FALSE,"Sheet1 (2)"}</definedName>
    <definedName name="ogogo" hidden="1">{#N/A,#N/A,FALSE,"Sheet1 (2)"}</definedName>
    <definedName name="onur" hidden="1">{#N/A,#N/A,FALSE,"Sheet1 (2)"}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>[0]!önnnn</definedName>
    <definedName name="parentcompany">[6]network!$A$1:$A$65536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VLOOKUP("ALL_MONTH_9",LANG_STRS_RNG,[20]!LANG_CELL+1,FALSE) &amp; " " &amp;  2006</definedName>
    <definedName name="PERIODO" localSheetId="2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hidden="1">{#N/A,#N/A,FALSE,"Sheet1 (2)"}</definedName>
    <definedName name="PLAY2" hidden="1">{#N/A,#N/A,FALSE,"Sheet1 (2)"}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S.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_xlnm.Print_Area">#REF!</definedName>
    <definedName name="_xlnm.Print_Titles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2" hidden="1">{#N/A,#N/A,FALSE,"Sheet1 (2)"}</definedName>
    <definedName name="RAA" hidden="1">{#N/A,#N/A,FALSE,"Sheet1 (2)"}</definedName>
    <definedName name="RADYO" localSheetId="2" hidden="1">{#N/A,#N/A,FALSE,"Sheet1 (2)"}</definedName>
    <definedName name="RADYO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hidden="1">{#N/A,#N/A,FALSE,"Sheet1 (2)"}</definedName>
    <definedName name="REFZONE">#REF!</definedName>
    <definedName name="reyhan">[0]!reyhan</definedName>
    <definedName name="rg" hidden="1">#REF!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hidden="1">{#N/A,#N/A,FALSE,"Sheet1 (2)"}</definedName>
    <definedName name="RRRR" localSheetId="2" hidden="1">{#N/A,#N/A,FALSE,"Sheet1 (2)"}</definedName>
    <definedName name="RRRR" hidden="1">{#N/A,#N/A,FALSE,"Sheet1 (2)"}</definedName>
    <definedName name="RRRRRRRR" localSheetId="2" hidden="1">{#N/A,#N/A,FALSE,"Sheet1 (2)"}</definedName>
    <definedName name="RRRRRRRR" hidden="1">{#N/A,#N/A,FALSE,"Sheet1 (2)"}</definedName>
    <definedName name="rrrrrrrrrr" localSheetId="2" hidden="1">{#N/A,#N/A,FALSE,"Sheet1 (2)"}</definedName>
    <definedName name="rrrrrrrrrr" hidden="1">{#N/A,#N/A,FALSE,"Sheet1 (2)"}</definedName>
    <definedName name="rtethyrthhj" hidden="1">{#N/A,#N/A,FALSE,"Sheet1 (2)"}</definedName>
    <definedName name="rtqerr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[0]!rty</definedName>
    <definedName name="s">#REF!</definedName>
    <definedName name="saa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hidden="1">{#N/A,#N/A,FALSE,"Sheet1 (2)"}</definedName>
    <definedName name="sd" hidden="1">#REF!</definedName>
    <definedName name="sda" hidden="1">{#N/A,#N/A,FALSE,"Sheet1 (2)"}</definedName>
    <definedName name="sdasdadsda">#REF!</definedName>
    <definedName name="sdf">#REF!</definedName>
    <definedName name="SDFASDF" hidden="1">{#N/A,#N/A,FALSE,"Sheet1 (2)"}</definedName>
    <definedName name="sdfe" hidden="1">{#N/A,#N/A,FALSE,"Sheet1 (2)"}</definedName>
    <definedName name="sdfgg" hidden="1">{#N/A,#N/A,FALSE,"Sheet1 (2)"}</definedName>
    <definedName name="SDFRWEFT" hidden="1">{#N/A,#N/A,FALSE,"Sheet1 (2)"}</definedName>
    <definedName name="sdfsd" hidden="1">{#N/A,#N/A,FALSE,"Sheet1 (2)"}</definedName>
    <definedName name="sdfsdf" hidden="1">{#N/A,#N/A,FALSE,"Sheet1 (2)"}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hidden="1">{#N/A,#N/A,FALSE,"Sheet1 (2)"}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hidden="1">{#N/A,#N/A,FALSE,"Sheet1 (2)"}</definedName>
    <definedName name="sfds" hidden="1">{#N/A,#N/A,FALSE,"Sheet1 (2)"}</definedName>
    <definedName name="sfgdfgsfg">#REF!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OFT">#REF!</definedName>
    <definedName name="SOFTOD">#REF!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>[0]!sumru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2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2" hidden="1">{#N/A,#N/A,FALSE,"Sheet1 (2)"}</definedName>
    <definedName name="thş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2" hidden="1">{#N/A,#N/A,FALSE,"Sheet1 (2)"}</definedName>
    <definedName name="tutku" hidden="1">{#N/A,#N/A,FALSE,"Sheet1 (2)"}</definedName>
    <definedName name="TÜR">#REF!</definedName>
    <definedName name="TV">#REF!</definedName>
    <definedName name="tyetywy" hidden="1">{#N/A,#N/A,FALSE,"Sheet1 (2)"}</definedName>
    <definedName name="Typologies">#REF!</definedName>
    <definedName name="tytey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2" hidden="1">{#N/A,#N/A,FALSE,"Sheet1 (2)"}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hidden="1">{#N/A,#N/A,FALSE,"MALİTABLOLAR"}</definedName>
    <definedName name="V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2" hidden="1">{#N/A,#N/A,FALSE,"Sheet1 (2)"}</definedName>
    <definedName name="VF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qer">[0]!wqer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localSheetId="2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hidden="1">{#N/A,#N/A,FALSE,"Sheet1 (2)"}</definedName>
    <definedName name="X" localSheetId="2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hidden="1">{#N/A,#N/A,FALSE,"Sheet1 (2)"}</definedName>
    <definedName name="xx" hidden="1">{#N/A,#N/A,FALSE,"Sheet1 (2)"}</definedName>
    <definedName name="xxx" localSheetId="2" hidden="1">{#N/A,#N/A,FALSE,"Sheet1 (2)"}</definedName>
    <definedName name="xxx" hidden="1">{#N/A,#N/A,FALSE,"Sheet1 (2)"}</definedName>
    <definedName name="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elda" hidden="1">{#N/A,#N/A,FALSE,"Sheet1 (2)"}</definedName>
    <definedName name="YENI">#REF!</definedName>
    <definedName name="YENİ" hidden="1">{#N/A,#N/A,FALSE,"Sheet1 (2)"}</definedName>
    <definedName name="YEREL" hidden="1">{#N/A,#N/A,FALSE,"Sheet1 (2)"}</definedName>
    <definedName name="yfg">#REF!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hidden="1">{#N/A,#N/A,FALSE,"MALİTABLOLAR"}</definedName>
    <definedName name="yuuyjjj" hidden="1">{#N/A,#N/A,FALSE,"Sheet1 (2)"}</definedName>
    <definedName name="yuyuyrjysu" hidden="1">{#N/A,#N/A,FALSE,"Sheet1 (2)"}</definedName>
    <definedName name="YY" hidden="1">{#N/A,#N/A,FALSE,"MALİTABLOLAR"}</definedName>
    <definedName name="yyy" hidden="1">{#N/A,#N/A,FALSE,"Sheet1 (2)"}</definedName>
    <definedName name="z" hidden="1">#REF!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2" hidden="1">{#N/A,#N/A,FALSE,"Sheet1 (2)"}</definedName>
    <definedName name="ZEYNEP" hidden="1">{#N/A,#N/A,FALSE,"Sheet1 (2)"}</definedName>
    <definedName name="zizi" hidden="1">{#N/A,#N/A,FALSE,"MALİTABLOLAR"}</definedName>
    <definedName name="zxc" hidden="1">{#N/A,#N/A,FALSE,"Sheet1 (2)"}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2" l="1"/>
  <c r="E9" i="12"/>
  <c r="M24" i="12" l="1"/>
  <c r="M17" i="12"/>
  <c r="M25" i="12" l="1"/>
  <c r="M23" i="12"/>
  <c r="M22" i="12"/>
  <c r="M21" i="12"/>
  <c r="M20" i="12"/>
  <c r="M19" i="12"/>
  <c r="M18" i="12"/>
  <c r="M16" i="12"/>
  <c r="Q18" i="12"/>
  <c r="O16" i="12"/>
  <c r="O17" i="12"/>
  <c r="O18" i="12"/>
  <c r="O19" i="12"/>
  <c r="O20" i="12"/>
  <c r="O21" i="12"/>
  <c r="O22" i="12"/>
  <c r="O23" i="12"/>
  <c r="O25" i="12"/>
  <c r="M14" i="12"/>
  <c r="Q15" i="12" l="1"/>
  <c r="Q16" i="12"/>
  <c r="Q17" i="12"/>
  <c r="Q20" i="12"/>
  <c r="Q21" i="12"/>
  <c r="Q22" i="12"/>
  <c r="Q23" i="12"/>
  <c r="Q14" i="12"/>
  <c r="O14" i="12"/>
  <c r="Q19" i="12"/>
  <c r="Q25" i="12"/>
  <c r="I24" i="12"/>
  <c r="I23" i="12"/>
  <c r="L26" i="12"/>
  <c r="G26" i="12" l="1"/>
  <c r="H26" i="12"/>
  <c r="P26" i="12"/>
  <c r="O26" i="12"/>
  <c r="Q26" i="12" s="1"/>
  <c r="I15" i="12" l="1"/>
  <c r="I16" i="12"/>
  <c r="I17" i="12"/>
  <c r="I18" i="12"/>
  <c r="I19" i="12"/>
  <c r="I20" i="12"/>
  <c r="I21" i="12"/>
  <c r="I22" i="12"/>
  <c r="I14" i="12"/>
  <c r="M26" i="12" l="1"/>
  <c r="E8" i="12" s="1"/>
  <c r="E7" i="12" l="1"/>
  <c r="E6" i="12" s="1"/>
  <c r="L4" i="14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</calcChain>
</file>

<file path=xl/sharedStrings.xml><?xml version="1.0" encoding="utf-8"?>
<sst xmlns="http://schemas.openxmlformats.org/spreadsheetml/2006/main" count="119" uniqueCount="84">
  <si>
    <t>Marka: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</si>
  <si>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</si>
  <si>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</si>
  <si>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</si>
  <si>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</si>
  <si>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</si>
  <si>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</si>
  <si>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</si>
  <si>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Objektive</t>
  </si>
  <si>
    <t>Unit Cost</t>
  </si>
  <si>
    <t>Budget</t>
  </si>
  <si>
    <t>Secondary Metrics</t>
  </si>
  <si>
    <t>Platform</t>
  </si>
  <si>
    <t>Mecra</t>
  </si>
  <si>
    <t>Site/Network</t>
  </si>
  <si>
    <t>Kategori / Hedefleme</t>
  </si>
  <si>
    <t>Yayın Türü</t>
  </si>
  <si>
    <t>Planlanan Impression/View</t>
  </si>
  <si>
    <t>Gerçekleşme Oranı</t>
  </si>
  <si>
    <t>Planlanan Unit Cost       (CPM, CPV, CPC)</t>
  </si>
  <si>
    <t>Gerçekleşeni Unit Cost 
(CPM, CPV,  CPC)</t>
  </si>
  <si>
    <t xml:space="preserve"> Planlanan Yayın Bedeli</t>
  </si>
  <si>
    <t>Gerçekleşen Yayın Maliyeti</t>
  </si>
  <si>
    <t>Click</t>
  </si>
  <si>
    <t>CTR %</t>
  </si>
  <si>
    <t>%100 VCR</t>
  </si>
  <si>
    <t>Desktop / Mobile</t>
  </si>
  <si>
    <t>Hedeflemeli Yayın</t>
  </si>
  <si>
    <t>-</t>
  </si>
  <si>
    <t>Preroll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</si>
  <si>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</si>
  <si>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</si>
  <si>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</si>
  <si>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</si>
  <si>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</si>
  <si>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</si>
  <si>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</si>
  <si>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</si>
  <si>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</si>
  <si>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</si>
  <si>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</si>
  <si>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</si>
  <si>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</si>
  <si>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</si>
  <si>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</si>
  <si>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</si>
  <si>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</si>
  <si>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</si>
  <si>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Bitaksi</t>
  </si>
  <si>
    <t>Branding</t>
  </si>
  <si>
    <t>Kasım</t>
  </si>
  <si>
    <t>Acunn</t>
  </si>
  <si>
    <t>Tv8</t>
  </si>
  <si>
    <t>Bein</t>
  </si>
  <si>
    <t>Tod &amp; Bein Connect</t>
  </si>
  <si>
    <t>Maç Özetleri</t>
  </si>
  <si>
    <t>Can</t>
  </si>
  <si>
    <t>Show Tv</t>
  </si>
  <si>
    <t>Demirören</t>
  </si>
  <si>
    <t>Kanal D</t>
  </si>
  <si>
    <t>Alt Bant</t>
  </si>
  <si>
    <t>NOW</t>
  </si>
  <si>
    <t>Now</t>
  </si>
  <si>
    <t>Trt</t>
  </si>
  <si>
    <t>Turkuvaz</t>
  </si>
  <si>
    <t>Atv</t>
  </si>
  <si>
    <t>Hedeflemeli Yayın (Dizi İçerikleri)</t>
  </si>
  <si>
    <t>Preroll &amp; Liveroll</t>
  </si>
  <si>
    <t>Gaming</t>
  </si>
  <si>
    <t>All-in</t>
  </si>
  <si>
    <t>Twitch &amp; Kick</t>
  </si>
  <si>
    <t>Oyun içi Rich Media</t>
  </si>
  <si>
    <t>Bond</t>
  </si>
  <si>
    <t>Azerion // Gaming</t>
  </si>
  <si>
    <t>Attention Accelerator</t>
  </si>
  <si>
    <t>VOD</t>
  </si>
  <si>
    <t>Disney+</t>
  </si>
  <si>
    <t>Hedeflemeli Yayın (Demogragfi + Lokasyon)</t>
  </si>
  <si>
    <t>TRT</t>
  </si>
  <si>
    <t>Tabii</t>
  </si>
  <si>
    <t>Reach</t>
  </si>
  <si>
    <t>Gerçekleşen View</t>
  </si>
  <si>
    <t>View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</si>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</sst>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</numFmts>
  <fonts count="29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b/>
      <sz val="14"/>
      <color theme="0"/>
      <name val="Poppins"/>
      <charset val="162"/>
    </font>
    <font>
      <sz val="14"/>
      <color rgb="FF000000"/>
      <name val="Poppins"/>
      <charset val="162"/>
    </font>
    <font>
      <b/>
      <sz val="14"/>
      <color theme="1"/>
      <name val="Poppins"/>
      <charset val="162"/>
    </font>
    <font>
      <b/>
      <sz val="16"/>
      <color theme="1"/>
      <name val="Poppins"/>
      <charset val="162"/>
    </font>
    <font>
      <sz val="11"/>
      <name val="Calibri"/>
      <family val="2"/>
      <charset val="162"/>
    </font>
    <font>
      <b/>
      <u/>
      <sz val="14"/>
      <color rgb="FFC00000"/>
      <name val="Poppins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b/>
      <sz val="13"/>
      <color theme="0"/>
      <name val="Poppins"/>
      <charset val="162"/>
    </font>
    <font>
      <sz val="14"/>
      <color theme="0"/>
      <name val="Poppins"/>
      <charset val="162"/>
    </font>
    <font>
      <b/>
      <u/>
      <sz val="12"/>
      <color rgb="FFC00000"/>
      <name val="Poppins"/>
      <charset val="162"/>
    </font>
    <font>
      <b/>
      <sz val="15"/>
      <color theme="1"/>
      <name val="Poppins"/>
      <charset val="162"/>
    </font>
    <font>
      <sz val="20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6" fillId="0" borderId="0"/>
    <xf numFmtId="0" fontId="19" fillId="0" borderId="0"/>
    <xf numFmtId="0" fontId="20" fillId="0" borderId="0"/>
    <xf numFmtId="44" fontId="4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9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 wrapText="1"/>
    </xf>
    <xf numFmtId="44" fontId="17" fillId="0" borderId="0" xfId="0" applyNumberFormat="1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170" fontId="13" fillId="0" borderId="7" xfId="1" applyNumberFormat="1" applyFont="1" applyBorder="1" applyAlignment="1">
      <alignment horizontal="center" vertical="center"/>
    </xf>
    <xf numFmtId="0" fontId="22" fillId="0" borderId="0" xfId="0" applyFont="1"/>
    <xf numFmtId="0" fontId="23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170" fontId="12" fillId="9" borderId="11" xfId="0" applyNumberFormat="1" applyFont="1" applyFill="1" applyBorder="1" applyAlignment="1">
      <alignment horizontal="center" vertical="center" wrapText="1"/>
    </xf>
    <xf numFmtId="169" fontId="12" fillId="9" borderId="7" xfId="1" applyNumberFormat="1" applyFont="1" applyFill="1" applyBorder="1" applyAlignment="1">
      <alignment horizontal="center" vertical="center"/>
    </xf>
    <xf numFmtId="166" fontId="24" fillId="10" borderId="7" xfId="6" applyNumberFormat="1" applyFont="1" applyFill="1" applyBorder="1" applyAlignment="1">
      <alignment horizontal="center" vertical="center"/>
    </xf>
    <xf numFmtId="171" fontId="17" fillId="0" borderId="0" xfId="0" applyNumberFormat="1" applyFont="1" applyAlignment="1">
      <alignment horizontal="center" vertical="center" wrapText="1"/>
    </xf>
    <xf numFmtId="10" fontId="13" fillId="0" borderId="7" xfId="1" applyNumberFormat="1" applyFont="1" applyBorder="1" applyAlignment="1">
      <alignment horizontal="center" vertical="center"/>
    </xf>
    <xf numFmtId="9" fontId="13" fillId="0" borderId="7" xfId="1" applyNumberFormat="1" applyFont="1" applyBorder="1" applyAlignment="1">
      <alignment horizontal="center" vertical="center"/>
    </xf>
    <xf numFmtId="170" fontId="17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9" fontId="17" fillId="0" borderId="0" xfId="0" applyNumberFormat="1" applyFont="1" applyAlignment="1">
      <alignment horizontal="center" vertical="center" wrapText="1"/>
    </xf>
    <xf numFmtId="9" fontId="12" fillId="9" borderId="7" xfId="9" applyFont="1" applyFill="1" applyBorder="1" applyAlignment="1">
      <alignment horizontal="center" vertical="center"/>
    </xf>
    <xf numFmtId="169" fontId="26" fillId="0" borderId="0" xfId="0" applyNumberFormat="1" applyFont="1" applyAlignment="1">
      <alignment horizontal="center" vertical="center" wrapText="1"/>
    </xf>
    <xf numFmtId="170" fontId="26" fillId="0" borderId="0" xfId="0" applyNumberFormat="1" applyFont="1" applyAlignment="1">
      <alignment horizontal="center" vertical="center" wrapText="1"/>
    </xf>
    <xf numFmtId="172" fontId="17" fillId="0" borderId="0" xfId="0" applyNumberFormat="1" applyFont="1" applyAlignment="1">
      <alignment horizontal="center" vertical="center" wrapText="1"/>
    </xf>
    <xf numFmtId="169" fontId="13" fillId="0" borderId="7" xfId="1" applyNumberFormat="1" applyFont="1" applyBorder="1" applyAlignment="1">
      <alignment horizontal="center" vertical="center"/>
    </xf>
    <xf numFmtId="172" fontId="13" fillId="0" borderId="7" xfId="1" applyNumberFormat="1" applyFont="1" applyBorder="1" applyAlignment="1">
      <alignment horizontal="center" vertical="center"/>
    </xf>
    <xf numFmtId="168" fontId="13" fillId="0" borderId="7" xfId="1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13" fillId="3" borderId="7" xfId="1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167" fontId="14" fillId="5" borderId="3" xfId="0" applyNumberFormat="1" applyFont="1" applyFill="1" applyBorder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167" fontId="18" fillId="5" borderId="3" xfId="0" applyNumberFormat="1" applyFont="1" applyFill="1" applyBorder="1" applyAlignment="1">
      <alignment horizontal="center" vertical="center"/>
    </xf>
    <xf numFmtId="167" fontId="18" fillId="5" borderId="4" xfId="0" applyNumberFormat="1" applyFont="1" applyFill="1" applyBorder="1" applyAlignment="1">
      <alignment horizontal="center" vertical="center"/>
    </xf>
    <xf numFmtId="167" fontId="15" fillId="5" borderId="3" xfId="0" applyNumberFormat="1" applyFont="1" applyFill="1" applyBorder="1" applyAlignment="1">
      <alignment horizontal="center" vertical="center"/>
    </xf>
    <xf numFmtId="167" fontId="15" fillId="5" borderId="4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right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7" fontId="11" fillId="3" borderId="3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169" fontId="12" fillId="9" borderId="9" xfId="1" applyNumberFormat="1" applyFont="1" applyFill="1" applyBorder="1" applyAlignment="1">
      <alignment horizontal="center" vertical="center"/>
    </xf>
    <xf numFmtId="167" fontId="11" fillId="3" borderId="3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right" vertical="center"/>
    </xf>
    <xf numFmtId="0" fontId="12" fillId="4" borderId="9" xfId="0" applyFont="1" applyFill="1" applyBorder="1" applyAlignment="1">
      <alignment horizontal="right" vertical="center"/>
    </xf>
    <xf numFmtId="167" fontId="11" fillId="3" borderId="8" xfId="0" applyNumberFormat="1" applyFont="1" applyFill="1" applyBorder="1" applyAlignment="1">
      <alignment horizontal="center" vertical="center"/>
    </xf>
    <xf numFmtId="167" fontId="11" fillId="3" borderId="10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6" fontId="24" fillId="11" borderId="0" xfId="6" applyNumberFormat="1" applyFont="1" applyFill="1" applyBorder="1" applyAlignment="1">
      <alignment horizontal="center" vertical="center"/>
    </xf>
  </cellXfs>
  <cellStyles count="20">
    <cellStyle name="Comma 2" xfId="17" xr:uid="{00000000-0005-0000-0000-000000000000}"/>
    <cellStyle name="Currency" xfId="6" builtinId="4"/>
    <cellStyle name="Currency 2" xfId="8" xr:uid="{00000000-0005-0000-0000-000001000000}"/>
    <cellStyle name="Currency 3" xfId="14" xr:uid="{00000000-0005-0000-0000-000002000000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8" xfId="15" xr:uid="{00000000-0005-0000-0000-00000C000000}"/>
    <cellStyle name="Normal_Zed_s'nek_UCLA_onlineplan_Feb27" xfId="1" xr:uid="{00000000-0005-0000-0000-00000D000000}"/>
    <cellStyle name="ParaBirimi 2" xfId="16" xr:uid="{00000000-0005-0000-0000-00000F000000}"/>
    <cellStyle name="Percent" xfId="9" builtinId="5"/>
    <cellStyle name="Percent 2" xfId="3" xr:uid="{00000000-0005-0000-0000-000010000000}"/>
    <cellStyle name="Virgül 2" xfId="18" xr:uid="{761853F2-0482-4D4A-A26C-1360E84B202E}"/>
    <cellStyle name="Yüzde 2" xfId="19" xr:uid="{6ED1C7BE-0809-4081-B48E-A436BDD49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49"/>
  <sheetViews>
    <sheetView showGridLines="0" tabSelected="1" topLeftCell="A11" zoomScale="43" zoomScaleNormal="43" workbookViewId="0">
      <selection activeCell="A15" sqref="A15"/>
    </sheetView>
  </sheetViews>
  <sheetFormatPr defaultColWidth="9.109375" defaultRowHeight="18" x14ac:dyDescent="0.3"/>
  <cols>
    <col min="1" max="1" width="3" style="1" customWidth="1"/>
    <col min="2" max="2" width="34" style="1" hidden="1" customWidth="1"/>
    <col min="3" max="3" width="27.33203125" style="1" customWidth="1"/>
    <col min="4" max="4" width="30.88671875" style="1" customWidth="1"/>
    <col min="5" max="5" width="41.6640625" style="1" customWidth="1"/>
    <col min="6" max="6" width="37.33203125" style="1" customWidth="1"/>
    <col min="7" max="7" width="40.5546875" style="1" customWidth="1"/>
    <col min="8" max="8" width="47.6640625" style="1" customWidth="1"/>
    <col min="9" max="9" width="28.109375" style="1" customWidth="1"/>
    <col min="10" max="11" width="36.33203125" style="1" customWidth="1"/>
    <col min="12" max="12" width="35" style="1" customWidth="1"/>
    <col min="13" max="13" width="33.88671875" style="2" customWidth="1"/>
    <col min="14" max="15" width="31.6640625" style="1" customWidth="1"/>
    <col min="16" max="16" width="28.33203125" style="1" customWidth="1"/>
    <col min="17" max="19" width="36.33203125" style="1" customWidth="1"/>
    <col min="20" max="20" width="63.44140625" style="1" customWidth="1"/>
    <col min="21" max="21" width="15.88671875" style="1" bestFit="1" customWidth="1"/>
    <col min="22" max="22" width="19.88671875" style="1" customWidth="1"/>
    <col min="23" max="23" width="16.5546875" style="1" bestFit="1" customWidth="1"/>
    <col min="24" max="24" width="13.5546875" style="1" bestFit="1" customWidth="1"/>
    <col min="25" max="25" width="9.44140625" style="1" bestFit="1" customWidth="1"/>
    <col min="26" max="26" width="13.5546875" style="1" bestFit="1" customWidth="1"/>
    <col min="27" max="27" width="9.44140625" style="1" bestFit="1" customWidth="1"/>
    <col min="28" max="30" width="9.33203125" style="1" bestFit="1" customWidth="1"/>
    <col min="31" max="16384" width="9.109375" style="1"/>
  </cols>
  <sheetData>
    <row r="1" spans="2:30" ht="18.600000000000001" thickBot="1" x14ac:dyDescent="0.35"/>
    <row r="2" spans="2:30" ht="32.4" customHeight="1" x14ac:dyDescent="0.3">
      <c r="B2" s="68" t="s">
        <v>0</v>
      </c>
      <c r="C2" s="69"/>
      <c r="D2" s="69"/>
      <c r="E2" s="70" t="s">
        <v>48</v>
      </c>
      <c r="F2" s="71"/>
    </row>
    <row r="3" spans="2:30" ht="36.75" customHeight="1" x14ac:dyDescent="0.3">
      <c r="B3" s="72" t="s">
        <v>1</v>
      </c>
      <c r="C3" s="73"/>
      <c r="D3" s="73"/>
      <c r="E3" s="74" t="s">
        <v>49</v>
      </c>
      <c r="F3" s="75"/>
      <c r="M3" s="1"/>
    </row>
    <row r="4" spans="2:30" ht="36.75" customHeight="1" x14ac:dyDescent="0.3">
      <c r="B4" s="72" t="s">
        <v>2</v>
      </c>
      <c r="C4" s="73"/>
      <c r="D4" s="73"/>
      <c r="E4" s="76" t="s">
        <v>50</v>
      </c>
      <c r="F4" s="77"/>
      <c r="H4" s="33"/>
      <c r="I4" s="33"/>
      <c r="J4" s="33"/>
      <c r="K4" s="33"/>
      <c r="L4" s="33"/>
      <c r="M4" s="1"/>
      <c r="Q4" s="33"/>
      <c r="R4" s="33"/>
      <c r="S4" s="33"/>
      <c r="T4" s="33"/>
    </row>
    <row r="5" spans="2:30" ht="36.75" customHeight="1" x14ac:dyDescent="0.3">
      <c r="B5" s="60" t="s">
        <v>3</v>
      </c>
      <c r="C5" s="61"/>
      <c r="D5" s="61"/>
      <c r="E5" s="62">
        <v>2962385.76</v>
      </c>
      <c r="F5" s="63"/>
      <c r="H5" s="34"/>
      <c r="I5"/>
      <c r="J5"/>
      <c r="K5"/>
      <c r="L5"/>
      <c r="M5" s="1"/>
      <c r="Q5"/>
      <c r="R5"/>
      <c r="S5"/>
      <c r="T5"/>
    </row>
    <row r="6" spans="2:30" ht="36.75" customHeight="1" x14ac:dyDescent="0.3">
      <c r="B6" s="60" t="s">
        <v>4</v>
      </c>
      <c r="C6" s="61"/>
      <c r="D6" s="61"/>
      <c r="E6" s="64">
        <f>E5-E7</f>
        <v>215933.57818499999</v>
      </c>
      <c r="F6" s="65"/>
      <c r="G6" s="32"/>
      <c r="M6" s="1"/>
    </row>
    <row r="7" spans="2:30" ht="36.75" customHeight="1" x14ac:dyDescent="0.3">
      <c r="B7" s="60" t="s">
        <v>5</v>
      </c>
      <c r="C7" s="61"/>
      <c r="D7" s="61"/>
      <c r="E7" s="66">
        <f>E8+E9</f>
        <v>2746452.1818149998</v>
      </c>
      <c r="F7" s="67"/>
      <c r="H7" s="32"/>
      <c r="M7" s="1"/>
    </row>
    <row r="8" spans="2:30" ht="26.4" x14ac:dyDescent="0.3">
      <c r="B8" s="60" t="s">
        <v>6</v>
      </c>
      <c r="C8" s="61"/>
      <c r="D8" s="61"/>
      <c r="E8" s="82">
        <f>M26</f>
        <v>2735510.1412499999</v>
      </c>
      <c r="F8" s="83"/>
      <c r="M8"/>
      <c r="N8"/>
      <c r="O8"/>
      <c r="P8"/>
    </row>
    <row r="9" spans="2:30" ht="27" thickBot="1" x14ac:dyDescent="0.35">
      <c r="B9" s="84" t="s">
        <v>7</v>
      </c>
      <c r="C9" s="85"/>
      <c r="D9" s="85"/>
      <c r="E9" s="86">
        <f>(SUM(M14:M25)*4/1000)</f>
        <v>10942.040564999999</v>
      </c>
      <c r="F9" s="87"/>
      <c r="M9"/>
      <c r="N9"/>
      <c r="O9"/>
      <c r="P9"/>
    </row>
    <row r="10" spans="2:30" x14ac:dyDescent="0.3">
      <c r="M10"/>
      <c r="N10"/>
      <c r="O10"/>
      <c r="P10"/>
    </row>
    <row r="11" spans="2:30" ht="33" customHeight="1" thickBot="1" x14ac:dyDescent="0.75">
      <c r="B11" s="27"/>
      <c r="C11" s="27"/>
      <c r="D11" s="27"/>
      <c r="E11" s="27"/>
      <c r="F11" s="27"/>
      <c r="G11" s="27"/>
      <c r="H11" s="27"/>
      <c r="I11" s="27"/>
      <c r="J11" s="27"/>
      <c r="K11" s="27"/>
      <c r="M11" s="36"/>
      <c r="N11" s="36"/>
      <c r="O11" s="36"/>
      <c r="P11" s="36"/>
    </row>
    <row r="12" spans="2:30" ht="29.25" customHeight="1" thickBot="1" x14ac:dyDescent="0.35">
      <c r="B12" s="37" t="s">
        <v>49</v>
      </c>
      <c r="C12" s="27"/>
      <c r="D12" s="27"/>
      <c r="E12" s="27"/>
      <c r="F12" s="27"/>
      <c r="G12" s="81" t="s">
        <v>8</v>
      </c>
      <c r="H12" s="81"/>
      <c r="I12" s="81"/>
      <c r="J12" s="81" t="s">
        <v>9</v>
      </c>
      <c r="K12" s="81"/>
      <c r="L12" s="81" t="s">
        <v>10</v>
      </c>
      <c r="M12" s="81"/>
      <c r="N12" s="78" t="s">
        <v>11</v>
      </c>
      <c r="O12" s="79"/>
      <c r="P12" s="79"/>
      <c r="Q12" s="79"/>
      <c r="R12" s="80"/>
    </row>
    <row r="13" spans="2:30" s="2" customFormat="1" ht="73.95" customHeight="1" x14ac:dyDescent="0.3">
      <c r="B13" s="41" t="s">
        <v>12</v>
      </c>
      <c r="C13" s="41" t="s">
        <v>13</v>
      </c>
      <c r="D13" s="41" t="s">
        <v>14</v>
      </c>
      <c r="E13" s="41" t="s">
        <v>15</v>
      </c>
      <c r="F13" s="41" t="s">
        <v>16</v>
      </c>
      <c r="G13" s="41" t="s">
        <v>17</v>
      </c>
      <c r="H13" s="41" t="s">
        <v>81</v>
      </c>
      <c r="I13" s="41" t="s">
        <v>18</v>
      </c>
      <c r="J13" s="41" t="s">
        <v>19</v>
      </c>
      <c r="K13" s="41" t="s">
        <v>20</v>
      </c>
      <c r="L13" s="41" t="s">
        <v>21</v>
      </c>
      <c r="M13" s="42" t="s">
        <v>22</v>
      </c>
      <c r="N13" s="41" t="s">
        <v>80</v>
      </c>
      <c r="O13" s="41" t="s">
        <v>82</v>
      </c>
      <c r="P13" s="41" t="s">
        <v>23</v>
      </c>
      <c r="Q13" s="41" t="s">
        <v>24</v>
      </c>
      <c r="R13" s="41" t="s">
        <v>25</v>
      </c>
    </row>
    <row r="14" spans="2:30" ht="64.95" customHeight="1" x14ac:dyDescent="0.3">
      <c r="B14" s="30" t="s">
        <v>26</v>
      </c>
      <c r="C14" s="31" t="s">
        <v>51</v>
      </c>
      <c r="D14" s="40" t="s">
        <v>52</v>
      </c>
      <c r="E14" s="40" t="s">
        <v>27</v>
      </c>
      <c r="F14" s="30" t="s">
        <v>29</v>
      </c>
      <c r="G14" s="43">
        <v>500000</v>
      </c>
      <c r="H14" s="43">
        <v>548890</v>
      </c>
      <c r="I14" s="51">
        <f>H14/G14</f>
        <v>1.09778</v>
      </c>
      <c r="J14" s="39">
        <v>0.37</v>
      </c>
      <c r="K14" s="39">
        <v>0.37</v>
      </c>
      <c r="L14" s="44">
        <v>200000</v>
      </c>
      <c r="M14" s="44">
        <f>L14</f>
        <v>200000</v>
      </c>
      <c r="N14" s="56">
        <v>251349</v>
      </c>
      <c r="O14" s="55">
        <f t="shared" ref="O14:O25" si="0">H14</f>
        <v>548890</v>
      </c>
      <c r="P14" s="35">
        <v>1404</v>
      </c>
      <c r="Q14" s="46">
        <f>P14/O14</f>
        <v>2.5578895589280183E-3</v>
      </c>
      <c r="R14" s="59">
        <v>0.95954852319137851</v>
      </c>
      <c r="S14" s="32"/>
    </row>
    <row r="15" spans="2:30" ht="64.95" customHeight="1" x14ac:dyDescent="0.3">
      <c r="B15" s="30" t="s">
        <v>26</v>
      </c>
      <c r="C15" s="31" t="s">
        <v>53</v>
      </c>
      <c r="D15" s="40" t="s">
        <v>54</v>
      </c>
      <c r="E15" s="40" t="s">
        <v>55</v>
      </c>
      <c r="F15" s="30" t="s">
        <v>29</v>
      </c>
      <c r="G15" s="43">
        <v>884444.44444444438</v>
      </c>
      <c r="H15" s="43">
        <v>445499</v>
      </c>
      <c r="I15" s="51">
        <f t="shared" ref="I15:I22" si="1">H15/G15</f>
        <v>0.50370489949748742</v>
      </c>
      <c r="J15" s="39">
        <v>0.45</v>
      </c>
      <c r="K15" s="39">
        <v>0.45</v>
      </c>
      <c r="L15" s="44">
        <v>430000</v>
      </c>
      <c r="M15" s="44">
        <v>215510.14125000002</v>
      </c>
      <c r="N15" s="56">
        <v>221424</v>
      </c>
      <c r="O15" s="55">
        <f t="shared" si="0"/>
        <v>445499</v>
      </c>
      <c r="P15" s="35">
        <v>18640</v>
      </c>
      <c r="Q15" s="46">
        <f t="shared" ref="Q15:Q23" si="2">P15/O15</f>
        <v>4.1840722425864028E-2</v>
      </c>
      <c r="R15" s="47">
        <v>0.89446443280804966</v>
      </c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 spans="2:30" ht="64.95" customHeight="1" x14ac:dyDescent="0.3">
      <c r="B16" s="30" t="s">
        <v>26</v>
      </c>
      <c r="C16" s="31" t="s">
        <v>56</v>
      </c>
      <c r="D16" s="40" t="s">
        <v>57</v>
      </c>
      <c r="E16" s="40" t="s">
        <v>27</v>
      </c>
      <c r="F16" s="30" t="s">
        <v>29</v>
      </c>
      <c r="G16" s="43">
        <v>416326.53061224491</v>
      </c>
      <c r="H16" s="43">
        <v>421522</v>
      </c>
      <c r="I16" s="51">
        <f t="shared" si="1"/>
        <v>1.0124793137254902</v>
      </c>
      <c r="J16" s="39">
        <v>0.49</v>
      </c>
      <c r="K16" s="39">
        <v>0.49</v>
      </c>
      <c r="L16" s="44">
        <v>220000</v>
      </c>
      <c r="M16" s="44">
        <f>L16</f>
        <v>220000</v>
      </c>
      <c r="N16" s="56">
        <v>179304</v>
      </c>
      <c r="O16" s="55">
        <f t="shared" si="0"/>
        <v>421522</v>
      </c>
      <c r="P16" s="35">
        <v>6482</v>
      </c>
      <c r="Q16" s="46">
        <f t="shared" si="2"/>
        <v>1.5377607811691917E-2</v>
      </c>
      <c r="R16" s="47">
        <v>0.88763761980109568</v>
      </c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</row>
    <row r="17" spans="2:31" ht="64.95" customHeight="1" x14ac:dyDescent="0.3">
      <c r="B17" s="30" t="s">
        <v>26</v>
      </c>
      <c r="C17" s="31" t="s">
        <v>58</v>
      </c>
      <c r="D17" s="40" t="s">
        <v>59</v>
      </c>
      <c r="E17" s="40" t="s">
        <v>27</v>
      </c>
      <c r="F17" s="30" t="s">
        <v>29</v>
      </c>
      <c r="G17" s="43">
        <v>462500</v>
      </c>
      <c r="H17" s="43">
        <v>475157</v>
      </c>
      <c r="I17" s="51">
        <f t="shared" si="1"/>
        <v>1.0273664864864864</v>
      </c>
      <c r="J17" s="39">
        <v>0.4</v>
      </c>
      <c r="K17" s="39">
        <v>0.4</v>
      </c>
      <c r="L17" s="44">
        <v>200000</v>
      </c>
      <c r="M17" s="44">
        <f>L17</f>
        <v>200000</v>
      </c>
      <c r="N17" s="56">
        <v>274701</v>
      </c>
      <c r="O17" s="55">
        <f t="shared" si="0"/>
        <v>475157</v>
      </c>
      <c r="P17" s="35">
        <v>2730</v>
      </c>
      <c r="Q17" s="46">
        <f t="shared" si="2"/>
        <v>5.7454693922219394E-3</v>
      </c>
      <c r="R17" s="47">
        <v>0.94669999999999999</v>
      </c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spans="2:31" ht="64.5" customHeight="1" x14ac:dyDescent="0.3">
      <c r="B18" s="30" t="s">
        <v>26</v>
      </c>
      <c r="C18" s="31" t="s">
        <v>58</v>
      </c>
      <c r="D18" s="40" t="s">
        <v>59</v>
      </c>
      <c r="E18" s="40" t="s">
        <v>27</v>
      </c>
      <c r="F18" s="30" t="s">
        <v>60</v>
      </c>
      <c r="G18" s="43">
        <v>148837</v>
      </c>
      <c r="H18" s="43">
        <v>164376</v>
      </c>
      <c r="I18" s="51">
        <f t="shared" si="1"/>
        <v>1.1044028030664419</v>
      </c>
      <c r="J18" s="39">
        <v>0.49</v>
      </c>
      <c r="K18" s="39">
        <v>0.49</v>
      </c>
      <c r="L18" s="44">
        <v>80000</v>
      </c>
      <c r="M18" s="44">
        <f t="shared" ref="M18:M23" si="3">L18</f>
        <v>80000</v>
      </c>
      <c r="N18" s="56">
        <v>80239</v>
      </c>
      <c r="O18" s="55">
        <f t="shared" si="0"/>
        <v>164376</v>
      </c>
      <c r="P18" s="35">
        <v>180</v>
      </c>
      <c r="Q18" s="46">
        <f t="shared" si="2"/>
        <v>1.0950503723171265E-3</v>
      </c>
      <c r="R18" s="47" t="s">
        <v>83</v>
      </c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 spans="2:31" ht="64.95" customHeight="1" x14ac:dyDescent="0.3">
      <c r="B19" s="30" t="s">
        <v>26</v>
      </c>
      <c r="C19" s="31" t="s">
        <v>61</v>
      </c>
      <c r="D19" s="40" t="s">
        <v>62</v>
      </c>
      <c r="E19" s="40" t="s">
        <v>27</v>
      </c>
      <c r="F19" s="30" t="s">
        <v>29</v>
      </c>
      <c r="G19" s="43">
        <v>363636</v>
      </c>
      <c r="H19" s="43">
        <v>379718</v>
      </c>
      <c r="I19" s="51">
        <f t="shared" si="1"/>
        <v>1.0442255442255441</v>
      </c>
      <c r="J19" s="39">
        <v>0.5</v>
      </c>
      <c r="K19" s="39">
        <v>0.5</v>
      </c>
      <c r="L19" s="44">
        <v>200000</v>
      </c>
      <c r="M19" s="44">
        <f t="shared" si="3"/>
        <v>200000</v>
      </c>
      <c r="N19" s="56">
        <v>191666</v>
      </c>
      <c r="O19" s="55">
        <f t="shared" si="0"/>
        <v>379718</v>
      </c>
      <c r="P19" s="35">
        <v>3405</v>
      </c>
      <c r="Q19" s="46">
        <f t="shared" si="2"/>
        <v>8.9671809079369426E-3</v>
      </c>
      <c r="R19" s="47">
        <v>0.9011019152965255</v>
      </c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2:31" ht="64.95" customHeight="1" x14ac:dyDescent="0.3">
      <c r="B20" s="30" t="s">
        <v>26</v>
      </c>
      <c r="C20" s="31" t="s">
        <v>63</v>
      </c>
      <c r="D20" s="40" t="s">
        <v>63</v>
      </c>
      <c r="E20" s="40" t="s">
        <v>27</v>
      </c>
      <c r="F20" s="30" t="s">
        <v>29</v>
      </c>
      <c r="G20" s="43">
        <v>500000</v>
      </c>
      <c r="H20" s="43">
        <v>536346</v>
      </c>
      <c r="I20" s="51">
        <f t="shared" si="1"/>
        <v>1.072692</v>
      </c>
      <c r="J20" s="39">
        <v>0.37</v>
      </c>
      <c r="K20" s="39">
        <v>0.37</v>
      </c>
      <c r="L20" s="44">
        <v>200000</v>
      </c>
      <c r="M20" s="44">
        <f t="shared" si="3"/>
        <v>200000</v>
      </c>
      <c r="N20" s="56">
        <v>356124</v>
      </c>
      <c r="O20" s="55">
        <f t="shared" si="0"/>
        <v>536346</v>
      </c>
      <c r="P20" s="35">
        <v>9634</v>
      </c>
      <c r="Q20" s="46">
        <f t="shared" si="2"/>
        <v>1.796228553955842E-2</v>
      </c>
      <c r="R20" s="47">
        <v>0.95069999999999999</v>
      </c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2:31" ht="64.95" customHeight="1" x14ac:dyDescent="0.3">
      <c r="B21" s="30" t="s">
        <v>26</v>
      </c>
      <c r="C21" s="31" t="s">
        <v>64</v>
      </c>
      <c r="D21" s="40" t="s">
        <v>65</v>
      </c>
      <c r="E21" s="40" t="s">
        <v>66</v>
      </c>
      <c r="F21" s="30" t="s">
        <v>67</v>
      </c>
      <c r="G21" s="43">
        <v>357142.85714285716</v>
      </c>
      <c r="H21" s="43">
        <v>372811</v>
      </c>
      <c r="I21" s="51">
        <f t="shared" si="1"/>
        <v>1.0438707999999999</v>
      </c>
      <c r="J21" s="39">
        <v>0.39</v>
      </c>
      <c r="K21" s="39">
        <v>0.39</v>
      </c>
      <c r="L21" s="44">
        <v>150000</v>
      </c>
      <c r="M21" s="44">
        <f t="shared" si="3"/>
        <v>150000</v>
      </c>
      <c r="N21" s="56">
        <v>208119</v>
      </c>
      <c r="O21" s="55">
        <f t="shared" si="0"/>
        <v>372811</v>
      </c>
      <c r="P21" s="35">
        <v>1273</v>
      </c>
      <c r="Q21" s="46">
        <f t="shared" si="2"/>
        <v>3.4145988181679189E-3</v>
      </c>
      <c r="R21" s="47">
        <v>0.94562806279689182</v>
      </c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2:31" ht="94.2" customHeight="1" x14ac:dyDescent="0.3">
      <c r="B22" s="30" t="s">
        <v>68</v>
      </c>
      <c r="C22" s="31" t="s">
        <v>69</v>
      </c>
      <c r="D22" s="40" t="s">
        <v>69</v>
      </c>
      <c r="E22" s="40" t="s">
        <v>70</v>
      </c>
      <c r="F22" s="30" t="s">
        <v>71</v>
      </c>
      <c r="G22" s="43">
        <v>600000</v>
      </c>
      <c r="H22" s="43">
        <v>604348</v>
      </c>
      <c r="I22" s="51">
        <f t="shared" si="1"/>
        <v>1.0072466666666666</v>
      </c>
      <c r="J22" s="39">
        <v>0.46</v>
      </c>
      <c r="K22" s="39">
        <v>0.46</v>
      </c>
      <c r="L22" s="44">
        <v>300000</v>
      </c>
      <c r="M22" s="44">
        <f t="shared" si="3"/>
        <v>300000</v>
      </c>
      <c r="N22" s="56">
        <v>604348</v>
      </c>
      <c r="O22" s="55">
        <f t="shared" si="0"/>
        <v>604348</v>
      </c>
      <c r="P22" s="35">
        <v>2350</v>
      </c>
      <c r="Q22" s="46">
        <f t="shared" si="2"/>
        <v>3.888488089643715E-3</v>
      </c>
      <c r="R22" s="47">
        <v>0.62</v>
      </c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2:31" ht="64.95" customHeight="1" x14ac:dyDescent="0.3">
      <c r="B23" s="30" t="s">
        <v>68</v>
      </c>
      <c r="C23" s="31" t="s">
        <v>72</v>
      </c>
      <c r="D23" s="40" t="s">
        <v>73</v>
      </c>
      <c r="E23" s="40" t="s">
        <v>27</v>
      </c>
      <c r="F23" s="30" t="s">
        <v>74</v>
      </c>
      <c r="G23" s="43">
        <v>717608</v>
      </c>
      <c r="H23" s="43">
        <v>1080484</v>
      </c>
      <c r="I23" s="51">
        <f>H23/G23</f>
        <v>1.5056744071972441</v>
      </c>
      <c r="J23" s="39">
        <v>0.35</v>
      </c>
      <c r="K23" s="39">
        <v>0.35</v>
      </c>
      <c r="L23" s="44">
        <v>270000</v>
      </c>
      <c r="M23" s="44">
        <f t="shared" si="3"/>
        <v>270000</v>
      </c>
      <c r="N23" s="56">
        <v>220753</v>
      </c>
      <c r="O23" s="55">
        <f t="shared" si="0"/>
        <v>1080484</v>
      </c>
      <c r="P23" s="35">
        <v>6428</v>
      </c>
      <c r="Q23" s="46">
        <f t="shared" si="2"/>
        <v>5.9491857352815961E-3</v>
      </c>
      <c r="R23" s="47">
        <v>0.96160000000000001</v>
      </c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2:31" ht="64.95" customHeight="1" x14ac:dyDescent="0.3">
      <c r="B24" s="30" t="s">
        <v>75</v>
      </c>
      <c r="C24" s="31" t="s">
        <v>76</v>
      </c>
      <c r="D24" s="40" t="s">
        <v>76</v>
      </c>
      <c r="E24" s="40" t="s">
        <v>77</v>
      </c>
      <c r="F24" s="30" t="s">
        <v>29</v>
      </c>
      <c r="G24" s="43">
        <v>387597</v>
      </c>
      <c r="H24" s="43">
        <v>389792</v>
      </c>
      <c r="I24" s="51">
        <f>H24/G24</f>
        <v>1.0056630985275943</v>
      </c>
      <c r="J24" s="39">
        <v>1.2</v>
      </c>
      <c r="K24" s="39">
        <v>1.2</v>
      </c>
      <c r="L24" s="44">
        <v>500000</v>
      </c>
      <c r="M24" s="44">
        <f>L24</f>
        <v>500000</v>
      </c>
      <c r="N24" s="56">
        <v>38989</v>
      </c>
      <c r="O24" s="55">
        <v>176276</v>
      </c>
      <c r="P24" s="35" t="s">
        <v>28</v>
      </c>
      <c r="Q24" s="46" t="s">
        <v>83</v>
      </c>
      <c r="R24" s="57">
        <v>0.97799999999999998</v>
      </c>
    </row>
    <row r="25" spans="2:31" ht="94.2" customHeight="1" x14ac:dyDescent="0.3">
      <c r="B25" s="30" t="s">
        <v>75</v>
      </c>
      <c r="C25" s="31" t="s">
        <v>78</v>
      </c>
      <c r="D25" s="40" t="s">
        <v>79</v>
      </c>
      <c r="E25" s="40" t="s">
        <v>77</v>
      </c>
      <c r="F25" s="30" t="s">
        <v>29</v>
      </c>
      <c r="G25" s="43">
        <v>531561</v>
      </c>
      <c r="H25" s="43">
        <v>533627</v>
      </c>
      <c r="I25" s="51">
        <v>1</v>
      </c>
      <c r="J25" s="39">
        <v>0.35</v>
      </c>
      <c r="K25" s="39">
        <v>0.35</v>
      </c>
      <c r="L25" s="44">
        <v>200000</v>
      </c>
      <c r="M25" s="44">
        <f>L25</f>
        <v>200000</v>
      </c>
      <c r="N25" s="56">
        <v>77925</v>
      </c>
      <c r="O25" s="55">
        <f t="shared" si="0"/>
        <v>533627</v>
      </c>
      <c r="P25" s="35">
        <v>4053</v>
      </c>
      <c r="Q25" s="46">
        <f>P25/O25</f>
        <v>7.595192896911138E-3</v>
      </c>
      <c r="R25" s="47">
        <v>0.95709999999999995</v>
      </c>
    </row>
    <row r="26" spans="2:31" ht="26.4" x14ac:dyDescent="0.3">
      <c r="B26" s="27"/>
      <c r="C26" s="27"/>
      <c r="D26" s="27"/>
      <c r="E26" s="27"/>
      <c r="F26" s="27"/>
      <c r="G26" s="52">
        <f>SUM(G14:G25)</f>
        <v>5869652.8321995465</v>
      </c>
      <c r="H26" s="52">
        <f>SUM(H14:H25)</f>
        <v>5952570</v>
      </c>
      <c r="I26" s="28"/>
      <c r="J26" s="45"/>
      <c r="K26" s="28"/>
      <c r="L26" s="29">
        <f>SUM(L14:L25)</f>
        <v>2950000</v>
      </c>
      <c r="M26" s="29">
        <f>SUM(M14:M25)</f>
        <v>2735510.1412499999</v>
      </c>
      <c r="N26" s="54"/>
      <c r="O26" s="28">
        <f>SUM(O14:O25)</f>
        <v>5739054</v>
      </c>
      <c r="P26" s="48">
        <f>SUM(P14:P25)</f>
        <v>56579</v>
      </c>
      <c r="Q26" s="49">
        <f>P26/O26</f>
        <v>9.8585934197517565E-3</v>
      </c>
      <c r="R26" s="50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2:31" ht="26.4" x14ac:dyDescent="0.3">
      <c r="B27" s="27"/>
      <c r="C27" s="27"/>
      <c r="D27" s="27"/>
      <c r="E27" s="27"/>
      <c r="F27" s="27"/>
      <c r="G27" s="53"/>
      <c r="I27" s="28"/>
      <c r="J27" s="38"/>
      <c r="K27" s="38"/>
      <c r="L27" s="38"/>
      <c r="M27" s="27"/>
      <c r="N27" s="27"/>
      <c r="P27" s="27"/>
      <c r="Q27" s="38"/>
      <c r="R27" s="3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spans="2:31" ht="26.4" x14ac:dyDescent="0.3">
      <c r="B28" s="27"/>
      <c r="C28" s="27"/>
      <c r="D28" s="27"/>
      <c r="E28" s="27"/>
      <c r="F28" s="27"/>
      <c r="G28" s="27"/>
      <c r="H28" s="27"/>
      <c r="I28" s="28"/>
      <c r="J28" s="38"/>
      <c r="K28" s="38"/>
      <c r="L28" s="38"/>
      <c r="M28" s="88"/>
      <c r="N28" s="27"/>
      <c r="O28" s="27"/>
      <c r="P28" s="27"/>
      <c r="Q28" s="38"/>
      <c r="R28" s="3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spans="2:31" ht="26.4" x14ac:dyDescent="0.3">
      <c r="I29" s="28"/>
      <c r="J29" s="38"/>
      <c r="K29" s="38"/>
      <c r="L29" s="28"/>
      <c r="M29" s="89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spans="2:31" ht="26.4" x14ac:dyDescent="0.3">
      <c r="I30" s="58"/>
      <c r="J30" s="38"/>
      <c r="K30" s="3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2:31" ht="26.4" x14ac:dyDescent="0.3">
      <c r="I31" s="58"/>
      <c r="J31" s="58"/>
      <c r="K31" s="3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</row>
    <row r="32" spans="2:31" ht="25.8" x14ac:dyDescent="0.3"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8:31" x14ac:dyDescent="0.3">
      <c r="M33" s="1"/>
    </row>
    <row r="34" spans="8:31" x14ac:dyDescent="0.3">
      <c r="M34" s="1"/>
    </row>
    <row r="35" spans="8:31" ht="25.8" x14ac:dyDescent="0.3"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8:31" ht="25.8" x14ac:dyDescent="0.3"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8:31" ht="25.8" x14ac:dyDescent="0.3"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 spans="8:31" ht="25.8" x14ac:dyDescent="0.3"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spans="8:31" x14ac:dyDescent="0.3">
      <c r="M39" s="1"/>
    </row>
    <row r="40" spans="8:31" x14ac:dyDescent="0.3">
      <c r="M40" s="1"/>
    </row>
    <row r="41" spans="8:31" ht="26.4" x14ac:dyDescent="0.3">
      <c r="I41" s="28"/>
    </row>
    <row r="42" spans="8:31" ht="26.4" x14ac:dyDescent="0.3">
      <c r="I42" s="28"/>
    </row>
    <row r="43" spans="8:31" ht="26.4" x14ac:dyDescent="0.3">
      <c r="I43" s="38"/>
    </row>
    <row r="44" spans="8:31" ht="26.4" x14ac:dyDescent="0.3">
      <c r="I44" s="38"/>
    </row>
    <row r="45" spans="8:31" ht="26.4" x14ac:dyDescent="0.3">
      <c r="I45" s="28"/>
    </row>
    <row r="46" spans="8:31" ht="26.4" x14ac:dyDescent="0.3">
      <c r="I46" s="28"/>
    </row>
    <row r="47" spans="8:31" ht="26.4" x14ac:dyDescent="0.3">
      <c r="I47" s="38"/>
    </row>
    <row r="48" spans="8:31" ht="26.4" x14ac:dyDescent="0.3">
      <c r="I48" s="38"/>
    </row>
    <row r="49" spans="9:9" ht="26.4" x14ac:dyDescent="0.3">
      <c r="I49" s="28"/>
    </row>
  </sheetData>
  <mergeCells count="20">
    <mergeCell ref="N12:R12"/>
    <mergeCell ref="G12:I12"/>
    <mergeCell ref="B8:D8"/>
    <mergeCell ref="E8:F8"/>
    <mergeCell ref="J12:K12"/>
    <mergeCell ref="B9:D9"/>
    <mergeCell ref="E9:F9"/>
    <mergeCell ref="L12:M12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30</v>
      </c>
      <c r="D2" s="8" t="s">
        <v>31</v>
      </c>
      <c r="E2" s="9" t="s">
        <v>32</v>
      </c>
      <c r="F2" s="7" t="s">
        <v>33</v>
      </c>
      <c r="G2" s="7" t="s">
        <v>34</v>
      </c>
    </row>
    <row r="3" spans="3:8" x14ac:dyDescent="0.55000000000000004">
      <c r="C3" s="3" t="s">
        <v>35</v>
      </c>
      <c r="D3" s="6">
        <v>87000</v>
      </c>
    </row>
    <row r="4" spans="3:8" x14ac:dyDescent="0.55000000000000004">
      <c r="C4" s="3" t="s">
        <v>36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37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38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39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40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34</v>
      </c>
      <c r="L2" s="15" t="s">
        <v>41</v>
      </c>
      <c r="M2" s="16" t="s">
        <v>42</v>
      </c>
      <c r="N2" s="15" t="s">
        <v>43</v>
      </c>
    </row>
    <row r="3" spans="11:18" hidden="1" x14ac:dyDescent="0.3">
      <c r="K3" s="12" t="s">
        <v>35</v>
      </c>
      <c r="L3" s="11">
        <f>N9/N3</f>
        <v>96502.057613168712</v>
      </c>
      <c r="M3" s="13" t="s">
        <v>28</v>
      </c>
      <c r="N3" s="17">
        <v>4.8600000000000003</v>
      </c>
    </row>
    <row r="4" spans="11:18" x14ac:dyDescent="0.3">
      <c r="K4" s="24" t="s">
        <v>44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37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45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39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46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47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Dijital Medya Raporu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Vural Ustunsoy (growity)</cp:lastModifiedBy>
  <cp:revision/>
  <dcterms:created xsi:type="dcterms:W3CDTF">2018-12-05T15:00:15Z</dcterms:created>
  <dcterms:modified xsi:type="dcterms:W3CDTF">2025-12-02T11:57:33Z</dcterms:modified>
  <cp:category/>
  <cp:contentStatus/>
</cp:coreProperties>
</file>