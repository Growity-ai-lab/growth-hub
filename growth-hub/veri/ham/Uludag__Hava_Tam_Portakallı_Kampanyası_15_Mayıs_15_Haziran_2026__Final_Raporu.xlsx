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6\Markalar\ULUDAĞ\05_Mayıs\Hava Tam Portakal\Rapor\"/>
    </mc:Choice>
  </mc:AlternateContent>
  <xr:revisionPtr revIDLastSave="0" documentId="13_ncr:1_{757FD88D-757D-42EF-828C-8225A776241A}" xr6:coauthVersionLast="47" xr6:coauthVersionMax="47" xr10:uidLastSave="{00000000-0000-0000-0000-000000000000}"/>
  <bookViews>
    <workbookView xWindow="-108" yWindow="-108" windowWidth="23256" windowHeight="12456" tabRatio="822" xr2:uid="{00000000-000D-0000-FFFF-FFFF00000000}"/>
  </bookViews>
  <sheets>
    <sheet name="Dijital Medya Raporu" sheetId="12" r:id="rId1"/>
    <sheet name="Özet Tablo" sheetId="15" r:id="rId2"/>
    <sheet name="Sayfa1" sheetId="10" state="hidden" r:id="rId3"/>
    <sheet name="Tahmini Satın Alma Mart" sheetId="14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\a" localSheetId="3">#REF!</definedName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__ooh2" hidden="1">{#N/A,#N/A,FALSE,"Sheet1 (2)"}</definedName>
    <definedName name="___________________________________________ooh2" hidden="1">{#N/A,#N/A,FALSE,"Sheet1 (2)"}</definedName>
    <definedName name="__________________________________________ooh2" hidden="1">{#N/A,#N/A,FALSE,"Sheet1 (2)"}</definedName>
    <definedName name="_________________________________________ooh2" hidden="1">{#N/A,#N/A,FALSE,"Sheet1 (2)"}</definedName>
    <definedName name="________________________________________ooh2" hidden="1">{#N/A,#N/A,FALSE,"Sheet1 (2)"}</definedName>
    <definedName name="_______________________________________ooh2" hidden="1">{#N/A,#N/A,FALSE,"Sheet1 (2)"}</definedName>
    <definedName name="______________________________________ooh2" hidden="1">{#N/A,#N/A,FALSE,"Sheet1 (2)"}</definedName>
    <definedName name="_____________________________________ooh2" hidden="1">{#N/A,#N/A,FALSE,"Sheet1 (2)"}</definedName>
    <definedName name="____________________________________ooh2" hidden="1">{#N/A,#N/A,FALSE,"Sheet1 (2)"}</definedName>
    <definedName name="___________________________________ooh2" hidden="1">{#N/A,#N/A,FALSE,"Sheet1 (2)"}</definedName>
    <definedName name="__________________________________ooh2" hidden="1">{#N/A,#N/A,FALSE,"Sheet1 (2)"}</definedName>
    <definedName name="_________________________________ooh2" hidden="1">{#N/A,#N/A,FALSE,"Sheet1 (2)"}</definedName>
    <definedName name="________________________________ooh2" hidden="1">{#N/A,#N/A,FALSE,"Sheet1 (2)"}</definedName>
    <definedName name="_______________________________ooh2" hidden="1">{#N/A,#N/A,FALSE,"Sheet1 (2)"}</definedName>
    <definedName name="______________________________ooh2" hidden="1">{#N/A,#N/A,FALSE,"Sheet1 (2)"}</definedName>
    <definedName name="_____________________________ooh2" hidden="1">{#N/A,#N/A,FALSE,"Sheet1 (2)"}</definedName>
    <definedName name="____________________________ooh2" hidden="1">{#N/A,#N/A,FALSE,"Sheet1 (2)"}</definedName>
    <definedName name="___________________________abc1">[0]!___________________________abc1</definedName>
    <definedName name="___________________________ooh2" hidden="1">{#N/A,#N/A,FALSE,"Sheet1 (2)"}</definedName>
    <definedName name="__________________________ooh2" hidden="1">{#N/A,#N/A,FALSE,"Sheet1 (2)"}</definedName>
    <definedName name="_________________________abc1">[0]!_________________________abc1</definedName>
    <definedName name="_________________________ooh2" hidden="1">{#N/A,#N/A,FALSE,"Sheet1 (2)"}</definedName>
    <definedName name="________________________abc1">[0]!________________________abc1</definedName>
    <definedName name="________________________ooh2" hidden="1">{#N/A,#N/A,FALSE,"Sheet1 (2)"}</definedName>
    <definedName name="_______________________abc1">[0]!_______________________abc1</definedName>
    <definedName name="_______________________ooh2" hidden="1">{#N/A,#N/A,FALSE,"Sheet1 (2)"}</definedName>
    <definedName name="______________________ooh2" hidden="1">{#N/A,#N/A,FALSE,"Sheet1 (2)"}</definedName>
    <definedName name="_____________________ooh2" hidden="1">{#N/A,#N/A,FALSE,"Sheet1 (2)"}</definedName>
    <definedName name="____________________ooh2" hidden="1">{#N/A,#N/A,FALSE,"Sheet1 (2)"}</definedName>
    <definedName name="___________________ooh2" hidden="1">{#N/A,#N/A,FALSE,"Sheet1 (2)"}</definedName>
    <definedName name="__________________ooh2" hidden="1">{#N/A,#N/A,FALSE,"Sheet1 (2)"}</definedName>
    <definedName name="_________________ooh2" hidden="1">{#N/A,#N/A,FALSE,"Sheet1 (2)"}</definedName>
    <definedName name="________________ooh2" hidden="1">{#N/A,#N/A,FALSE,"Sheet1 (2)"}</definedName>
    <definedName name="_______________ooh2" hidden="1">{#N/A,#N/A,FALSE,"Sheet1 (2)"}</definedName>
    <definedName name="______________ooh2" hidden="1">{#N/A,#N/A,FALSE,"Sheet1 (2)"}</definedName>
    <definedName name="_____________ooh2" hidden="1">{#N/A,#N/A,FALSE,"Sheet1 (2)"}</definedName>
    <definedName name="____________ooh2" hidden="1">{#N/A,#N/A,FALSE,"Sheet1 (2)"}</definedName>
    <definedName name="___________n" hidden="1">{#N/A,#N/A,FALSE,"Sheet1 (2)"}</definedName>
    <definedName name="___________ooh2" hidden="1">{#N/A,#N/A,FALSE,"Sheet1 (2)"}</definedName>
    <definedName name="__________ooh2" hidden="1">{#N/A,#N/A,FALSE,"Sheet1 (2)"}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ooh2" hidden="1">{#N/A,#N/A,FALSE,"Sheet1 (2)"}</definedName>
    <definedName name="_______der1">#REF!</definedName>
    <definedName name="_______der2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ey2" hidden="1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Z2">#REF!</definedName>
    <definedName name="_______TRT1">#REF!</definedName>
    <definedName name="_______TV8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ooh2" hidden="1">{#N/A,#N/A,FALSE,"Sheet1 (2)"}</definedName>
    <definedName name="_____abc1">[0]!_____abc1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y2" hidden="1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BAHTTEXT" hidden="1">#NAME?</definedName>
    <definedName name="____abc1">[0]!____abc1</definedName>
    <definedName name="____der2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ooh2" hidden="1">{#N/A,#N/A,FALSE,"Sheet1 (2)"}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_xlfn.BAHTTEXT" hidden="1">#NAME?</definedName>
    <definedName name="___abc1">[0]!___abc1</definedName>
    <definedName name="___der1">#REF!</definedName>
    <definedName name="___der2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Z2">#REF!</definedName>
    <definedName name="___TRT1">#REF!</definedName>
    <definedName name="___TV8">#REF!</definedName>
    <definedName name="___xlfn.BAHTTEXT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bc1">[0]!__abc1</definedName>
    <definedName name="__der1">#REF!</definedName>
    <definedName name="__der2">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lfn.BAHTTEXT">#NAME?</definedName>
    <definedName name="_1_?l_?t">[3]Ekim!#REF!</definedName>
    <definedName name="_2∏l_Ωt">'[4]Hasar Hattı'!#REF!</definedName>
    <definedName name="_abc1">[0]!_abc1</definedName>
    <definedName name="_der1">#REF!</definedName>
    <definedName name="_der2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'Dijital Medya Raporu'!$B$12:$V$12</definedName>
    <definedName name="_xlnm._FilterDatabase" hidden="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N7">#REF!</definedName>
    <definedName name="_Key1" localSheetId="3" hidden="1">#REF!</definedName>
    <definedName name="_Key1" hidden="1">#REF!</definedName>
    <definedName name="_key11" hidden="1">#REF!</definedName>
    <definedName name="_Key2" localSheetId="3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E1" localSheetId="3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A">#REF!</definedName>
    <definedName name="A_new">#REF!</definedName>
    <definedName name="aa" localSheetId="3" hidden="1">{#N/A,#N/A,FALSE,"Sheet1 (2)"}</definedName>
    <definedName name="aa" hidden="1">{#N/A,#N/A,FALSE,"Sheet1 (2)"}</definedName>
    <definedName name="aaa">#REF!</definedName>
    <definedName name="aaaa">[0]!aaaa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localSheetId="3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localSheetId="3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aaaaa" hidden="1">{#N/A,#N/A,FALSE,"Sheet1 (2)"}</definedName>
    <definedName name="AAAAAAAAAAAAAAAAAAAAAAAAAAAAA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b" hidden="1">{#N/A,#N/A,FALSE,"Sheet1 (2)"}</definedName>
    <definedName name="abc">[0]!abc</definedName>
    <definedName name="ace" hidden="1">{#N/A,#N/A,FALSE,"Sheet1 (2)"}</definedName>
    <definedName name="acelya" hidden="1">{#N/A,#N/A,FALSE,"Sheet1 (2)"}</definedName>
    <definedName name="acık" localSheetId="3" hidden="1">{#N/A,#N/A,FALSE,"Sheet1 (2)"}</definedName>
    <definedName name="acık" hidden="1">{#N/A,#N/A,FALSE,"Sheet1 (2)"}</definedName>
    <definedName name="Acıkha" hidden="1">#REF!</definedName>
    <definedName name="ACwvu.steve." hidden="1">#REF!</definedName>
    <definedName name="açıkhava" localSheetId="3" hidden="1">{#N/A,#N/A,FALSE,"Sheet1 (2)"}</definedName>
    <definedName name="açıkhava" hidden="1">{#N/A,#N/A,FALSE,"Sheet1 (2)"}</definedName>
    <definedName name="AD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rt">[0]!adert</definedName>
    <definedName name="ADET">#REF!</definedName>
    <definedName name="ADFASDFA" hidden="1">{#N/A,#N/A,FALSE,"Sheet1 (2)"}</definedName>
    <definedName name="ADS" hidden="1">{#N/A,#N/A,FALSE,"Sheet1 (2)"}</definedName>
    <definedName name="ADULTS">#REF!</definedName>
    <definedName name="adv" hidden="1">{#N/A,#N/A,FALSE,"Sheet1 (2)"}</definedName>
    <definedName name="adx">[0]!adx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hmet">[3]Ekim!#REF!</definedName>
    <definedName name="ALEV" hidden="1">{#N/A,#N/A,FALSE,"Sheet1 (2)"}</definedName>
    <definedName name="ali">[0]!ali</definedName>
    <definedName name="ALL">#REF!</definedName>
    <definedName name="alper" hidden="1">{#N/A,#N/A,FALSE,"Sheet1 (2)"}</definedName>
    <definedName name="alperrrr" hidden="1">{#N/A,#N/A,FALSE,"Sheet1 (2)"}</definedName>
    <definedName name="Altın">#REF!</definedName>
    <definedName name="ALVO">#REF!</definedName>
    <definedName name="ananı" hidden="1">{#N/A,#N/A,FALSE,"Sheet1 (2)"}</definedName>
    <definedName name="anıl" hidden="1">{#N/A,#N/A,FALSE,"Sheet1 (2)"}</definedName>
    <definedName name="anil123_3" hidden="1">{#N/A,#N/A,FALSE,"Sheet1 (2)"}</definedName>
    <definedName name="ankara" localSheetId="3" hidden="1">{#N/A,#N/A,FALSE,"Sheet1 (2)"}</definedName>
    <definedName name="ankara" hidden="1">{#N/A,#N/A,FALSE,"Sheet1 (2)"}</definedName>
    <definedName name="aps" hidden="1">#REF!</definedName>
    <definedName name="aqswa" hidden="1">{#N/A,#N/A,FALSE,"Sheet1 (2)"}</definedName>
    <definedName name="Área_impressão_IM">#REF!</definedName>
    <definedName name="arzu" hidden="1">{#N/A,#N/A,FALSE,"Sheet1 (2)"}</definedName>
    <definedName name="As">#REF!</definedName>
    <definedName name="asa" hidden="1">{#N/A,#N/A,FALSE,"Sheet1 (2)"}</definedName>
    <definedName name="asascd" hidden="1">#REF!</definedName>
    <definedName name="asda" localSheetId="3" hidden="1">{#N/A,#N/A,FALSE,"Sheet1 (2)"}</definedName>
    <definedName name="asda" hidden="1">{#N/A,#N/A,FALSE,"Sheet1 (2)"}</definedName>
    <definedName name="asda1" localSheetId="3" hidden="1">{#N/A,#N/A,FALSE,"Sheet1 (2)"}</definedName>
    <definedName name="asda1" hidden="1">{#N/A,#N/A,FALSE,"Sheet1 (2)"}</definedName>
    <definedName name="asdad">#REF!</definedName>
    <definedName name="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sd" hidden="1">#REF!</definedName>
    <definedName name="ASPETTI_COMMERCIALI">#REF!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S">#REF!</definedName>
    <definedName name="ATV">[5]Programlar!$A$2:$B$121</definedName>
    <definedName name="ATVIND">#REF!</definedName>
    <definedName name="ATVVW">#REF!</definedName>
    <definedName name="ay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KSANA">[0]!BAKSANA</definedName>
    <definedName name="basin" hidden="1">{#N/A,#N/A,FALSE,"MALİTABLOLAR"}</definedName>
    <definedName name="BASK_GRAFICO">#REF!</definedName>
    <definedName name="BASK_MODELLO">#REF!</definedName>
    <definedName name="BASK_VERSIONE">#REF!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b">#REF!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thnym" hidden="1">{#N/A,#N/A,FALSE,"Sheet1 (2)"}</definedName>
    <definedName name="BELGİN" hidden="1">{#N/A,#N/A,FALSE,"Sheet1 (2)"}</definedName>
    <definedName name="Best">#REF!</definedName>
    <definedName name="bfhtht" hidden="1">{#N/A,#N/A,FALSE,"Sheet1 (2)"}</definedName>
    <definedName name="BFX_BRANDFX">60122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İANCO12" hidden="1">{#N/A,#N/A,FALSE,"MALİTABLOLAR"}</definedName>
    <definedName name="BİLANÇO" hidden="1">{#N/A,#N/A,FALSE,"MALİTABLOLAR"}</definedName>
    <definedName name="billingtype">[6]billingtype!$A$1:$A$65536</definedName>
    <definedName name="BİMAS">[7]Kategoriler!$A$2:$B$45</definedName>
    <definedName name="BİMPAŞ">#REF!</definedName>
    <definedName name="bisküvi" hidden="1">{#N/A,#N/A,FALSE,"Sheet1 (2)"}</definedName>
    <definedName name="bnhk" localSheetId="3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Names">#REF!</definedName>
    <definedName name="BRT">[8]Kategoriler!#REF!</definedName>
    <definedName name="brucu" hidden="1">{#N/A,#N/A,FALSE,"Sheet1 (2)"}</definedName>
    <definedName name="bsderty">[0]!bsderty</definedName>
    <definedName name="btrm" hidden="1">{#N/A,#N/A,FALSE,"Sheet1 (2)"}</definedName>
    <definedName name="bu" hidden="1">{#N/A,#N/A,FALSE,"Sheet1 (2)"}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YINGMETHOD">'[9]Buying Method'!$A$1:$A$65536</definedName>
    <definedName name="BUYUME" hidden="1">{#N/A,#N/A,FALSE,"MALİTABLOLAR"}</definedName>
    <definedName name="byr" hidden="1">{#N/A,#N/A,FALSE,"Sheet1 (2)"}</definedName>
    <definedName name="CAMBIO">#REF!</definedName>
    <definedName name="Campaign">#REF!</definedName>
    <definedName name="CAPEX98" hidden="1">[10]FINALPHP!$G$27</definedName>
    <definedName name="cbhgj" localSheetId="3" hidden="1">{#N/A,#N/A,FALSE,"Sheet1 (2)"}</definedName>
    <definedName name="cbhgj" hidden="1">{#N/A,#N/A,FALSE,"Sheet1 (2)"}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d" hidden="1">{#N/A,#N/A,FALSE,"MALİTABLOLAR"}</definedName>
    <definedName name="cdd" hidden="1">{#N/A,#N/A,FALSE,"MALİTABLOLAR"}</definedName>
    <definedName name="CHN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NNTURK">[11]Kategoriler!$A$347:$B$350</definedName>
    <definedName name="Code" hidden="1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#REF!</definedName>
    <definedName name="CopyNames">#REF!</definedName>
    <definedName name="CPP_1">#REF!</definedName>
    <definedName name="CPP_2">#REF!</definedName>
    <definedName name="cppant">#REF!</definedName>
    <definedName name="Crax" hidden="1">{#N/A,#N/A,FALSE,"Sheet1 (2)"}</definedName>
    <definedName name="CREATED_WITH">"OptiPlan.xls"</definedName>
    <definedName name="CUSTO_TOTAL_NEGOCIADO">136730.04</definedName>
    <definedName name="CUSTO_TOTAL_TABELA">601707.21</definedName>
    <definedName name="ÇAYKEYFİ" hidden="1">{#N/A,#N/A,FALSE,"Sheet1 (2)"}</definedName>
    <definedName name="çç" localSheetId="3" hidden="1">{#N/A,#N/A,FALSE,"Sheet1 (2)"}</definedName>
    <definedName name="çç" hidden="1">{#N/A,#N/A,FALSE,"Sheet1 (2)"}</definedName>
    <definedName name="d" hidden="1">{#N/A,#N/A,FALSE,"Sheet1 (2)"}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TA">[12]Kategoriler!$A$1:$B$29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Month">#REF!</definedName>
    <definedName name="DataMonthIM">#REF!</definedName>
    <definedName name="DDD" localSheetId="3" hidden="1">{#N/A,#N/A,FALSE,"Sheet1 (2)"}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e_grubu">#REF!</definedName>
    <definedName name="de_ratecard">#REF!</definedName>
    <definedName name="de_tutar">#REF!</definedName>
    <definedName name="Deal">#REF!</definedName>
    <definedName name="deergfdsd" hidden="1">{#N/A,#N/A,FALSE,"Sheet1 (2)"}</definedName>
    <definedName name="DEGI">#REF!</definedName>
    <definedName name="DENİZBANK" localSheetId="3" hidden="1">{#N/A,#N/A,FALSE,"Sheet1 (2)"}</definedName>
    <definedName name="DENİZBANK" hidden="1">{#N/A,#N/A,FALSE,"Sheet1 (2)"}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utar">#REF!</definedName>
    <definedName name="DERGI" localSheetId="3" hidden="1">{#N/A,#N/A,FALSE,"Sheet1 (2)"}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sdg" hidden="1">{#N/A,#N/A,FALSE,"Sheet1 (2)"}</definedName>
    <definedName name="derwr" hidden="1">{#N/A,#N/A,FALSE,"Sheet1 (2)"}</definedName>
    <definedName name="des" hidden="1">{#N/A,#N/A,FALSE,"Sheet1 (2)"}</definedName>
    <definedName name="df">#REF!</definedName>
    <definedName name="dfa" hidden="1">{#N/A,#N/A,FALSE,"Sheet1 (2)"}</definedName>
    <definedName name="DFDF">[0]!DFDF</definedName>
    <definedName name="dfdg" hidden="1">{#N/A,#N/A,FALSE,"Sheet1 (2)"}</definedName>
    <definedName name="dfe" hidden="1">#REF!</definedName>
    <definedName name="dff" hidden="1">#REF!</definedName>
    <definedName name="dffgsfg" hidden="1">#REF!</definedName>
    <definedName name="DFG">#REF!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hf" hidden="1">#REF!</definedName>
    <definedName name="dfhggh" hidden="1">{#N/A,#N/A,FALSE,"Sheet1 (2)"}</definedName>
    <definedName name="dfr">[0]!dfr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SFSDSS" localSheetId="3" hidden="1">{#N/A,#N/A,FALSE,"Sheet1 (2)"}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h" hidden="1">{#N/A,#N/A,FALSE,"Sheet1 (2)"}</definedName>
    <definedName name="DIGER">#REF!</definedName>
    <definedName name="DIXI">#REF!</definedName>
    <definedName name="DIXIOD">#REF!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ji" hidden="1">{#N/A,#N/A,FALSE,"Sheet1 (2)"}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play_area_2" hidden="1">#REF!</definedName>
    <definedName name="DİXİP">#REF!</definedName>
    <definedName name="DİXİPÖDEME">#REF!</definedName>
    <definedName name="dizi">#REF!</definedName>
    <definedName name="DİZİ_KANAL">#REF!</definedName>
    <definedName name="DOLCI" hidden="1">{#N/A,#N/A,FALSE,"MALİTABLOLAR"}</definedName>
    <definedName name="DOLCIA" hidden="1">{#N/A,#N/A,FALSE,"MALİTABLOLAR"}</definedName>
    <definedName name="Dönem">#REF!</definedName>
    <definedName name="dsd" hidden="1">{#N/A,#N/A,FALSE,"Sheet1 (2)"}</definedName>
    <definedName name="DSF" hidden="1">{#N/A,#N/A,FALSE,"Sheet1 (2)"}</definedName>
    <definedName name="DSGSDH" hidden="1">{#N/A,#N/A,FALSE,"Sheet1 (2)"}</definedName>
    <definedName name="dthtn" hidden="1">{#N/A,#N/A,FALSE,"Sheet1 (2)"}</definedName>
    <definedName name="DU">#REF!</definedName>
    <definedName name="due">#REF!</definedName>
    <definedName name="DUM">#REF!</definedName>
    <definedName name="e" localSheetId="3" hidden="1">{#N/A,#N/A,FALSE,"Sheet1 (2)"}</definedName>
    <definedName name="e" hidden="1">{#N/A,#N/A,FALSE,"Sheet1 (2)"}</definedName>
    <definedName name="eaeıi" localSheetId="3" hidden="1">{#N/A,#N/A,FALSE,"Sheet1 (2)"}</definedName>
    <definedName name="eaeıi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" hidden="1">{#N/A,#N/A,FALSE,"Sheet1 (2)"}</definedName>
    <definedName name="EEE" hidden="1">{#N/A,#N/A,FALSE,"Sheet1 (2)"}</definedName>
    <definedName name="EEEE" localSheetId="3" hidden="1">{#N/A,#N/A,FALSE,"Sheet1 (2)"}</definedName>
    <definedName name="EEEE" hidden="1">{#N/A,#N/A,FALSE,"Sheet1 (2)"}</definedName>
    <definedName name="EEEEE" hidden="1">{#N/A,#N/A,FALSE,"Sheet1 (2)"}</definedName>
    <definedName name="EEEEEE" localSheetId="3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ee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reee" hidden="1">{#N/A,#N/A,FALSE,"Sheet1 (2)"}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jhnfd" hidden="1">{#N/A,#N/A,FALSE,"Sheet1 (2)"}</definedName>
    <definedName name="erwert" hidden="1">{#N/A,#N/A,FALSE,"Sheet1 (2)"}</definedName>
    <definedName name="eski" localSheetId="3" hidden="1">{#N/A,#N/A,FALSE,"Sheet1 (2)"}</definedName>
    <definedName name="eski" hidden="1">{#N/A,#N/A,FALSE,"Sheet1 (2)"}</definedName>
    <definedName name="etr5ytyty" hidden="1">{#N/A,#N/A,FALSE,"Sheet1 (2)"}</definedName>
    <definedName name="etrwegt" hidden="1">{#N/A,#N/A,FALSE,"Sheet1 (2)"}</definedName>
    <definedName name="EV__LASTREFTIME__" hidden="1">40527.6608333333</definedName>
    <definedName name="ExchangeRates">#REF!</definedName>
    <definedName name="ezel">#REF!</definedName>
    <definedName name="f" hidden="1">{#N/A,#N/A,FALSE,"Sheet1 (2)"}</definedName>
    <definedName name="FA">#REF!</definedName>
    <definedName name="FactsCount">1</definedName>
    <definedName name="FAÖD">#REF!</definedName>
    <definedName name="FASA">#REF!</definedName>
    <definedName name="FASAOD">#REF!</definedName>
    <definedName name="FASF" hidden="1">{#N/A,#N/A,FALSE,"Sheet1 (2)"}</definedName>
    <definedName name="fcb">[0]!fcb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ddgg">#REF!</definedName>
    <definedName name="fdgh" hidden="1">{#N/A,#N/A,FALSE,"Sheet1 (2)"}</definedName>
    <definedName name="fdsg" hidden="1">{#N/A,#N/A,FALSE,"Sheet1 (2)"}</definedName>
    <definedName name="FeeCli">#REF!</definedName>
    <definedName name="FeeIM">#REF!</definedName>
    <definedName name="fef" hidden="1">#REF!</definedName>
    <definedName name="fersda" localSheetId="3" hidden="1">{#N/A,#N/A,FALSE,"Sheet1 (2)"}</definedName>
    <definedName name="fersda" hidden="1">{#N/A,#N/A,FALSE,"Sheet1 (2)"}</definedName>
    <definedName name="fert">[0]!fert</definedName>
    <definedName name="feveejerg" hidden="1">{#N/A,#N/A,FALSE,"Sheet1 (2)"}</definedName>
    <definedName name="ff" hidden="1">{#N/A,#N/A,FALSE,"Sheet1 (2)"}</definedName>
    <definedName name="fff" localSheetId="3" hidden="1">{#N/A,#N/A,FALSE,"Sheet1 (2)"}</definedName>
    <definedName name="fff" hidden="1">{#N/A,#N/A,FALSE,"Sheet1 (2)"}</definedName>
    <definedName name="FFFF" localSheetId="3" hidden="1">{#N/A,#N/A,FALSE,"Sheet1 (2)"}</definedName>
    <definedName name="FFFF" hidden="1">{#N/A,#N/A,FALSE,"Sheet1 (2)"}</definedName>
    <definedName name="FFFFFF" hidden="1">#REF!</definedName>
    <definedName name="FFFFFFF">#REF!</definedName>
    <definedName name="FG">[0]!FG</definedName>
    <definedName name="fgdhh" hidden="1">{#N/A,#N/A,FALSE,"Sheet1 (2)"}</definedName>
    <definedName name="fgfefghtjty" hidden="1">{#N/A,#N/A,FALSE,"Sheet1 (2)"}</definedName>
    <definedName name="fghf" hidden="1">{#N/A,#N/A,FALSE,"Sheet1 (2)"}</definedName>
    <definedName name="fghfgh" hidden="1">#REF!</definedName>
    <definedName name="fgn" localSheetId="3" hidden="1">{#N/A,#N/A,FALSE,"Sheet1 (2)"}</definedName>
    <definedName name="fgn" hidden="1">{#N/A,#N/A,FALSE,"Sheet1 (2)"}</definedName>
    <definedName name="fgrwgygh" hidden="1">{#N/A,#N/A,FALSE,"Sheet1 (2)"}</definedName>
    <definedName name="fhghg" hidden="1">{#N/A,#N/A,FALSE,"Sheet1 (2)"}</definedName>
    <definedName name="FIATZONENR">#REF!</definedName>
    <definedName name="FIYAT1">#REF!</definedName>
    <definedName name="FIYAT2">[5]Kategoriler!$A$51:$B$81</definedName>
    <definedName name="FIYAT3">[5]Kategoriler!$A$86:$B$102</definedName>
    <definedName name="FİLM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TAY">[13]Sayfa2!#REF!</definedName>
    <definedName name="fiyat">#REF!</definedName>
    <definedName name="fiyat_list">#REF!</definedName>
    <definedName name="FİYAT1">[14]Kategoriler!$A$48:$C$71</definedName>
    <definedName name="FİYAT2">[14]Kategoriler!$A$90:$C$113</definedName>
    <definedName name="FJKFNVBVB" hidden="1">{#N/A,#N/A,FALSE,"Sheet1 (2)"}</definedName>
    <definedName name="FLASH">#REF!</definedName>
    <definedName name="FLASHVW">#REF!</definedName>
    <definedName name="FLOWCHART" hidden="1">{#N/A,#N/A,FALSE,"Sheet1 (2)"}</definedName>
    <definedName name="Form.Quota" localSheetId="3">IF(#REF!=0,0,#REF!*#REF!/#REF!)</definedName>
    <definedName name="Form.Quota">IF(#REF!=0,0,#REF!*#REF!/#REF!)</definedName>
    <definedName name="FORMAT">[15]Format!$A$1:$A$65536</definedName>
    <definedName name="frte">[0]!frte</definedName>
    <definedName name="ftc">[0]!ftc</definedName>
    <definedName name="g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1" hidden="1">{#N/A,#N/A,FALSE,"Sheet1 (2)"}</definedName>
    <definedName name="gazete2" hidden="1">{#N/A,#N/A,FALSE,"Sheet1 (2)"}</definedName>
    <definedName name="gazetecik" hidden="1">{#N/A,#N/A,FALSE,"Sheet1 (2)"}</definedName>
    <definedName name="gdfgdhh" hidden="1">{#N/A,#N/A,FALSE,"Sheet1 (2)"}</definedName>
    <definedName name="gefge" hidden="1">{#N/A,#N/A,FALSE,"Sheet1 (2)"}</definedName>
    <definedName name="Genc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şlkgşl" localSheetId="3" hidden="1">{#N/A,#N/A,FALSE,"Sheet1 (2)"}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hh" hidden="1">{#N/A,#N/A,FALSE,"Sheet1 (2)"}</definedName>
    <definedName name="gfsgg" hidden="1">{#N/A,#N/A,FALSE,"Sheet1 (2)"}</definedName>
    <definedName name="GFTED">#REF!</definedName>
    <definedName name="G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hdhyh" hidden="1">{#N/A,#N/A,FALSE,"Sheet1 (2)"}</definedName>
    <definedName name="ghhhjfj" hidden="1">{#N/A,#N/A,FALSE,"Sheet1 (2)"}</definedName>
    <definedName name="GHJ" hidden="1">{#N/A,#N/A,FALSE,"Sheet1 (2)"}</definedName>
    <definedName name="glöflşfl" hidden="1">{#N/A,#N/A,FALSE,"Sheet1 (2)"}</definedName>
    <definedName name="got">#REF!</definedName>
    <definedName name="GRP">#REF!</definedName>
    <definedName name="grtre">[0]!grtre</definedName>
    <definedName name="GR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nler">#REF!</definedName>
    <definedName name="ğğ" hidden="1">{#N/A,#N/A,FALSE,"Sheet1 (2)"}</definedName>
    <definedName name="H">#REF!</definedName>
    <definedName name="hafta">#REF!</definedName>
    <definedName name="haya" hidden="1">#REF!</definedName>
    <definedName name="haziran" hidden="1">{#N/A,#N/A,FALSE,"Sheet1 (2)"}</definedName>
    <definedName name="hbfghh" localSheetId="3" hidden="1">{#N/A,#N/A,FALSE,"Sheet1 (2)"}</definedName>
    <definedName name="hbfghh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fgfgfg">#REF!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HH" localSheetId="3" hidden="1">{#N/A,#N/A,FALSE,"Sheet1 (2)"}</definedName>
    <definedName name="HHH" hidden="1">{#N/A,#N/A,FALSE,"Sheet1 (2)"}</definedName>
    <definedName name="HiddenRows" hidden="1">#REF!</definedName>
    <definedName name="hjgkjk" hidden="1">{#N/A,#N/A,FALSE,"Sheet1 (2)"}</definedName>
    <definedName name="hjhjh">#REF!</definedName>
    <definedName name="hjhkhk" hidden="1">{#N/A,#N/A,FALSE,"Sheet1 (2)"}</definedName>
    <definedName name="HJUI" localSheetId="3" hidden="1">{#N/A,#N/A,FALSE,"Sheet1 (2)"}</definedName>
    <definedName name="HJUI" hidden="1">{#N/A,#N/A,FALSE,"Sheet1 (2)"}</definedName>
    <definedName name="hjvgjöh" hidden="1">#REF!</definedName>
    <definedName name="hlktdskgf" hidden="1">{#N/A,#N/A,FALSE,"Sheet1 (2)"}</definedName>
    <definedName name="hm">[0]!hm</definedName>
    <definedName name="hsdf" hidden="1">{#N/A,#N/A,FALSE,"Sheet1 (2)"}</definedName>
    <definedName name="HT">#REF!</definedName>
    <definedName name="HTML_CodePage">1254</definedName>
    <definedName name="HTML_Control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Title">"Adres3"</definedName>
    <definedName name="htytyuu" hidden="1">{#N/A,#N/A,FALSE,"Sheet1 (2)"}</definedName>
    <definedName name="ı" localSheetId="3" hidden="1">{#N/A,#N/A,FALSE,"Sheet1 (2)"}</definedName>
    <definedName name="ı" hidden="1">{#N/A,#N/A,FALSE,"Sheet1 (2)"}</definedName>
    <definedName name="ıhıoh" hidden="1">{#N/A,#N/A,FALSE,"Sheet1 (2)"}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SERT">#REF!</definedName>
    <definedName name="INTZONNR">#REF!</definedName>
    <definedName name="ıopıop" hidden="1">{#N/A,#N/A,FALSE,"Sheet1 (2)"}</definedName>
    <definedName name="ıpuuu" hidden="1">{#N/A,#N/A,FALSE,"Sheet1 (2)"}</definedName>
    <definedName name="ilan">#REF!</definedName>
    <definedName name="İLAN_BOYUTU_1">#REF!</definedName>
    <definedName name="İLAN_BOYUTU_2">#REF!</definedName>
    <definedName name="ima">#REF!</definedName>
    <definedName name="istbb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3" hidden="1">{#N/A,#N/A,FALSE,"Sheet1 (2)"}</definedName>
    <definedName name="JJJ" hidden="1">{#N/A,#N/A,FALSE,"Sheet1 (2)"}</definedName>
    <definedName name="jkdsjhjsncd" hidden="1">{#N/A,#N/A,FALSE,"Sheet1 (2)"}</definedName>
    <definedName name="JKIO" localSheetId="3" hidden="1">{#N/A,#N/A,FALSE,"Sheet1 (2)"}</definedName>
    <definedName name="JKIO" hidden="1">{#N/A,#N/A,FALSE,"Sheet1 (2)"}</definedName>
    <definedName name="jkl" hidden="1">{#N/A,#N/A,FALSE,"Sheet1 (2)"}</definedName>
    <definedName name="JOYFM_S1">#REF!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UO" localSheetId="3" hidden="1">{#N/A,#N/A,FALSE,"Sheet1 (2)"}</definedName>
    <definedName name="JUO" hidden="1">{#N/A,#N/A,FALSE,"Sheet1 (2)"}</definedName>
    <definedName name="JXNHXBN" hidden="1">{#N/A,#N/A,FALSE,"Sheet1 (2)"}</definedName>
    <definedName name="k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7VW">#REF!</definedName>
    <definedName name="KANAL">#REF!</definedName>
    <definedName name="KANAL7">#REF!</definedName>
    <definedName name="KANALD">#REF!</definedName>
    <definedName name="KANALE">#REF!</definedName>
    <definedName name="kanallar">#REF!</definedName>
    <definedName name="KAND">[16]Kategoriler!$A$95:$B$138</definedName>
    <definedName name="KANDYENI">#REF!</definedName>
    <definedName name="KANE">#REF!</definedName>
    <definedName name="KATEGORI">#REF!</definedName>
    <definedName name="KATEGORİ">#REF!</definedName>
    <definedName name="KATLIST">#REF!</definedName>
    <definedName name="KD">[5]Programlar!$A$130:$B$235</definedName>
    <definedName name="KDIND">#REF!</definedName>
    <definedName name="kdkd" hidden="1">{#N/A,#N/A,FALSE,"Sheet1 (2)"}</definedName>
    <definedName name="KDVW">#REF!</definedName>
    <definedName name="kenan" hidden="1">{#N/A,#N/A,FALSE,"Sheet1 (2)"}</definedName>
    <definedName name="khjklşhl" hidden="1">{#N/A,#N/A,FALSE,"Sheet1 (2)"}</definedName>
    <definedName name="KISSTV">#REF!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H" hidden="1">{#N/A,#N/A,FALSE,"Sheet1 (2)"}</definedName>
    <definedName name="kk" hidden="1">{#N/A,#N/A,FALSE,"Sheet1 (2)"}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hidden="1">{#N/A,#N/A,FALSE,"MALİTABLOLAR";#N/A,#N/A,FALSE,"PERS MSRMRZ";#N/A,#N/A,FALSE,"MALİTABLOLAR";#N/A,#N/A,FALSE,"İskonto"}</definedName>
    <definedName name="kljkl" hidden="1">{#N/A,#N/A,FALSE,"Sheet1 (2)"}</definedName>
    <definedName name="KOD">#REF!</definedName>
    <definedName name="kola" hidden="1">{#N/A,#N/A,FALSE,"Sheet1 (2)"}</definedName>
    <definedName name="KOLŞ" localSheetId="3" hidden="1">{#N/A,#N/A,FALSE,"Sheet1 (2)"}</definedName>
    <definedName name="KOLŞ" hidden="1">{#N/A,#N/A,FALSE,"Sheet1 (2)"}</definedName>
    <definedName name="KOP" localSheetId="3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rakeer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ansman" hidden="1">{#N/A,#N/A,FALSE,"Sheet1 (2)"}</definedName>
    <definedName name="LIST">[8]Kategoriler!$A$1:$B$44</definedName>
    <definedName name="lig" hidden="1">{#N/A,#N/A,FALSE,"Sheet1 (2)"}</definedName>
    <definedName name="Light" hidden="1">{#N/A,#N/A,FALSE,"MALİTABLOLAR"}</definedName>
    <definedName name="ListStart">#REF!</definedName>
    <definedName name="ljkll" hidden="1">{#N/A,#N/A,FALSE,"Sheet1 (2)"}</definedName>
    <definedName name="M" localSheetId="3" hidden="1">{#N/A,#N/A,FALSE,"Sheet1 (2)"}</definedName>
    <definedName name="M" hidden="1">{#N/A,#N/A,FALSE,"Sheet1 (2)"}</definedName>
    <definedName name="mag" localSheetId="3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2">#REF!</definedName>
    <definedName name="MART444">#REF!</definedName>
    <definedName name="MARTOD2">#REF!</definedName>
    <definedName name="MARTODEME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Range">'[17]MA-BL'!#REF!</definedName>
    <definedName name="MAYIS">#REF!</definedName>
    <definedName name="mediatype">[18]Mediatype!$A$1:$A$3</definedName>
    <definedName name="Meio">"TV"</definedName>
    <definedName name="mele" hidden="1">{#N/A,#N/A,FALSE,"Sheet1 (2)"}</definedName>
    <definedName name="MELİKE">[0]!MELİKE</definedName>
    <definedName name="memo">[0]!memo</definedName>
    <definedName name="Mepas">#REF!</definedName>
    <definedName name="mmm">[0]!mmm</definedName>
    <definedName name="MMMMMMM" hidden="1">{#N/A,#N/A,FALSE,"Sheet1 (2)"}</definedName>
    <definedName name="Mo">#REF!</definedName>
    <definedName name="MOBILYA" hidden="1">{#N/A,#N/A,FALSE,"MALİTABLOLAR"}</definedName>
    <definedName name="mod">#REF!</definedName>
    <definedName name="Month">#REF!</definedName>
    <definedName name="MonthIM">#REF!</definedName>
    <definedName name="msdfmömöçsdfmöçsdfmöçmöçasdffdf" hidden="1">{#N/A,#N/A,FALSE,"Sheet1 (2)"}</definedName>
    <definedName name="musteri">#REF!</definedName>
    <definedName name="Napoliten" hidden="1">{#N/A,#N/A,FALSE,"MALİTABLOLAR"}</definedName>
    <definedName name="NET_TOTAL">#REF!</definedName>
    <definedName name="netnews">#REF!</definedName>
    <definedName name="NETWORK">[9]Network!$A$1:$A$65536</definedName>
    <definedName name="new" hidden="1">#REF!</definedName>
    <definedName name="nhg" hidden="1">{#N/A,#N/A,FALSE,"Sheet1 (2)"}</definedName>
    <definedName name="Nickolodeon">#REF!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{#N/A,#N/A,FALSE,"MALİTABLOLAR"}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>[8]Kategoriler!$A$46:$B$57</definedName>
    <definedName name="ntvno">'[19]ntv-fiyat'!$A$25:$C$41</definedName>
    <definedName name="NumberOne">#REF!</definedName>
    <definedName name="O" hidden="1">{#N/A,#N/A,FALSE,"Sheet1 (2)"}</definedName>
    <definedName name="OCAK">#REF!</definedName>
    <definedName name="od" hidden="1">#REF!</definedName>
    <definedName name="odluu" hidden="1">{#N/A,#N/A,FALSE,"Sheet1 (2)"}</definedName>
    <definedName name="ogogo" hidden="1">{#N/A,#N/A,FALSE,"Sheet1 (2)"}</definedName>
    <definedName name="onur" hidden="1">{#N/A,#N/A,FALSE,"Sheet1 (2)"}</definedName>
    <definedName name="oooo" hidden="1">{"payback2",#N/A,FALSE,"Wirtschaftlichkeitsberechnung"}</definedName>
    <definedName name="OrderTable" hidden="1">#REF!</definedName>
    <definedName name="OTT">#REF!</definedName>
    <definedName name="OTTM">#REF!</definedName>
    <definedName name="otto">#REF!</definedName>
    <definedName name="oyo" hidden="1">{#N/A,#N/A,FALSE,"Sheet1 (2)"}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önnnn">[0]!önnnn</definedName>
    <definedName name="parentcompany">[6]network!$A$1:$A$65536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0">VLOOKUP("ALL_MONTH_9",LANG_STRS_RNG,[20]!LANG_CELL+1,FALSE) &amp; " " &amp;  2006</definedName>
    <definedName name="PERIODO" localSheetId="3">VLOOKUP("ALL_MONTH_9",LANG_STRS_RNG,LANG_CELL+1,FALSE)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eugeot" hidden="1">{#N/A,#N/A,FALSE,"Sheet1 (2)"}</definedName>
    <definedName name="PKASIM">#REF!</definedName>
    <definedName name="PLACEMENT">[21]Placement!$A$1:$A$65536</definedName>
    <definedName name="plan">#REF!</definedName>
    <definedName name="PLAN1">#REF!</definedName>
    <definedName name="play" hidden="1">{#N/A,#N/A,FALSE,"Sheet1 (2)"}</definedName>
    <definedName name="PLAY2" hidden="1">{#N/A,#N/A,FALSE,"Sheet1 (2)"}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S." hidden="1">{#N/A,#N/A,FALSE,"Sheet1 (2)"}</definedName>
    <definedName name="prd" hidden="1">{#N/A,#N/A,FALSE,"Sheet1 (2)"}</definedName>
    <definedName name="PRIL">#REF!</definedName>
    <definedName name="PRINT_AREA_MI">#REF!</definedName>
    <definedName name="PriceInput">#REF!</definedName>
    <definedName name="priceinput">#REF!</definedName>
    <definedName name="_xlnm.Print_Area">#REF!</definedName>
    <definedName name="_xlnm.Print_Titles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Form" hidden="1">#REF!</definedName>
    <definedName name="Product" hidden="1">#REF!</definedName>
    <definedName name="PRODUTO">#REF!</definedName>
    <definedName name="Prog_List">#REF!</definedName>
    <definedName name="ProggramaticHedefleme" hidden="1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UATTR">#REF!</definedName>
    <definedName name="QUATTRM">#REF!</definedName>
    <definedName name="quattro">#REF!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3" hidden="1">{#N/A,#N/A,FALSE,"Sheet1 (2)"}</definedName>
    <definedName name="RAA" hidden="1">{#N/A,#N/A,FALSE,"Sheet1 (2)"}</definedName>
    <definedName name="RADYO" localSheetId="3" hidden="1">{#N/A,#N/A,FALSE,"Sheet1 (2)"}</definedName>
    <definedName name="RADYO" hidden="1">{#N/A,#N/A,FALSE,"Sheet1 (2)"}</definedName>
    <definedName name="RADYOOOO" hidden="1">{#N/A,#N/A,FALSE,"Sheet1 (2)"}</definedName>
    <definedName name="RateCategoryNames">#REF!</definedName>
    <definedName name="RATING">#REF!</definedName>
    <definedName name="RCArea" hidden="1">#REF!</definedName>
    <definedName name="referans" hidden="1">{#N/A,#N/A,FALSE,"Sheet1 (2)"}</definedName>
    <definedName name="REFZONE">#REF!</definedName>
    <definedName name="reyhan">[0]!reyhan</definedName>
    <definedName name="rg" hidden="1">#REF!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rr" hidden="1">{#N/A,#N/A,FALSE,"Sheet1 (2)"}</definedName>
    <definedName name="RRRR" localSheetId="3" hidden="1">{#N/A,#N/A,FALSE,"Sheet1 (2)"}</definedName>
    <definedName name="RRRR" hidden="1">{#N/A,#N/A,FALSE,"Sheet1 (2)"}</definedName>
    <definedName name="RRRRRRRR" localSheetId="3" hidden="1">{#N/A,#N/A,FALSE,"Sheet1 (2)"}</definedName>
    <definedName name="RRRRRRRR" hidden="1">{#N/A,#N/A,FALSE,"Sheet1 (2)"}</definedName>
    <definedName name="rrrrrrrrrr" localSheetId="3" hidden="1">{#N/A,#N/A,FALSE,"Sheet1 (2)"}</definedName>
    <definedName name="rrrrrrrrrr" hidden="1">{#N/A,#N/A,FALSE,"Sheet1 (2)"}</definedName>
    <definedName name="rtethyrthhj" hidden="1">{#N/A,#N/A,FALSE,"Sheet1 (2)"}</definedName>
    <definedName name="rtqerr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[0]!rty</definedName>
    <definedName name="s">#REF!</definedName>
    <definedName name="saa" hidden="1">{#N/A,#N/A,FALSE,"Sheet1 (2)"}</definedName>
    <definedName name="saaaa" hidden="1">{#N/A,#N/A,FALSE,"Sheet1 (2)"}</definedName>
    <definedName name="SAAT">#REF!</definedName>
    <definedName name="sadsa" hidden="1">#REF!</definedName>
    <definedName name="SAPBEXdnldView" hidden="1">"4HBBPVBME4KI29H1EKD9891CA"</definedName>
    <definedName name="SAPBEXhrIndnt" hidden="1">1</definedName>
    <definedName name="SAPBEXsysID" hidden="1">"BWP"</definedName>
    <definedName name="sav" hidden="1">#REF!</definedName>
    <definedName name="savas" hidden="1">{#N/A,#N/A,FALSE,"Sheet1 (2)"}</definedName>
    <definedName name="sd" hidden="1">#REF!</definedName>
    <definedName name="sda" hidden="1">{#N/A,#N/A,FALSE,"Sheet1 (2)"}</definedName>
    <definedName name="sdasdadsda">#REF!</definedName>
    <definedName name="sdf">#REF!</definedName>
    <definedName name="SDFASDF" hidden="1">{#N/A,#N/A,FALSE,"Sheet1 (2)"}</definedName>
    <definedName name="sdfe" hidden="1">{#N/A,#N/A,FALSE,"Sheet1 (2)"}</definedName>
    <definedName name="sdfgg" hidden="1">{#N/A,#N/A,FALSE,"Sheet1 (2)"}</definedName>
    <definedName name="SDFRWEFT" hidden="1">{#N/A,#N/A,FALSE,"Sheet1 (2)"}</definedName>
    <definedName name="sdfsd" hidden="1">{#N/A,#N/A,FALSE,"Sheet1 (2)"}</definedName>
    <definedName name="sdfsdf" hidden="1">{#N/A,#N/A,FALSE,"Sheet1 (2)"}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dg">#REF!</definedName>
    <definedName name="sdgsegfasdf" hidden="1">{#N/A,#N/A,FALSE,"Sheet1 (2)"}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i">#REF!</definedName>
    <definedName name="SELECTED">#REF!</definedName>
    <definedName name="SEM">#REF!</definedName>
    <definedName name="ser" hidden="1">{#N/A,#N/A,FALSE,"Sheet1 (2)"}</definedName>
    <definedName name="SES" hidden="1">{#N/A,#N/A,FALSE,"Sheet1 (2)"}</definedName>
    <definedName name="SETT">#REF!</definedName>
    <definedName name="sette">#REF!</definedName>
    <definedName name="SETTM">#REF!</definedName>
    <definedName name="sfd" hidden="1">{#N/A,#N/A,FALSE,"Sheet1 (2)"}</definedName>
    <definedName name="sfds" hidden="1">{#N/A,#N/A,FALSE,"Sheet1 (2)"}</definedName>
    <definedName name="sfgdfgsfg">#REF!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OW">[5]Programlar!$A$246:$B$347</definedName>
    <definedName name="SHOWVW">#REF!</definedName>
    <definedName name="Sıperback" hidden="1">#REF!</definedName>
    <definedName name="SITES">[21]Sites!$A$1:$A$65536</definedName>
    <definedName name="SIVI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OFT">#REF!</definedName>
    <definedName name="SOFTOD">#REF!</definedName>
    <definedName name="sosyal" hidden="1">{#N/A,#N/A,FALSE,"Sheet1 (2)"}</definedName>
    <definedName name="SpecialPrice" hidden="1">#REF!</definedName>
    <definedName name="SPOT">#REF!</definedName>
    <definedName name="spot_süresi3">[22]GAZETE!$B$6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s" hidden="1">{#N/A,#N/A,FALSE,"Sheet1 (2)"}</definedName>
    <definedName name="ssfw" hidden="1">{#N/A,#N/A,FALSE,"Sheet1 (2)"}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VW">#REF!</definedName>
    <definedName name="StationNames">#REF!</definedName>
    <definedName name="STV">#REF!</definedName>
    <definedName name="STVVW">#REF!</definedName>
    <definedName name="sumru">[0]!sumru</definedName>
    <definedName name="superback" hidden="1">{#N/A,#N/A,FALSE,"Sheet1 (2)"}</definedName>
    <definedName name="SURE">#REF!</definedName>
    <definedName name="swds">[23]Programlar!$A$435:$B$487</definedName>
    <definedName name="Swvu.steve." hidden="1">#REF!</definedName>
    <definedName name="SZEGF">[24]Programlar!$A$130:$B$235</definedName>
    <definedName name="t">#REF!</definedName>
    <definedName name="t6yr6uyjuy" hidden="1">{#N/A,#N/A,FALSE,"Sheet1 (2)"}</definedName>
    <definedName name="TA" hidden="1">{#N/A,#N/A,FALSE,"Sheet1 (2)"}</definedName>
    <definedName name="TABLO">[13]Sayfa2!#REF!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KVİM">#REF!</definedName>
    <definedName name="TAMER" hidden="1">{#N/A,#N/A,FALSE,"Sheet1 (2)"}</definedName>
    <definedName name="Target">#REF!</definedName>
    <definedName name="TARGET_1">#REF!</definedName>
    <definedName name="TARGET_2">#REF!</definedName>
    <definedName name="TARIFE">#REF!</definedName>
    <definedName name="tarifeee">#REF!</definedName>
    <definedName name="TARİH">#REF!</definedName>
    <definedName name="TARYFE">#REF!</definedName>
    <definedName name="tat" localSheetId="3" hidden="1">{#N/A,#N/A,FALSE,"Sheet1 (2)"}</definedName>
    <definedName name="tat" hidden="1">{#N/A,#N/A,FALSE,"Sheet1 (2)"}</definedName>
    <definedName name="tbl_ProdInfo" hidden="1">#REF!</definedName>
    <definedName name="TCAGUS">#REF!</definedName>
    <definedName name="TEK">#REF!</definedName>
    <definedName name="TELEMONİTÖR">#REF!</definedName>
    <definedName name="TELESPOT">#REF!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T">[5]Programlar!$A$435:$B$487</definedName>
    <definedName name="TGRTVW">#REF!</definedName>
    <definedName name="TGRTYAZ">#REF!</definedName>
    <definedName name="thş" localSheetId="3" hidden="1">{#N/A,#N/A,FALSE,"Sheet1 (2)"}</definedName>
    <definedName name="thş" hidden="1">{#N/A,#N/A,FALSE,"Sheet1 (2)"}</definedName>
    <definedName name="thytr" hidden="1">{#N/A,#N/A,FALSE,"Sheet1 (2)"}</definedName>
    <definedName name="tito">#REF!</definedName>
    <definedName name="Titolo">#REF!</definedName>
    <definedName name="TL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">#REF!</definedName>
    <definedName name="tressad" hidden="1">{#N/A,#N/A,FALSE,"Sheet1 (2)"}</definedName>
    <definedName name="TRM">#REF!</definedName>
    <definedName name="TROY">#REF!</definedName>
    <definedName name="TROYKÜM99">#REF!</definedName>
    <definedName name="TROYTOP">#REF!</definedName>
    <definedName name="TRT">[16]Kategoriler!$A$415:$B$498</definedName>
    <definedName name="TRTVW">#REF!</definedName>
    <definedName name="try" hidden="1">{#N/A,#N/A,FALSE,"Sheet1 (2)"}</definedName>
    <definedName name="TTTTT">#REF!</definedName>
    <definedName name="TTTTTTTT">#REF!</definedName>
    <definedName name="TUBORG">#REF!</definedName>
    <definedName name="TUTAR">#REF!</definedName>
    <definedName name="tutku" localSheetId="3" hidden="1">{#N/A,#N/A,FALSE,"Sheet1 (2)"}</definedName>
    <definedName name="tutku" hidden="1">{#N/A,#N/A,FALSE,"Sheet1 (2)"}</definedName>
    <definedName name="TÜR">#REF!</definedName>
    <definedName name="TV">#REF!</definedName>
    <definedName name="tyetywy" hidden="1">{#N/A,#N/A,FALSE,"Sheet1 (2)"}</definedName>
    <definedName name="Typologies">#REF!</definedName>
    <definedName name="tytey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3" hidden="1">{#N/A,#N/A,FALSE,"Sheet1 (2)"}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d">#REF!</definedName>
    <definedName name="un">#REF!</definedName>
    <definedName name="UNM">#REF!</definedName>
    <definedName name="uno">#REF!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U" hidden="1">{#N/A,#N/A,FALSE,"MALİTABLOLAR"}</definedName>
    <definedName name="V" hidden="1">{#N/A,#N/A,FALSE,"Sheet1 (2)"}</definedName>
    <definedName name="vcx" hidden="1">{#N/A,#N/A,FALSE,"Sheet1 (2)"}</definedName>
    <definedName name="vektorm">#REF!</definedName>
    <definedName name="Veri_TabanI">'[4]Hasar Hattı'!#REF!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localSheetId="3" hidden="1">{#N/A,#N/A,FALSE,"Sheet1 (2)"}</definedName>
    <definedName name="VF" hidden="1">{#N/A,#N/A,FALSE,"Sheet1 (2)"}</definedName>
    <definedName name="vhgh" hidden="1">{#N/A,#N/A,FALSE,"Sheet1 (2)"}</definedName>
    <definedName name="VINCW">#REF!</definedName>
    <definedName name="VNGC">[24]Kategoriler!$A$86:$B$102</definedName>
    <definedName name="vpiv">#REF!</definedName>
    <definedName name="vrnksmödeme">#REF!</definedName>
    <definedName name="vv">#REF!</definedName>
    <definedName name="w" hidden="1">{#N/A,#N/A,FALSE,"Sheet1 (2)"}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qer">[0]!wqer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localSheetId="3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w" hidden="1">{#N/A,#N/A,FALSE,"Sheet1 (2)"}</definedName>
    <definedName name="X" localSheetId="3" hidden="1">{#N/A,#N/A,FALSE,"Sheet1 (2)"}</definedName>
    <definedName name="X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XASX" hidden="1">{#N/A,#N/A,FALSE,"Sheet1 (2)"}</definedName>
    <definedName name="xx" hidden="1">{#N/A,#N/A,FALSE,"Sheet1 (2)"}</definedName>
    <definedName name="xxx" localSheetId="3" hidden="1">{#N/A,#N/A,FALSE,"Sheet1 (2)"}</definedName>
    <definedName name="xxx" hidden="1">{#N/A,#N/A,FALSE,"Sheet1 (2)"}</definedName>
    <definedName name="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elda" hidden="1">{#N/A,#N/A,FALSE,"Sheet1 (2)"}</definedName>
    <definedName name="YENI">#REF!</definedName>
    <definedName name="YENİ" hidden="1">{#N/A,#N/A,FALSE,"Sheet1 (2)"}</definedName>
    <definedName name="YEREL" hidden="1">{#N/A,#N/A,FALSE,"Sheet1 (2)"}</definedName>
    <definedName name="yfg">#REF!</definedName>
    <definedName name="ygbr">[0]!ygbr</definedName>
    <definedName name="YKB">#REF!</definedName>
    <definedName name="ykb2">#REF!</definedName>
    <definedName name="YKBMARTGERÇ">#REF!</definedName>
    <definedName name="ykbod">#REF!</definedName>
    <definedName name="YOK" hidden="1">{#N/A,#N/A,FALSE,"MALİTABLOLAR"}</definedName>
    <definedName name="yuuyjjj" hidden="1">{#N/A,#N/A,FALSE,"Sheet1 (2)"}</definedName>
    <definedName name="yuyuyrjysu" hidden="1">{#N/A,#N/A,FALSE,"Sheet1 (2)"}</definedName>
    <definedName name="YY" hidden="1">{#N/A,#N/A,FALSE,"MALİTABLOLAR"}</definedName>
    <definedName name="yyy" hidden="1">{#N/A,#N/A,FALSE,"Sheet1 (2)"}</definedName>
    <definedName name="z" hidden="1">#REF!</definedName>
    <definedName name="zdfbfa" hidden="1">{#N/A,#N/A,FALSE,"1997 P&amp;L(pk) (Atlanta)";#N/A,#N/A,FALSE,"ONGOING P&amp;L(PK)(Atlanta)"}</definedName>
    <definedName name="Ze">#REF!</definedName>
    <definedName name="ZEDPAS">#REF!</definedName>
    <definedName name="ZEYNEP" localSheetId="3" hidden="1">{#N/A,#N/A,FALSE,"Sheet1 (2)"}</definedName>
    <definedName name="ZEYNEP" hidden="1">{#N/A,#N/A,FALSE,"Sheet1 (2)"}</definedName>
    <definedName name="zizi" hidden="1">{#N/A,#N/A,FALSE,"MALİTABLOLAR"}</definedName>
    <definedName name="zxc" hidden="1">{#N/A,#N/A,FALSE,"Sheet1 (2)"}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2" l="1"/>
  <c r="E10" i="12"/>
  <c r="E13" i="15"/>
  <c r="D13" i="15"/>
  <c r="C13" i="15"/>
  <c r="G39" i="12"/>
  <c r="G38" i="12"/>
  <c r="G37" i="12"/>
  <c r="E9" i="12"/>
  <c r="M27" i="12"/>
  <c r="P27" i="12"/>
  <c r="S31" i="12"/>
  <c r="I31" i="12"/>
  <c r="M25" i="12"/>
  <c r="M31" i="12"/>
  <c r="M36" i="12"/>
  <c r="K26" i="12"/>
  <c r="S36" i="12"/>
  <c r="M29" i="12"/>
  <c r="M23" i="12"/>
  <c r="G41" i="12"/>
  <c r="K19" i="12"/>
  <c r="M19" i="12"/>
  <c r="P19" i="12"/>
  <c r="R37" i="12"/>
  <c r="Q17" i="12"/>
  <c r="Q18" i="12"/>
  <c r="Q16" i="12"/>
  <c r="S30" i="12"/>
  <c r="S32" i="12"/>
  <c r="S33" i="12"/>
  <c r="S34" i="12"/>
  <c r="S18" i="12"/>
  <c r="N18" i="12"/>
  <c r="K18" i="12"/>
  <c r="I18" i="12"/>
  <c r="M24" i="12"/>
  <c r="M34" i="12"/>
  <c r="M35" i="12"/>
  <c r="M33" i="12"/>
  <c r="M32" i="12"/>
  <c r="M30" i="12"/>
  <c r="K30" i="12" s="1"/>
  <c r="M28" i="12"/>
  <c r="K28" i="12" s="1"/>
  <c r="M26" i="12"/>
  <c r="K35" i="12" l="1"/>
  <c r="K32" i="12"/>
  <c r="K33" i="12"/>
  <c r="K24" i="12"/>
  <c r="K29" i="12"/>
  <c r="K34" i="12"/>
  <c r="K23" i="12"/>
  <c r="K31" i="12"/>
  <c r="P37" i="12"/>
  <c r="Q19" i="12"/>
  <c r="Q37" i="12" s="1"/>
  <c r="S29" i="12"/>
  <c r="S23" i="12"/>
  <c r="K17" i="12"/>
  <c r="K20" i="12"/>
  <c r="K22" i="12"/>
  <c r="L37" i="12"/>
  <c r="S28" i="12"/>
  <c r="S27" i="12"/>
  <c r="S26" i="12"/>
  <c r="S24" i="12"/>
  <c r="K15" i="12"/>
  <c r="K16" i="12"/>
  <c r="N22" i="12"/>
  <c r="N23" i="12"/>
  <c r="N16" i="12"/>
  <c r="N17" i="12"/>
  <c r="N20" i="12"/>
  <c r="I22" i="12"/>
  <c r="I23" i="12"/>
  <c r="I24" i="12"/>
  <c r="I25" i="12"/>
  <c r="I26" i="12"/>
  <c r="I27" i="12"/>
  <c r="I34" i="12"/>
  <c r="I35" i="12"/>
  <c r="I36" i="12"/>
  <c r="S20" i="12"/>
  <c r="I19" i="12"/>
  <c r="I20" i="12"/>
  <c r="I28" i="12"/>
  <c r="I29" i="12"/>
  <c r="I30" i="12"/>
  <c r="I32" i="12"/>
  <c r="I33" i="12"/>
  <c r="S17" i="12"/>
  <c r="I17" i="12"/>
  <c r="S19" i="12" l="1"/>
  <c r="S16" i="12" l="1"/>
  <c r="I16" i="12"/>
  <c r="S15" i="12"/>
  <c r="N15" i="12"/>
  <c r="N37" i="12" s="1"/>
  <c r="I15" i="12"/>
  <c r="E5" i="12" l="1"/>
  <c r="L4" i="14"/>
  <c r="L3" i="14" l="1"/>
  <c r="L5" i="14" l="1"/>
  <c r="N5" i="14" s="1"/>
  <c r="L6" i="14" l="1"/>
  <c r="N6" i="14" s="1"/>
  <c r="L7" i="14" l="1"/>
  <c r="N7" i="14" s="1"/>
  <c r="L8" i="14" l="1"/>
  <c r="N8" i="14" s="1"/>
  <c r="H7" i="10" l="1"/>
  <c r="E7" i="10"/>
  <c r="E6" i="10"/>
  <c r="E8" i="10"/>
  <c r="E5" i="10"/>
  <c r="E4" i="10"/>
  <c r="K25" i="12" l="1"/>
  <c r="K27" i="12" l="1"/>
  <c r="M37" i="12" l="1"/>
  <c r="E8" i="12" l="1"/>
  <c r="E7" i="12" s="1"/>
  <c r="E6" i="12" s="1"/>
</calcChain>
</file>

<file path=xl/sharedStrings.xml><?xml version="1.0" encoding="utf-8"?>
<sst xmlns="http://schemas.openxmlformats.org/spreadsheetml/2006/main" count="235" uniqueCount="118">
  <si>
    <t>Marka:</t>
  </si>
  <si>
    <t>Uludağ</t>
  </si>
  <si>
    <t>Kampanya Adı:</t>
  </si>
  <si>
    <t>Kampanya Dönemi:</t>
  </si>
  <si>
    <t>Planlanan Herşey Dahil  Kampanya Bütçesi:</t>
  </si>
  <si>
    <t>Kalan Plan Bütçesi:</t>
  </si>
  <si>
    <t>Gerçekleşen  Kampanya Maliyeti:</t>
  </si>
  <si>
    <t>Gerçekleşen Yayın Maliyeti:</t>
  </si>
  <si>
    <t>Gerçekleşen Adserveri Bedeli:</t>
  </si>
  <si>
    <t>Gerçekleşen AHB Bedeli:</t>
  </si>
  <si>
    <t>Objektive</t>
  </si>
  <si>
    <t>Unit Cost</t>
  </si>
  <si>
    <t>Budget</t>
  </si>
  <si>
    <t>Secondary Metrics</t>
  </si>
  <si>
    <t>Platform</t>
  </si>
  <si>
    <t>Mecra</t>
  </si>
  <si>
    <t>Site/Network</t>
  </si>
  <si>
    <t>Kategori / Hedefleme</t>
  </si>
  <si>
    <t>Yayın Türü</t>
  </si>
  <si>
    <t>Planlanan Impression/View</t>
  </si>
  <si>
    <t>Gerçekleşen Impression/View</t>
  </si>
  <si>
    <t>Gerçekleşme Oranı</t>
  </si>
  <si>
    <t>Planlanan Unit Cost       (CPM, CPV, CPC)</t>
  </si>
  <si>
    <t xml:space="preserve"> Planlanan Yayın Bedeli</t>
  </si>
  <si>
    <t>Gerçekleşen Yayın Maliyeti</t>
  </si>
  <si>
    <t>Reach</t>
  </si>
  <si>
    <t>Impression</t>
  </si>
  <si>
    <t>Click</t>
  </si>
  <si>
    <t>CTR %</t>
  </si>
  <si>
    <t>%100 VCR</t>
  </si>
  <si>
    <t>Desktop / Mobile</t>
  </si>
  <si>
    <t xml:space="preserve">Youtube </t>
  </si>
  <si>
    <t>Hedeflemeli Yayın</t>
  </si>
  <si>
    <t>Preroll</t>
  </si>
  <si>
    <t>-</t>
  </si>
  <si>
    <t>Metrik</t>
  </si>
  <si>
    <t>Hedef</t>
  </si>
  <si>
    <t>Nisan Hedef</t>
  </si>
  <si>
    <t>Şubat</t>
  </si>
  <si>
    <t>Mart</t>
  </si>
  <si>
    <t>Trafik</t>
  </si>
  <si>
    <t>Teklif</t>
  </si>
  <si>
    <t>Randevu</t>
  </si>
  <si>
    <t>MH Onaylı Randevu</t>
  </si>
  <si>
    <t>Ziyaret</t>
  </si>
  <si>
    <t>Satın alım</t>
  </si>
  <si>
    <t>Adet</t>
  </si>
  <si>
    <t>Oran</t>
  </si>
  <si>
    <t>Birim Maliyet</t>
  </si>
  <si>
    <t>Sorgu</t>
  </si>
  <si>
    <t>MH Onay</t>
  </si>
  <si>
    <t>Satın Alma</t>
  </si>
  <si>
    <t>Performans Maliyet</t>
  </si>
  <si>
    <t>Gerçekleşen AHB</t>
  </si>
  <si>
    <t>Gerçekleşen Unit Cost 
(CPM, CPV,  CPC)</t>
  </si>
  <si>
    <t>Youtube</t>
  </si>
  <si>
    <t>Programatik</t>
  </si>
  <si>
    <t>Dv360</t>
  </si>
  <si>
    <t>Meta</t>
  </si>
  <si>
    <t>Instagram</t>
  </si>
  <si>
    <t>Video Views</t>
  </si>
  <si>
    <t>X</t>
  </si>
  <si>
    <t>Tooplay</t>
  </si>
  <si>
    <t>Bond</t>
  </si>
  <si>
    <t>TiVo OS</t>
  </si>
  <si>
    <t>Premium Envanter</t>
  </si>
  <si>
    <t>Azerion</t>
  </si>
  <si>
    <t>Masthead</t>
  </si>
  <si>
    <t>Non Skippable</t>
  </si>
  <si>
    <t>Connected Tv</t>
  </si>
  <si>
    <t>Trivuew</t>
  </si>
  <si>
    <t>Amazon Dsp</t>
  </si>
  <si>
    <t>Hbo Max</t>
  </si>
  <si>
    <t>Disney+</t>
  </si>
  <si>
    <t>Trt1 &amp; Tabii</t>
  </si>
  <si>
    <t>Atv. Com.Tr &amp; Atv Youtube</t>
  </si>
  <si>
    <t>Preroll + Youtube</t>
  </si>
  <si>
    <t>Kanal D, Star Tv, Show Tv, Puhu</t>
  </si>
  <si>
    <t>Video End Card + Bls</t>
  </si>
  <si>
    <t xml:space="preserve">Premium Envanter + Liner Tv </t>
  </si>
  <si>
    <t>Liner Tv Datalı + Mimeda  Lp</t>
  </si>
  <si>
    <t>İnteractive endcard</t>
  </si>
  <si>
    <t>Network Geneli</t>
  </si>
  <si>
    <t>Preroll + Rich Media</t>
  </si>
  <si>
    <t xml:space="preserve">Karnaval </t>
  </si>
  <si>
    <t>Audio</t>
  </si>
  <si>
    <t>Spotify</t>
  </si>
  <si>
    <t>Video</t>
  </si>
  <si>
    <t>Channal Foctory</t>
  </si>
  <si>
    <t>Arcon</t>
  </si>
  <si>
    <t>HepsiBurada</t>
  </si>
  <si>
    <t>Trt &amp; Tabii</t>
  </si>
  <si>
    <t xml:space="preserve">Turkuvaz </t>
  </si>
  <si>
    <t>Oasis</t>
  </si>
  <si>
    <t>Videout</t>
  </si>
  <si>
    <t>Segment</t>
  </si>
  <si>
    <t>Karnaval</t>
  </si>
  <si>
    <t>Hava Tam Portakallı</t>
  </si>
  <si>
    <t>15 Mayıs- 15 Haziran</t>
  </si>
  <si>
    <t>View</t>
  </si>
  <si>
    <t>57.86%</t>
  </si>
  <si>
    <t>_</t>
  </si>
  <si>
    <t>Mimeda</t>
  </si>
  <si>
    <t>Migros Sanal Market</t>
  </si>
  <si>
    <t>Search</t>
  </si>
  <si>
    <t>18.64%</t>
  </si>
  <si>
    <t>76.98%</t>
  </si>
  <si>
    <t>Roas</t>
  </si>
  <si>
    <t>N/A</t>
  </si>
  <si>
    <t>7,68x</t>
  </si>
  <si>
    <t>Satış</t>
  </si>
  <si>
    <t>Reach Block - HTP</t>
  </si>
  <si>
    <t>Harcanan Bütçe</t>
  </si>
  <si>
    <t>Yerel Mecralar</t>
  </si>
  <si>
    <t>Total</t>
  </si>
  <si>
    <t>Gerçekleşen Impression</t>
  </si>
  <si>
    <t>Gerçekleşen View</t>
  </si>
  <si>
    <t>X (Reach Block)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</si>
</sst>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₺&quot;#,##0"/>
    <numFmt numFmtId="166" formatCode="_-[$₺-41F]* #,##0.00_-;\-[$₺-41F]* #,##0.00_-;_-[$₺-41F]* &quot;-&quot;??_-;_-@_-"/>
    <numFmt numFmtId="167" formatCode="&quot;₺&quot;#,##0.00"/>
    <numFmt numFmtId="168" formatCode="0.0%"/>
    <numFmt numFmtId="169" formatCode="#,##0\ &quot;view&quot;"/>
    <numFmt numFmtId="170" formatCode="#,##0\ &quot;click&quot;"/>
    <numFmt numFmtId="171" formatCode="#,##0\ &quot;imp&quot;"/>
    <numFmt numFmtId="172" formatCode="#,##0\ &quot;reach&quot;"/>
    <numFmt numFmtId="173" formatCode="#,##0\ &quot;List&quot;"/>
    <numFmt numFmtId="174" formatCode="_-[$₺-41F]* #,##0.000_-;\-[$₺-41F]* #,##0.000_-;_-[$₺-41F]* &quot;-&quot;??_-;_-@_-"/>
    <numFmt numFmtId="175" formatCode="_-[$₺-41F]* #,##0.0_-;\-[$₺-41F]* #,##0.0_-;_-[$₺-41F]* &quot;-&quot;??_-;_-@_-"/>
    <numFmt numFmtId="176" formatCode="#,##0\ &quot;adet&quot;"/>
  </numFmts>
  <fonts count="34" x14ac:knownFonts="1">
    <font>
      <sz val="11"/>
      <color theme="1"/>
      <name val="Calibri"/>
      <family val="2"/>
      <charset val="162"/>
      <scheme val="minor"/>
    </font>
    <font>
      <sz val="10"/>
      <name val="Arial Tu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charset val="162"/>
      <scheme val="minor"/>
    </font>
    <font>
      <sz val="14"/>
      <color theme="1"/>
      <name val="Poppins"/>
      <charset val="162"/>
    </font>
    <font>
      <sz val="11"/>
      <name val="Calibri"/>
      <family val="2"/>
      <charset val="162"/>
    </font>
    <font>
      <b/>
      <sz val="18"/>
      <color rgb="FF0070C0"/>
      <name val="Poppins"/>
      <charset val="162"/>
    </font>
    <font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b/>
      <sz val="16"/>
      <color theme="0"/>
      <name val="Poppins"/>
      <charset val="162"/>
    </font>
    <font>
      <b/>
      <u/>
      <sz val="12"/>
      <color rgb="FFC00000"/>
      <name val="Poppins"/>
      <charset val="162"/>
    </font>
    <font>
      <sz val="18"/>
      <color theme="1"/>
      <name val="Poppins"/>
      <charset val="162"/>
    </font>
    <font>
      <b/>
      <sz val="18"/>
      <color theme="0"/>
      <name val="Poppins"/>
      <charset val="162"/>
    </font>
    <font>
      <sz val="20"/>
      <color theme="1"/>
      <name val="Poppins"/>
      <charset val="162"/>
    </font>
    <font>
      <sz val="20"/>
      <color theme="0"/>
      <name val="Poppins"/>
      <charset val="162"/>
    </font>
    <font>
      <b/>
      <sz val="20"/>
      <color theme="0"/>
      <name val="Poppins"/>
      <charset val="162"/>
    </font>
    <font>
      <sz val="20"/>
      <color rgb="FF000000"/>
      <name val="Poppins"/>
      <charset val="162"/>
    </font>
    <font>
      <b/>
      <u/>
      <sz val="20"/>
      <color rgb="FFC00000"/>
      <name val="Poppins"/>
      <charset val="162"/>
    </font>
    <font>
      <b/>
      <sz val="18"/>
      <color theme="1"/>
      <name val="Poppins"/>
      <charset val="162"/>
    </font>
    <font>
      <b/>
      <sz val="17"/>
      <color theme="0"/>
      <name val="Poppins"/>
      <charset val="162"/>
    </font>
    <font>
      <sz val="25"/>
      <color theme="1"/>
      <name val="Calibri"/>
      <family val="2"/>
      <charset val="162"/>
      <scheme val="minor"/>
    </font>
    <font>
      <b/>
      <u/>
      <sz val="13"/>
      <color rgb="FFC00000"/>
      <name val="Poppins"/>
      <charset val="162"/>
    </font>
    <font>
      <sz val="14"/>
      <color theme="0"/>
      <name val="Calibri"/>
      <family val="2"/>
      <charset val="162"/>
      <scheme val="minor"/>
    </font>
    <font>
      <b/>
      <sz val="11"/>
      <color rgb="FFFFFFFF"/>
      <name val="Poppins"/>
      <charset val="162"/>
    </font>
    <font>
      <sz val="11"/>
      <color rgb="FF000000"/>
      <name val="Poppins"/>
      <charset val="162"/>
    </font>
    <font>
      <sz val="20"/>
      <color rgb="FF00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B1D2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7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2" fillId="0" borderId="0"/>
    <xf numFmtId="0" fontId="14" fillId="0" borderId="0"/>
    <xf numFmtId="0" fontId="15" fillId="0" borderId="0"/>
    <xf numFmtId="44" fontId="4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4" fillId="0" borderId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11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10" fontId="8" fillId="6" borderId="0" xfId="0" applyNumberFormat="1" applyFont="1" applyFill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0" fontId="7" fillId="7" borderId="6" xfId="0" applyNumberFormat="1" applyFont="1" applyFill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 applyAlignment="1">
      <alignment horizontal="center"/>
    </xf>
    <xf numFmtId="165" fontId="7" fillId="7" borderId="6" xfId="0" applyNumberFormat="1" applyFont="1" applyFill="1" applyBorder="1" applyAlignment="1">
      <alignment horizontal="center"/>
    </xf>
    <xf numFmtId="9" fontId="0" fillId="0" borderId="0" xfId="9" applyFont="1"/>
    <xf numFmtId="0" fontId="0" fillId="6" borderId="6" xfId="0" applyFill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9" fontId="0" fillId="8" borderId="6" xfId="0" applyNumberForma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9" fontId="6" fillId="0" borderId="0" xfId="9" applyFont="1" applyAlignment="1">
      <alignment horizontal="center" vertical="center"/>
    </xf>
    <xf numFmtId="44" fontId="6" fillId="0" borderId="0" xfId="6" applyFont="1" applyAlignment="1">
      <alignment horizontal="center" vertical="center"/>
    </xf>
    <xf numFmtId="44" fontId="0" fillId="0" borderId="0" xfId="6" applyFont="1"/>
    <xf numFmtId="0" fontId="17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1" fontId="18" fillId="0" borderId="0" xfId="0" applyNumberFormat="1" applyFont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171" fontId="21" fillId="3" borderId="7" xfId="1" applyNumberFormat="1" applyFont="1" applyFill="1" applyBorder="1" applyAlignment="1">
      <alignment horizontal="center" vertical="center"/>
    </xf>
    <xf numFmtId="9" fontId="23" fillId="9" borderId="7" xfId="9" applyFont="1" applyFill="1" applyBorder="1" applyAlignment="1">
      <alignment horizontal="center" vertical="center"/>
    </xf>
    <xf numFmtId="166" fontId="21" fillId="11" borderId="7" xfId="6" applyNumberFormat="1" applyFont="1" applyFill="1" applyBorder="1" applyAlignment="1">
      <alignment horizontal="center" vertical="center"/>
    </xf>
    <xf numFmtId="166" fontId="23" fillId="10" borderId="7" xfId="6" applyNumberFormat="1" applyFont="1" applyFill="1" applyBorder="1" applyAlignment="1">
      <alignment horizontal="center" vertical="center"/>
    </xf>
    <xf numFmtId="172" fontId="24" fillId="0" borderId="7" xfId="1" applyNumberFormat="1" applyFont="1" applyBorder="1" applyAlignment="1">
      <alignment horizontal="center" vertical="center"/>
    </xf>
    <xf numFmtId="170" fontId="24" fillId="0" borderId="7" xfId="1" applyNumberFormat="1" applyFont="1" applyBorder="1" applyAlignment="1">
      <alignment horizontal="center" vertical="center"/>
    </xf>
    <xf numFmtId="10" fontId="24" fillId="0" borderId="7" xfId="1" applyNumberFormat="1" applyFont="1" applyBorder="1" applyAlignment="1">
      <alignment horizontal="center" vertical="center"/>
    </xf>
    <xf numFmtId="9" fontId="24" fillId="0" borderId="7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9" fontId="25" fillId="0" borderId="0" xfId="0" applyNumberFormat="1" applyFont="1" applyAlignment="1">
      <alignment horizontal="center" vertical="center" wrapText="1"/>
    </xf>
    <xf numFmtId="171" fontId="25" fillId="0" borderId="0" xfId="0" applyNumberFormat="1" applyFont="1" applyAlignment="1">
      <alignment horizontal="center" vertical="center" wrapText="1"/>
    </xf>
    <xf numFmtId="44" fontId="25" fillId="0" borderId="0" xfId="0" applyNumberFormat="1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 wrapText="1"/>
    </xf>
    <xf numFmtId="170" fontId="25" fillId="0" borderId="0" xfId="0" applyNumberFormat="1" applyFont="1" applyAlignment="1">
      <alignment horizontal="center" vertical="center" wrapText="1"/>
    </xf>
    <xf numFmtId="10" fontId="25" fillId="0" borderId="0" xfId="0" applyNumberFormat="1" applyFont="1" applyAlignment="1">
      <alignment horizontal="center" vertical="center" wrapText="1"/>
    </xf>
    <xf numFmtId="9" fontId="25" fillId="0" borderId="0" xfId="0" applyNumberFormat="1" applyFont="1" applyAlignment="1">
      <alignment horizontal="center" vertical="center" wrapText="1"/>
    </xf>
    <xf numFmtId="171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9" fontId="20" fillId="9" borderId="9" xfId="1" applyNumberFormat="1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 wrapText="1"/>
    </xf>
    <xf numFmtId="170" fontId="20" fillId="9" borderId="11" xfId="0" applyNumberFormat="1" applyFont="1" applyFill="1" applyBorder="1" applyAlignment="1">
      <alignment horizontal="center" vertical="center" wrapText="1"/>
    </xf>
    <xf numFmtId="0" fontId="27" fillId="9" borderId="11" xfId="0" applyFont="1" applyFill="1" applyBorder="1" applyAlignment="1">
      <alignment horizontal="center" vertical="top" wrapText="1"/>
    </xf>
    <xf numFmtId="169" fontId="21" fillId="3" borderId="7" xfId="1" applyNumberFormat="1" applyFont="1" applyFill="1" applyBorder="1" applyAlignment="1">
      <alignment horizontal="center" vertical="center"/>
    </xf>
    <xf numFmtId="169" fontId="23" fillId="9" borderId="7" xfId="1" applyNumberFormat="1" applyFont="1" applyFill="1" applyBorder="1" applyAlignment="1">
      <alignment horizontal="center" vertical="center"/>
    </xf>
    <xf numFmtId="171" fontId="23" fillId="9" borderId="7" xfId="1" applyNumberFormat="1" applyFont="1" applyFill="1" applyBorder="1" applyAlignment="1">
      <alignment horizontal="center" vertical="center"/>
    </xf>
    <xf numFmtId="173" fontId="25" fillId="0" borderId="0" xfId="0" applyNumberFormat="1" applyFont="1" applyAlignment="1">
      <alignment horizontal="center" vertical="center" wrapText="1"/>
    </xf>
    <xf numFmtId="174" fontId="21" fillId="11" borderId="7" xfId="6" applyNumberFormat="1" applyFont="1" applyFill="1" applyBorder="1" applyAlignment="1">
      <alignment horizontal="center" vertical="center"/>
    </xf>
    <xf numFmtId="169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1" fontId="29" fillId="3" borderId="0" xfId="1" applyNumberFormat="1" applyFont="1" applyFill="1" applyAlignment="1">
      <alignment horizontal="center" vertical="center"/>
    </xf>
    <xf numFmtId="169" fontId="29" fillId="3" borderId="0" xfId="1" applyNumberFormat="1" applyFont="1" applyFill="1" applyAlignment="1">
      <alignment horizontal="center" vertical="center"/>
    </xf>
    <xf numFmtId="175" fontId="21" fillId="11" borderId="7" xfId="6" applyNumberFormat="1" applyFont="1" applyFill="1" applyBorder="1" applyAlignment="1">
      <alignment horizontal="center" vertical="center"/>
    </xf>
    <xf numFmtId="170" fontId="23" fillId="9" borderId="7" xfId="1" applyNumberFormat="1" applyFont="1" applyFill="1" applyBorder="1" applyAlignment="1">
      <alignment horizontal="center" vertical="center"/>
    </xf>
    <xf numFmtId="170" fontId="21" fillId="3" borderId="7" xfId="1" applyNumberFormat="1" applyFont="1" applyFill="1" applyBorder="1" applyAlignment="1">
      <alignment horizontal="center" vertical="center"/>
    </xf>
    <xf numFmtId="169" fontId="30" fillId="3" borderId="0" xfId="0" applyNumberFormat="1" applyFont="1" applyFill="1" applyAlignment="1">
      <alignment horizontal="center" vertical="center"/>
    </xf>
    <xf numFmtId="169" fontId="2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76" fontId="24" fillId="0" borderId="7" xfId="1" applyNumberFormat="1" applyFont="1" applyBorder="1" applyAlignment="1">
      <alignment horizontal="center" vertical="center"/>
    </xf>
    <xf numFmtId="171" fontId="25" fillId="3" borderId="0" xfId="1" applyNumberFormat="1" applyFont="1" applyFill="1" applyAlignment="1">
      <alignment horizontal="center" vertical="center"/>
    </xf>
    <xf numFmtId="169" fontId="25" fillId="3" borderId="0" xfId="1" applyNumberFormat="1" applyFont="1" applyFill="1" applyAlignment="1">
      <alignment horizontal="center" vertical="center"/>
    </xf>
    <xf numFmtId="170" fontId="25" fillId="3" borderId="0" xfId="1" applyNumberFormat="1" applyFont="1" applyFill="1" applyAlignment="1">
      <alignment horizontal="center" vertical="center"/>
    </xf>
    <xf numFmtId="166" fontId="21" fillId="11" borderId="7" xfId="20" applyNumberFormat="1" applyFont="1" applyFill="1" applyBorder="1" applyAlignment="1">
      <alignment horizontal="center" vertical="center"/>
    </xf>
    <xf numFmtId="166" fontId="23" fillId="10" borderId="7" xfId="20" applyNumberFormat="1" applyFont="1" applyFill="1" applyBorder="1" applyAlignment="1">
      <alignment horizontal="center" vertical="center"/>
    </xf>
    <xf numFmtId="0" fontId="31" fillId="13" borderId="12" xfId="0" applyFont="1" applyFill="1" applyBorder="1" applyAlignment="1">
      <alignment horizontal="center" vertical="center" wrapText="1"/>
    </xf>
    <xf numFmtId="0" fontId="31" fillId="13" borderId="13" xfId="0" applyFont="1" applyFill="1" applyBorder="1" applyAlignment="1">
      <alignment horizontal="center" vertical="center" wrapText="1"/>
    </xf>
    <xf numFmtId="0" fontId="32" fillId="12" borderId="14" xfId="0" applyFont="1" applyFill="1" applyBorder="1" applyAlignment="1">
      <alignment horizontal="center" vertical="center" wrapText="1"/>
    </xf>
    <xf numFmtId="171" fontId="32" fillId="12" borderId="10" xfId="0" applyNumberFormat="1" applyFont="1" applyFill="1" applyBorder="1" applyAlignment="1">
      <alignment horizontal="right" vertical="center" wrapText="1"/>
    </xf>
    <xf numFmtId="169" fontId="32" fillId="12" borderId="10" xfId="0" applyNumberFormat="1" applyFont="1" applyFill="1" applyBorder="1" applyAlignment="1">
      <alignment horizontal="right" vertical="center" wrapText="1"/>
    </xf>
    <xf numFmtId="44" fontId="32" fillId="12" borderId="10" xfId="6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right" vertical="center"/>
    </xf>
    <xf numFmtId="0" fontId="20" fillId="4" borderId="0" xfId="0" applyFont="1" applyFill="1" applyAlignment="1">
      <alignment horizontal="right" vertical="center"/>
    </xf>
    <xf numFmtId="167" fontId="19" fillId="3" borderId="0" xfId="0" applyNumberFormat="1" applyFont="1" applyFill="1" applyAlignment="1">
      <alignment horizontal="center" vertical="center"/>
    </xf>
    <xf numFmtId="167" fontId="19" fillId="3" borderId="4" xfId="0" applyNumberFormat="1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right" vertical="center"/>
    </xf>
    <xf numFmtId="0" fontId="20" fillId="4" borderId="9" xfId="0" applyFont="1" applyFill="1" applyBorder="1" applyAlignment="1">
      <alignment horizontal="right" vertical="center"/>
    </xf>
    <xf numFmtId="167" fontId="19" fillId="3" borderId="9" xfId="0" applyNumberFormat="1" applyFont="1" applyFill="1" applyBorder="1" applyAlignment="1">
      <alignment horizontal="center" vertical="center"/>
    </xf>
    <xf numFmtId="167" fontId="19" fillId="3" borderId="10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right" vertical="center"/>
    </xf>
    <xf numFmtId="0" fontId="20" fillId="9" borderId="5" xfId="0" applyFont="1" applyFill="1" applyBorder="1" applyAlignment="1">
      <alignment horizontal="right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right" vertical="center"/>
    </xf>
    <xf numFmtId="0" fontId="20" fillId="9" borderId="0" xfId="0" applyFont="1" applyFill="1" applyAlignment="1">
      <alignment horizontal="right" vertical="center"/>
    </xf>
    <xf numFmtId="0" fontId="26" fillId="3" borderId="0" xfId="0" applyFont="1" applyFill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17" fontId="19" fillId="3" borderId="0" xfId="0" applyNumberFormat="1" applyFont="1" applyFill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67" fontId="26" fillId="5" borderId="0" xfId="0" applyNumberFormat="1" applyFont="1" applyFill="1" applyAlignment="1">
      <alignment horizontal="center" vertical="center"/>
    </xf>
    <xf numFmtId="167" fontId="26" fillId="5" borderId="4" xfId="0" applyNumberFormat="1" applyFont="1" applyFill="1" applyBorder="1" applyAlignment="1">
      <alignment horizontal="center" vertical="center"/>
    </xf>
    <xf numFmtId="169" fontId="20" fillId="9" borderId="9" xfId="1" applyNumberFormat="1" applyFont="1" applyFill="1" applyBorder="1" applyAlignment="1">
      <alignment horizontal="center" vertical="center"/>
    </xf>
    <xf numFmtId="167" fontId="13" fillId="5" borderId="0" xfId="0" applyNumberFormat="1" applyFont="1" applyFill="1" applyAlignment="1">
      <alignment horizontal="center" vertical="center"/>
    </xf>
    <xf numFmtId="167" fontId="13" fillId="5" borderId="4" xfId="0" applyNumberFormat="1" applyFont="1" applyFill="1" applyBorder="1" applyAlignment="1">
      <alignment horizontal="center" vertical="center"/>
    </xf>
    <xf numFmtId="166" fontId="33" fillId="0" borderId="0" xfId="0" applyNumberFormat="1" applyFont="1"/>
  </cellXfs>
  <cellStyles count="27">
    <cellStyle name="Comma 2" xfId="17" xr:uid="{00000000-0005-0000-0000-000000000000}"/>
    <cellStyle name="Comma 2 2" xfId="25" xr:uid="{675D9881-5F11-48E0-9B09-5AE892D28240}"/>
    <cellStyle name="Currency" xfId="6" builtinId="4"/>
    <cellStyle name="Currency 2" xfId="8" xr:uid="{00000000-0005-0000-0000-000001000000}"/>
    <cellStyle name="Currency 2 2" xfId="21" xr:uid="{A3DAF068-7F39-4BE4-A033-A52D1EB9F6E0}"/>
    <cellStyle name="Currency 3" xfId="14" xr:uid="{00000000-0005-0000-0000-000002000000}"/>
    <cellStyle name="Currency 3 2" xfId="23" xr:uid="{1DC90CC5-3840-4B14-AA19-DD0FCB6093C8}"/>
    <cellStyle name="Currency 4" xfId="20" xr:uid="{4968A72B-CEBD-4886-868A-BA80F0AF71EF}"/>
    <cellStyle name="Currency 4 3 3 3" xfId="4" xr:uid="{00000000-0005-0000-0000-000003000000}"/>
    <cellStyle name="Normal" xfId="0" builtinId="0"/>
    <cellStyle name="Normal 2" xfId="2" xr:uid="{00000000-0005-0000-0000-000005000000}"/>
    <cellStyle name="Normal 2 2" xfId="10" xr:uid="{00000000-0005-0000-0000-000006000000}"/>
    <cellStyle name="Normal 3" xfId="5" xr:uid="{00000000-0005-0000-0000-000007000000}"/>
    <cellStyle name="Normal 4" xfId="7" xr:uid="{00000000-0005-0000-0000-000008000000}"/>
    <cellStyle name="Normal 5" xfId="11" xr:uid="{00000000-0005-0000-0000-000009000000}"/>
    <cellStyle name="Normal 6" xfId="12" xr:uid="{00000000-0005-0000-0000-00000A000000}"/>
    <cellStyle name="Normal 7" xfId="13" xr:uid="{00000000-0005-0000-0000-00000B000000}"/>
    <cellStyle name="Normal 7 2" xfId="22" xr:uid="{8E89DA11-46D1-4C19-BDEC-1B36232976AE}"/>
    <cellStyle name="Normal 8" xfId="15" xr:uid="{00000000-0005-0000-0000-00000C000000}"/>
    <cellStyle name="Normal_Zed_s'nek_UCLA_onlineplan_Feb27" xfId="1" xr:uid="{00000000-0005-0000-0000-00000D000000}"/>
    <cellStyle name="ParaBirimi 2" xfId="16" xr:uid="{00000000-0005-0000-0000-00000F000000}"/>
    <cellStyle name="ParaBirimi 2 2" xfId="24" xr:uid="{C5D47287-7A5E-4AE4-A19B-F910181F87E3}"/>
    <cellStyle name="Percent" xfId="9" builtinId="5"/>
    <cellStyle name="Percent 2" xfId="3" xr:uid="{00000000-0005-0000-0000-000010000000}"/>
    <cellStyle name="Virgül 2" xfId="18" xr:uid="{00000000-0005-0000-0000-000011000000}"/>
    <cellStyle name="Virgül 2 2" xfId="26" xr:uid="{6C6A2F1F-96AA-42E2-98D0-2C0BC0011F65}"/>
    <cellStyle name="Yüzde 2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Programyede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Gruppe\MUELLER\TV-CHART\1999\DAUB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dia\Digital\2023\Markalar\ULUDA&#286;\03_Mart\Plan\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08DC1\TURKCELLDEV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GAZE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3"/>
  <sheetViews>
    <sheetView showGridLines="0" tabSelected="1" topLeftCell="C16" zoomScale="30" zoomScaleNormal="30" workbookViewId="0">
      <selection activeCell="K38" sqref="K38"/>
    </sheetView>
  </sheetViews>
  <sheetFormatPr defaultColWidth="9.109375" defaultRowHeight="18" x14ac:dyDescent="0.3"/>
  <cols>
    <col min="1" max="1" width="3" style="1" customWidth="1"/>
    <col min="2" max="2" width="34" style="1" customWidth="1"/>
    <col min="3" max="3" width="38.109375" style="1" customWidth="1"/>
    <col min="4" max="4" width="43.6640625" style="1" customWidth="1"/>
    <col min="5" max="5" width="46.33203125" style="1" customWidth="1"/>
    <col min="6" max="6" width="51.6640625" style="1" customWidth="1"/>
    <col min="7" max="7" width="40.5546875" style="1" customWidth="1"/>
    <col min="8" max="8" width="47.6640625" style="1" customWidth="1"/>
    <col min="9" max="9" width="28.109375" style="1" customWidth="1"/>
    <col min="10" max="11" width="36.33203125" style="1" customWidth="1"/>
    <col min="12" max="12" width="38.6640625" style="1" customWidth="1"/>
    <col min="13" max="13" width="41.6640625" style="2" customWidth="1"/>
    <col min="14" max="14" width="33.88671875" style="2" customWidth="1"/>
    <col min="15" max="15" width="34.88671875" style="1" customWidth="1"/>
    <col min="16" max="17" width="35.33203125" style="1" customWidth="1"/>
    <col min="18" max="18" width="34.21875" style="1" bestFit="1" customWidth="1"/>
    <col min="19" max="22" width="36.33203125" style="1" customWidth="1"/>
    <col min="23" max="16384" width="9.109375" style="1"/>
  </cols>
  <sheetData>
    <row r="1" spans="2:22" ht="18.600000000000001" thickBot="1" x14ac:dyDescent="0.35"/>
    <row r="2" spans="2:22" ht="23.4" customHeight="1" x14ac:dyDescent="0.3">
      <c r="B2" s="97" t="s">
        <v>0</v>
      </c>
      <c r="C2" s="98"/>
      <c r="D2" s="98"/>
      <c r="E2" s="99" t="s">
        <v>1</v>
      </c>
      <c r="F2" s="100"/>
      <c r="M2" s="1"/>
      <c r="N2" s="1"/>
    </row>
    <row r="3" spans="2:22" ht="36.75" customHeight="1" x14ac:dyDescent="0.3">
      <c r="B3" s="101" t="s">
        <v>2</v>
      </c>
      <c r="C3" s="102"/>
      <c r="D3" s="102"/>
      <c r="E3" s="103" t="s">
        <v>97</v>
      </c>
      <c r="F3" s="104"/>
      <c r="M3" s="1"/>
      <c r="N3" s="1"/>
    </row>
    <row r="4" spans="2:22" ht="36.75" customHeight="1" x14ac:dyDescent="0.3">
      <c r="B4" s="101" t="s">
        <v>3</v>
      </c>
      <c r="C4" s="102"/>
      <c r="D4" s="102"/>
      <c r="E4" s="105" t="s">
        <v>98</v>
      </c>
      <c r="F4" s="106"/>
      <c r="H4" s="29"/>
      <c r="I4" s="29"/>
      <c r="J4" s="29"/>
      <c r="K4" s="29"/>
      <c r="L4" s="29"/>
      <c r="M4" s="29"/>
      <c r="N4" s="29"/>
      <c r="S4" s="29"/>
      <c r="T4" s="29"/>
      <c r="U4" s="29"/>
      <c r="V4" s="29"/>
    </row>
    <row r="5" spans="2:22" ht="36.75" customHeight="1" x14ac:dyDescent="0.3">
      <c r="B5" s="87" t="s">
        <v>4</v>
      </c>
      <c r="C5" s="88"/>
      <c r="D5" s="88"/>
      <c r="E5" s="107">
        <f>L37+N37</f>
        <v>9407528.4064000007</v>
      </c>
      <c r="F5" s="108"/>
      <c r="H5" s="30"/>
      <c r="I5"/>
      <c r="J5"/>
      <c r="K5"/>
      <c r="L5"/>
      <c r="M5"/>
      <c r="N5"/>
      <c r="S5"/>
      <c r="T5"/>
      <c r="U5"/>
      <c r="V5"/>
    </row>
    <row r="6" spans="2:22" ht="36.75" customHeight="1" x14ac:dyDescent="0.3">
      <c r="B6" s="87" t="s">
        <v>5</v>
      </c>
      <c r="C6" s="88"/>
      <c r="D6" s="88"/>
      <c r="E6" s="110">
        <f>E5-E7</f>
        <v>247654.6400000006</v>
      </c>
      <c r="F6" s="111"/>
      <c r="G6" s="28"/>
      <c r="M6" s="1"/>
      <c r="N6" s="1"/>
    </row>
    <row r="7" spans="2:22" ht="36.75" customHeight="1" x14ac:dyDescent="0.3">
      <c r="B7" s="87" t="s">
        <v>6</v>
      </c>
      <c r="C7" s="88"/>
      <c r="D7" s="88"/>
      <c r="E7" s="107">
        <f>E8+E9+E10</f>
        <v>9159873.7664000001</v>
      </c>
      <c r="F7" s="108"/>
      <c r="H7" s="28"/>
      <c r="M7" s="1"/>
      <c r="N7" s="1"/>
    </row>
    <row r="8" spans="2:22" ht="34.799999999999997" x14ac:dyDescent="0.3">
      <c r="B8" s="87" t="s">
        <v>7</v>
      </c>
      <c r="C8" s="88"/>
      <c r="D8" s="88"/>
      <c r="E8" s="89">
        <f>M37</f>
        <v>8749946.1600000001</v>
      </c>
      <c r="F8" s="90"/>
      <c r="H8" s="28"/>
      <c r="M8" s="1"/>
      <c r="N8" s="1"/>
      <c r="O8"/>
      <c r="P8"/>
      <c r="Q8"/>
      <c r="R8"/>
    </row>
    <row r="9" spans="2:22" ht="34.799999999999997" x14ac:dyDescent="0.3">
      <c r="B9" s="87" t="s">
        <v>8</v>
      </c>
      <c r="C9" s="88"/>
      <c r="D9" s="88"/>
      <c r="E9" s="89">
        <f>(SUM(H24:H36)*2.4/1000)</f>
        <v>17599.2</v>
      </c>
      <c r="F9" s="90"/>
      <c r="H9" s="28"/>
      <c r="M9" s="1"/>
      <c r="N9" s="1"/>
      <c r="O9"/>
      <c r="P9"/>
      <c r="Q9"/>
      <c r="R9"/>
    </row>
    <row r="10" spans="2:22" ht="35.4" thickBot="1" x14ac:dyDescent="0.35">
      <c r="B10" s="91" t="s">
        <v>9</v>
      </c>
      <c r="C10" s="92"/>
      <c r="D10" s="92"/>
      <c r="E10" s="93">
        <f>N37</f>
        <v>392328.40640000004</v>
      </c>
      <c r="F10" s="94"/>
      <c r="M10" s="1"/>
      <c r="N10" s="1"/>
    </row>
    <row r="11" spans="2:22" x14ac:dyDescent="0.3">
      <c r="M11" s="1"/>
      <c r="N11" s="1"/>
    </row>
    <row r="12" spans="2:22" ht="33" customHeight="1" x14ac:dyDescent="0.3">
      <c r="B12" s="27"/>
      <c r="C12" s="27"/>
      <c r="D12" s="27"/>
      <c r="E12" s="27"/>
      <c r="F12" s="27"/>
      <c r="G12" s="27"/>
      <c r="H12" s="27"/>
      <c r="I12" s="27"/>
      <c r="J12" s="27"/>
      <c r="K12" s="27"/>
      <c r="L12"/>
      <c r="M12"/>
      <c r="N12"/>
      <c r="O12"/>
      <c r="P12"/>
      <c r="Q12"/>
      <c r="R12"/>
    </row>
    <row r="13" spans="2:22" ht="29.25" customHeight="1" thickBot="1" x14ac:dyDescent="0.35">
      <c r="B13" s="31" t="s">
        <v>97</v>
      </c>
      <c r="C13" s="27"/>
      <c r="D13" s="27"/>
      <c r="E13" s="27"/>
      <c r="F13" s="27"/>
      <c r="G13" s="109" t="s">
        <v>10</v>
      </c>
      <c r="H13" s="109"/>
      <c r="I13" s="109"/>
      <c r="J13" s="109" t="s">
        <v>11</v>
      </c>
      <c r="K13" s="109"/>
      <c r="L13" s="109" t="s">
        <v>12</v>
      </c>
      <c r="M13" s="109"/>
      <c r="N13" s="56"/>
      <c r="O13" s="95" t="s">
        <v>13</v>
      </c>
      <c r="P13" s="96"/>
      <c r="Q13" s="96"/>
      <c r="R13" s="96"/>
      <c r="S13" s="96"/>
      <c r="T13" s="96"/>
      <c r="U13" s="96"/>
      <c r="V13" s="96"/>
    </row>
    <row r="14" spans="2:22" s="2" customFormat="1" ht="81.599999999999994" customHeight="1" x14ac:dyDescent="0.3">
      <c r="B14" s="57" t="s">
        <v>14</v>
      </c>
      <c r="C14" s="57" t="s">
        <v>15</v>
      </c>
      <c r="D14" s="57" t="s">
        <v>16</v>
      </c>
      <c r="E14" s="57" t="s">
        <v>17</v>
      </c>
      <c r="F14" s="57" t="s">
        <v>18</v>
      </c>
      <c r="G14" s="57" t="s">
        <v>19</v>
      </c>
      <c r="H14" s="57" t="s">
        <v>20</v>
      </c>
      <c r="I14" s="57" t="s">
        <v>21</v>
      </c>
      <c r="J14" s="59" t="s">
        <v>22</v>
      </c>
      <c r="K14" s="59" t="s">
        <v>54</v>
      </c>
      <c r="L14" s="57" t="s">
        <v>23</v>
      </c>
      <c r="M14" s="58" t="s">
        <v>24</v>
      </c>
      <c r="N14" s="58" t="s">
        <v>53</v>
      </c>
      <c r="O14" s="57" t="s">
        <v>25</v>
      </c>
      <c r="P14" s="57" t="s">
        <v>26</v>
      </c>
      <c r="Q14" s="57" t="s">
        <v>99</v>
      </c>
      <c r="R14" s="57" t="s">
        <v>27</v>
      </c>
      <c r="S14" s="57" t="s">
        <v>28</v>
      </c>
      <c r="T14" s="57" t="s">
        <v>29</v>
      </c>
      <c r="U14" s="57" t="s">
        <v>107</v>
      </c>
      <c r="V14" s="57" t="s">
        <v>110</v>
      </c>
    </row>
    <row r="15" spans="2:22" ht="64.95" customHeight="1" x14ac:dyDescent="0.3">
      <c r="B15" s="34" t="s">
        <v>30</v>
      </c>
      <c r="C15" s="35" t="s">
        <v>55</v>
      </c>
      <c r="D15" s="36" t="s">
        <v>31</v>
      </c>
      <c r="E15" s="37" t="s">
        <v>32</v>
      </c>
      <c r="F15" s="34" t="s">
        <v>67</v>
      </c>
      <c r="G15" s="62">
        <v>13333333.333333334</v>
      </c>
      <c r="H15" s="38">
        <v>14909629</v>
      </c>
      <c r="I15" s="39">
        <f>H15/G15</f>
        <v>1.1182221749999999</v>
      </c>
      <c r="J15" s="40">
        <v>45</v>
      </c>
      <c r="K15" s="64">
        <f>M15/H15*1000</f>
        <v>41.97948654523865</v>
      </c>
      <c r="L15" s="41">
        <v>600000</v>
      </c>
      <c r="M15" s="41">
        <v>625898.56999999995</v>
      </c>
      <c r="N15" s="41">
        <f t="shared" ref="N15:N23" si="0">M15*0.08</f>
        <v>50071.885599999994</v>
      </c>
      <c r="O15" s="42">
        <v>10388407</v>
      </c>
      <c r="P15" s="38">
        <v>14909629</v>
      </c>
      <c r="Q15" s="60">
        <v>601006</v>
      </c>
      <c r="R15" s="43">
        <v>4859</v>
      </c>
      <c r="S15" s="44">
        <f t="shared" ref="S15:S16" si="1">R15/P15</f>
        <v>3.2589677449385224E-4</v>
      </c>
      <c r="T15" s="45">
        <v>0.04</v>
      </c>
      <c r="U15" s="45" t="s">
        <v>108</v>
      </c>
      <c r="V15" s="45" t="s">
        <v>108</v>
      </c>
    </row>
    <row r="16" spans="2:22" ht="64.95" customHeight="1" x14ac:dyDescent="0.3">
      <c r="B16" s="34" t="s">
        <v>30</v>
      </c>
      <c r="C16" s="35" t="s">
        <v>55</v>
      </c>
      <c r="D16" s="36" t="s">
        <v>31</v>
      </c>
      <c r="E16" s="37" t="s">
        <v>32</v>
      </c>
      <c r="F16" s="34" t="s">
        <v>68</v>
      </c>
      <c r="G16" s="62">
        <v>17142857.142857142</v>
      </c>
      <c r="H16" s="38">
        <v>14123501</v>
      </c>
      <c r="I16" s="39">
        <f t="shared" ref="I16" si="2">H16/G16</f>
        <v>0.82387089166666672</v>
      </c>
      <c r="J16" s="40">
        <v>70</v>
      </c>
      <c r="K16" s="69">
        <f>M16/H16*1000</f>
        <v>84.236283907226692</v>
      </c>
      <c r="L16" s="41">
        <v>1200000</v>
      </c>
      <c r="M16" s="41">
        <v>1189711.24</v>
      </c>
      <c r="N16" s="41">
        <f t="shared" si="0"/>
        <v>95176.8992</v>
      </c>
      <c r="O16" s="42">
        <v>7035505</v>
      </c>
      <c r="P16" s="38">
        <v>14123501</v>
      </c>
      <c r="Q16" s="60">
        <f>P16</f>
        <v>14123501</v>
      </c>
      <c r="R16" s="43">
        <v>3099</v>
      </c>
      <c r="S16" s="44">
        <f t="shared" si="1"/>
        <v>2.1942151595415329E-4</v>
      </c>
      <c r="T16" s="45">
        <v>1</v>
      </c>
      <c r="U16" s="45" t="s">
        <v>108</v>
      </c>
      <c r="V16" s="45" t="s">
        <v>108</v>
      </c>
    </row>
    <row r="17" spans="2:22" ht="64.95" customHeight="1" x14ac:dyDescent="0.3">
      <c r="B17" s="34" t="s">
        <v>30</v>
      </c>
      <c r="C17" s="35" t="s">
        <v>55</v>
      </c>
      <c r="D17" s="36" t="s">
        <v>31</v>
      </c>
      <c r="E17" s="37" t="s">
        <v>32</v>
      </c>
      <c r="F17" s="34" t="s">
        <v>69</v>
      </c>
      <c r="G17" s="62">
        <v>4705882.3529411769</v>
      </c>
      <c r="H17" s="38">
        <v>4352491</v>
      </c>
      <c r="I17" s="39">
        <f t="shared" ref="I17:I36" si="3">H17/G17</f>
        <v>0.9249043374999999</v>
      </c>
      <c r="J17" s="40">
        <v>85</v>
      </c>
      <c r="K17" s="69">
        <f>M17/H17*1000</f>
        <v>91.843833795405899</v>
      </c>
      <c r="L17" s="41">
        <v>400000</v>
      </c>
      <c r="M17" s="41">
        <v>399749.46</v>
      </c>
      <c r="N17" s="41">
        <f t="shared" si="0"/>
        <v>31979.956800000004</v>
      </c>
      <c r="O17" s="42">
        <v>3408710</v>
      </c>
      <c r="P17" s="38">
        <v>4352491</v>
      </c>
      <c r="Q17" s="60">
        <f t="shared" ref="Q17:Q18" si="4">P17</f>
        <v>4352491</v>
      </c>
      <c r="R17" s="43">
        <v>1</v>
      </c>
      <c r="S17" s="44">
        <f t="shared" ref="S17:S20" si="5">R17/P17</f>
        <v>2.2975349058734412E-7</v>
      </c>
      <c r="T17" s="45">
        <v>1</v>
      </c>
      <c r="U17" s="45" t="s">
        <v>108</v>
      </c>
      <c r="V17" s="45" t="s">
        <v>108</v>
      </c>
    </row>
    <row r="18" spans="2:22" ht="64.95" customHeight="1" x14ac:dyDescent="0.3">
      <c r="B18" s="34" t="s">
        <v>30</v>
      </c>
      <c r="C18" s="35" t="s">
        <v>55</v>
      </c>
      <c r="D18" s="36" t="s">
        <v>31</v>
      </c>
      <c r="E18" s="37" t="s">
        <v>32</v>
      </c>
      <c r="F18" s="34" t="s">
        <v>70</v>
      </c>
      <c r="G18" s="62">
        <v>1000000</v>
      </c>
      <c r="H18" s="38">
        <v>1407091</v>
      </c>
      <c r="I18" s="39">
        <f t="shared" ref="I18" si="6">H18/G18</f>
        <v>1.4070910000000001</v>
      </c>
      <c r="J18" s="40">
        <v>0.3</v>
      </c>
      <c r="K18" s="40">
        <f>M18/H18</f>
        <v>0.2131861834096018</v>
      </c>
      <c r="L18" s="41">
        <v>300000</v>
      </c>
      <c r="M18" s="41">
        <v>299972.36</v>
      </c>
      <c r="N18" s="41">
        <f t="shared" ref="N18" si="7">M18*0.08</f>
        <v>23997.788799999998</v>
      </c>
      <c r="O18" s="42">
        <v>2222998</v>
      </c>
      <c r="P18" s="38">
        <v>2438341</v>
      </c>
      <c r="Q18" s="60">
        <f t="shared" si="4"/>
        <v>2438341</v>
      </c>
      <c r="R18" s="43">
        <v>218</v>
      </c>
      <c r="S18" s="44">
        <f t="shared" ref="S18" si="8">R18/P18</f>
        <v>8.9405050401071881E-5</v>
      </c>
      <c r="T18" s="45" t="s">
        <v>100</v>
      </c>
      <c r="U18" s="45" t="s">
        <v>108</v>
      </c>
      <c r="V18" s="45" t="s">
        <v>108</v>
      </c>
    </row>
    <row r="19" spans="2:22" ht="64.95" customHeight="1" x14ac:dyDescent="0.3">
      <c r="B19" s="34" t="s">
        <v>30</v>
      </c>
      <c r="C19" s="35" t="s">
        <v>88</v>
      </c>
      <c r="D19" s="36" t="s">
        <v>31</v>
      </c>
      <c r="E19" s="37" t="s">
        <v>32</v>
      </c>
      <c r="F19" s="34" t="s">
        <v>70</v>
      </c>
      <c r="G19" s="62">
        <v>3750000</v>
      </c>
      <c r="H19" s="38">
        <v>3378286</v>
      </c>
      <c r="I19" s="39">
        <f t="shared" si="3"/>
        <v>0.90087626666666665</v>
      </c>
      <c r="J19" s="40">
        <v>80</v>
      </c>
      <c r="K19" s="69">
        <f>J19</f>
        <v>80</v>
      </c>
      <c r="L19" s="41">
        <v>300000</v>
      </c>
      <c r="M19" s="41">
        <f>J19*H19/1000</f>
        <v>270262.88</v>
      </c>
      <c r="N19" s="41">
        <v>0</v>
      </c>
      <c r="O19" s="42">
        <v>2478003</v>
      </c>
      <c r="P19" s="38">
        <f>H19</f>
        <v>3378286</v>
      </c>
      <c r="Q19" s="60">
        <f>P19</f>
        <v>3378286</v>
      </c>
      <c r="R19" s="43">
        <v>34</v>
      </c>
      <c r="S19" s="44">
        <f t="shared" si="5"/>
        <v>1.0064275197541002E-5</v>
      </c>
      <c r="T19" s="45">
        <v>0.9693214251250486</v>
      </c>
      <c r="U19" s="45" t="s">
        <v>108</v>
      </c>
      <c r="V19" s="45" t="s">
        <v>108</v>
      </c>
    </row>
    <row r="20" spans="2:22" ht="64.95" customHeight="1" x14ac:dyDescent="0.3">
      <c r="B20" s="34" t="s">
        <v>30</v>
      </c>
      <c r="C20" s="35" t="s">
        <v>58</v>
      </c>
      <c r="D20" s="36" t="s">
        <v>59</v>
      </c>
      <c r="E20" s="37" t="s">
        <v>32</v>
      </c>
      <c r="F20" s="34" t="s">
        <v>60</v>
      </c>
      <c r="G20" s="62">
        <v>25000000</v>
      </c>
      <c r="H20" s="38">
        <v>29123446</v>
      </c>
      <c r="I20" s="39">
        <f t="shared" si="3"/>
        <v>1.1649378399999999</v>
      </c>
      <c r="J20" s="40">
        <v>60</v>
      </c>
      <c r="K20" s="40">
        <f>M20/H20*1000</f>
        <v>44.589316799941876</v>
      </c>
      <c r="L20" s="41">
        <v>1500000</v>
      </c>
      <c r="M20" s="41">
        <v>1298594.56</v>
      </c>
      <c r="N20" s="41">
        <f t="shared" si="0"/>
        <v>103887.56480000001</v>
      </c>
      <c r="O20" s="42">
        <v>11054451</v>
      </c>
      <c r="P20" s="38">
        <v>29123446</v>
      </c>
      <c r="Q20" s="60">
        <v>2375618</v>
      </c>
      <c r="R20" s="43">
        <v>32670</v>
      </c>
      <c r="S20" s="44">
        <f t="shared" si="5"/>
        <v>1.121776591959619E-3</v>
      </c>
      <c r="T20" s="45" t="s">
        <v>105</v>
      </c>
      <c r="U20" s="45" t="s">
        <v>108</v>
      </c>
      <c r="V20" s="45" t="s">
        <v>108</v>
      </c>
    </row>
    <row r="21" spans="2:22" ht="64.95" customHeight="1" x14ac:dyDescent="0.3">
      <c r="B21" s="34" t="s">
        <v>30</v>
      </c>
      <c r="C21" s="35" t="s">
        <v>61</v>
      </c>
      <c r="D21" s="36" t="s">
        <v>61</v>
      </c>
      <c r="E21" s="37" t="s">
        <v>32</v>
      </c>
      <c r="F21" s="34" t="s">
        <v>111</v>
      </c>
      <c r="G21" s="62">
        <v>6765000</v>
      </c>
      <c r="H21" s="38">
        <v>6638089</v>
      </c>
      <c r="I21" s="39">
        <v>0.98124005912786405</v>
      </c>
      <c r="J21" s="79">
        <v>20</v>
      </c>
      <c r="K21" s="79">
        <v>13.588248063561666</v>
      </c>
      <c r="L21" s="80">
        <v>90200</v>
      </c>
      <c r="M21" s="80">
        <v>90200</v>
      </c>
      <c r="N21" s="80">
        <v>7216</v>
      </c>
      <c r="O21" s="42" t="s">
        <v>34</v>
      </c>
      <c r="P21" s="38">
        <v>6638089</v>
      </c>
      <c r="Q21" s="60">
        <v>401335</v>
      </c>
      <c r="R21" s="43">
        <v>5</v>
      </c>
      <c r="S21" s="44">
        <v>7.5322882835707692E-7</v>
      </c>
      <c r="T21" s="45">
        <v>0.1</v>
      </c>
      <c r="U21" s="45" t="s">
        <v>108</v>
      </c>
      <c r="V21" s="45" t="s">
        <v>108</v>
      </c>
    </row>
    <row r="22" spans="2:22" ht="64.8" customHeight="1" x14ac:dyDescent="0.3">
      <c r="B22" s="34" t="s">
        <v>30</v>
      </c>
      <c r="C22" s="35" t="s">
        <v>56</v>
      </c>
      <c r="D22" s="36" t="s">
        <v>57</v>
      </c>
      <c r="E22" s="37" t="s">
        <v>32</v>
      </c>
      <c r="F22" s="34" t="s">
        <v>33</v>
      </c>
      <c r="G22" s="62">
        <v>10769230.76923077</v>
      </c>
      <c r="H22" s="38">
        <v>14260979</v>
      </c>
      <c r="I22" s="39">
        <f t="shared" si="3"/>
        <v>1.3242337642857143</v>
      </c>
      <c r="J22" s="40">
        <v>65</v>
      </c>
      <c r="K22" s="40">
        <f>M22/H22*1000</f>
        <v>49.083508923195247</v>
      </c>
      <c r="L22" s="41">
        <v>700000</v>
      </c>
      <c r="M22" s="41">
        <v>699978.89</v>
      </c>
      <c r="N22" s="41">
        <f t="shared" si="0"/>
        <v>55998.311200000004</v>
      </c>
      <c r="O22" s="42">
        <v>4000385</v>
      </c>
      <c r="P22" s="38">
        <v>14267478</v>
      </c>
      <c r="Q22" s="60">
        <v>14260979</v>
      </c>
      <c r="R22" s="43">
        <v>29588</v>
      </c>
      <c r="S22" s="44">
        <v>2.0738072979681484E-3</v>
      </c>
      <c r="T22" s="45" t="s">
        <v>106</v>
      </c>
      <c r="U22" s="45" t="s">
        <v>108</v>
      </c>
      <c r="V22" s="45" t="s">
        <v>108</v>
      </c>
    </row>
    <row r="23" spans="2:22" ht="64.95" customHeight="1" x14ac:dyDescent="0.3">
      <c r="B23" s="34" t="s">
        <v>30</v>
      </c>
      <c r="C23" s="35" t="s">
        <v>89</v>
      </c>
      <c r="D23" s="36" t="s">
        <v>71</v>
      </c>
      <c r="E23" s="37" t="s">
        <v>32</v>
      </c>
      <c r="F23" s="34" t="s">
        <v>33</v>
      </c>
      <c r="G23" s="62">
        <v>4000000</v>
      </c>
      <c r="H23" s="38">
        <v>43117961</v>
      </c>
      <c r="I23" s="39">
        <f t="shared" si="3"/>
        <v>10.77949025</v>
      </c>
      <c r="J23" s="40">
        <v>75</v>
      </c>
      <c r="K23" s="40">
        <f>M23/H23*1000</f>
        <v>6.9576573901534911</v>
      </c>
      <c r="L23" s="41">
        <v>300000</v>
      </c>
      <c r="M23" s="41">
        <f>L23</f>
        <v>300000</v>
      </c>
      <c r="N23" s="41">
        <f t="shared" si="0"/>
        <v>24000</v>
      </c>
      <c r="O23" s="42">
        <v>15657523</v>
      </c>
      <c r="P23" s="38">
        <v>43117961</v>
      </c>
      <c r="Q23" s="60">
        <v>21591680</v>
      </c>
      <c r="R23" s="43">
        <v>90148</v>
      </c>
      <c r="S23" s="44">
        <f>R23/P23</f>
        <v>2.090729661358523E-3</v>
      </c>
      <c r="T23" s="45">
        <v>0.48</v>
      </c>
      <c r="U23" s="45" t="s">
        <v>108</v>
      </c>
      <c r="V23" s="45" t="s">
        <v>108</v>
      </c>
    </row>
    <row r="24" spans="2:22" ht="64.95" customHeight="1" x14ac:dyDescent="0.3">
      <c r="B24" s="34" t="s">
        <v>30</v>
      </c>
      <c r="C24" s="35" t="s">
        <v>90</v>
      </c>
      <c r="D24" s="36" t="s">
        <v>72</v>
      </c>
      <c r="E24" s="37" t="s">
        <v>65</v>
      </c>
      <c r="F24" s="34" t="s">
        <v>33</v>
      </c>
      <c r="G24" s="61">
        <v>166666.66666666666</v>
      </c>
      <c r="H24" s="60">
        <v>197976</v>
      </c>
      <c r="I24" s="39">
        <f t="shared" si="3"/>
        <v>1.187856</v>
      </c>
      <c r="J24" s="40">
        <v>1.8</v>
      </c>
      <c r="K24" s="40">
        <f>M24/H24</f>
        <v>1.5153351921445024</v>
      </c>
      <c r="L24" s="41">
        <v>300000</v>
      </c>
      <c r="M24" s="41">
        <f>L24</f>
        <v>300000</v>
      </c>
      <c r="N24" s="41">
        <v>0</v>
      </c>
      <c r="O24" s="42">
        <v>120883</v>
      </c>
      <c r="P24" s="38">
        <v>197976</v>
      </c>
      <c r="Q24" s="60">
        <v>197976</v>
      </c>
      <c r="R24" s="43">
        <v>195</v>
      </c>
      <c r="S24" s="44">
        <f t="shared" ref="S24:S36" si="9">R24/Q24</f>
        <v>9.8496787489392662E-4</v>
      </c>
      <c r="T24" s="45">
        <v>0.5</v>
      </c>
      <c r="U24" s="45" t="s">
        <v>108</v>
      </c>
      <c r="V24" s="45" t="s">
        <v>108</v>
      </c>
    </row>
    <row r="25" spans="2:22" ht="64.95" customHeight="1" x14ac:dyDescent="0.3">
      <c r="B25" s="34" t="s">
        <v>30</v>
      </c>
      <c r="C25" s="35" t="s">
        <v>73</v>
      </c>
      <c r="D25" s="36" t="s">
        <v>73</v>
      </c>
      <c r="E25" s="37" t="s">
        <v>65</v>
      </c>
      <c r="F25" s="34" t="s">
        <v>33</v>
      </c>
      <c r="G25" s="61">
        <v>166666.66666666666</v>
      </c>
      <c r="H25" s="60">
        <v>167395</v>
      </c>
      <c r="I25" s="39">
        <f t="shared" si="3"/>
        <v>1.00437</v>
      </c>
      <c r="J25" s="40">
        <v>1.8</v>
      </c>
      <c r="K25" s="40">
        <f>M25/H25</f>
        <v>1.7921682248573734</v>
      </c>
      <c r="L25" s="41">
        <v>300000</v>
      </c>
      <c r="M25" s="41">
        <f>L25</f>
        <v>300000</v>
      </c>
      <c r="N25" s="41">
        <v>0</v>
      </c>
      <c r="O25" s="42">
        <v>84023</v>
      </c>
      <c r="P25" s="38">
        <v>120736</v>
      </c>
      <c r="Q25" s="60">
        <v>120736</v>
      </c>
      <c r="R25" s="43" t="s">
        <v>101</v>
      </c>
      <c r="S25" s="44">
        <v>0</v>
      </c>
      <c r="T25" s="45">
        <v>1</v>
      </c>
      <c r="U25" s="45" t="s">
        <v>108</v>
      </c>
      <c r="V25" s="45" t="s">
        <v>108</v>
      </c>
    </row>
    <row r="26" spans="2:22" ht="64.95" customHeight="1" x14ac:dyDescent="0.3">
      <c r="B26" s="34" t="s">
        <v>30</v>
      </c>
      <c r="C26" s="35" t="s">
        <v>91</v>
      </c>
      <c r="D26" s="36" t="s">
        <v>74</v>
      </c>
      <c r="E26" s="37" t="s">
        <v>32</v>
      </c>
      <c r="F26" s="34" t="s">
        <v>33</v>
      </c>
      <c r="G26" s="61">
        <v>416666.66666666669</v>
      </c>
      <c r="H26" s="60">
        <v>420951</v>
      </c>
      <c r="I26" s="39">
        <f t="shared" si="3"/>
        <v>1.0102823999999999</v>
      </c>
      <c r="J26" s="40">
        <v>0.6</v>
      </c>
      <c r="K26" s="40">
        <f t="shared" ref="K26:K35" si="10">M26/H26</f>
        <v>0.59389335100759943</v>
      </c>
      <c r="L26" s="41">
        <v>250000</v>
      </c>
      <c r="M26" s="41">
        <f>L26</f>
        <v>250000</v>
      </c>
      <c r="N26" s="41">
        <v>0</v>
      </c>
      <c r="O26" s="42">
        <v>152443</v>
      </c>
      <c r="P26" s="38">
        <v>420951</v>
      </c>
      <c r="Q26" s="60">
        <v>420951</v>
      </c>
      <c r="R26" s="43">
        <v>3853</v>
      </c>
      <c r="S26" s="44">
        <f t="shared" si="9"/>
        <v>9.1530843257291231E-3</v>
      </c>
      <c r="T26" s="45">
        <v>0.86909999999999998</v>
      </c>
      <c r="U26" s="45" t="s">
        <v>108</v>
      </c>
      <c r="V26" s="45" t="s">
        <v>108</v>
      </c>
    </row>
    <row r="27" spans="2:22" ht="64.95" customHeight="1" x14ac:dyDescent="0.3">
      <c r="B27" s="34" t="s">
        <v>30</v>
      </c>
      <c r="C27" s="35" t="s">
        <v>92</v>
      </c>
      <c r="D27" s="36" t="s">
        <v>75</v>
      </c>
      <c r="E27" s="37" t="s">
        <v>32</v>
      </c>
      <c r="F27" s="34" t="s">
        <v>76</v>
      </c>
      <c r="G27" s="61">
        <v>514705.88235294115</v>
      </c>
      <c r="H27" s="60">
        <v>518998</v>
      </c>
      <c r="I27" s="39">
        <f t="shared" si="3"/>
        <v>1.0083389714285715</v>
      </c>
      <c r="J27" s="40">
        <v>0.68</v>
      </c>
      <c r="K27" s="40">
        <f t="shared" si="10"/>
        <v>0.67437639451404441</v>
      </c>
      <c r="L27" s="41">
        <v>350000</v>
      </c>
      <c r="M27" s="41">
        <f>L27</f>
        <v>350000</v>
      </c>
      <c r="N27" s="41">
        <v>0</v>
      </c>
      <c r="O27" s="42">
        <v>151992</v>
      </c>
      <c r="P27" s="38">
        <f>H27</f>
        <v>518998</v>
      </c>
      <c r="Q27" s="60">
        <v>518998</v>
      </c>
      <c r="R27" s="43">
        <v>1379</v>
      </c>
      <c r="S27" s="44">
        <f t="shared" si="9"/>
        <v>2.657042994385335E-3</v>
      </c>
      <c r="T27" s="45">
        <v>0.83960000000000001</v>
      </c>
      <c r="U27" s="45" t="s">
        <v>108</v>
      </c>
      <c r="V27" s="45" t="s">
        <v>108</v>
      </c>
    </row>
    <row r="28" spans="2:22" ht="64.95" customHeight="1" x14ac:dyDescent="0.3">
      <c r="B28" s="34" t="s">
        <v>30</v>
      </c>
      <c r="C28" s="35" t="s">
        <v>62</v>
      </c>
      <c r="D28" s="36" t="s">
        <v>77</v>
      </c>
      <c r="E28" s="37" t="s">
        <v>32</v>
      </c>
      <c r="F28" s="34" t="s">
        <v>78</v>
      </c>
      <c r="G28" s="61">
        <v>1020408.1632653062</v>
      </c>
      <c r="H28" s="60">
        <v>1021541</v>
      </c>
      <c r="I28" s="39">
        <f t="shared" si="3"/>
        <v>1.00111018</v>
      </c>
      <c r="J28" s="40">
        <v>0.49</v>
      </c>
      <c r="K28" s="40">
        <f t="shared" si="10"/>
        <v>0.48945661505509813</v>
      </c>
      <c r="L28" s="41">
        <v>500000</v>
      </c>
      <c r="M28" s="41">
        <f t="shared" ref="M28:M33" si="11">L28</f>
        <v>500000</v>
      </c>
      <c r="N28" s="41">
        <v>0</v>
      </c>
      <c r="O28" s="42">
        <v>408767</v>
      </c>
      <c r="P28" s="38">
        <v>1021541</v>
      </c>
      <c r="Q28" s="60">
        <v>1021541</v>
      </c>
      <c r="R28" s="43">
        <v>47470</v>
      </c>
      <c r="S28" s="44">
        <f t="shared" si="9"/>
        <v>4.6469011033331016E-2</v>
      </c>
      <c r="T28" s="45">
        <v>0.75509999999999999</v>
      </c>
      <c r="U28" s="45" t="s">
        <v>108</v>
      </c>
      <c r="V28" s="45" t="s">
        <v>108</v>
      </c>
    </row>
    <row r="29" spans="2:22" ht="64.95" customHeight="1" x14ac:dyDescent="0.3">
      <c r="B29" s="34" t="s">
        <v>30</v>
      </c>
      <c r="C29" s="35" t="s">
        <v>63</v>
      </c>
      <c r="D29" s="36" t="s">
        <v>64</v>
      </c>
      <c r="E29" s="37" t="s">
        <v>79</v>
      </c>
      <c r="F29" s="34" t="s">
        <v>69</v>
      </c>
      <c r="G29" s="61">
        <v>1428571.4285714286</v>
      </c>
      <c r="H29" s="60">
        <v>1441072</v>
      </c>
      <c r="I29" s="39">
        <f t="shared" si="3"/>
        <v>1.0087504</v>
      </c>
      <c r="J29" s="40">
        <v>0.35</v>
      </c>
      <c r="K29" s="40">
        <f t="shared" si="10"/>
        <v>0.34696392685445282</v>
      </c>
      <c r="L29" s="41">
        <v>500000</v>
      </c>
      <c r="M29" s="41">
        <f t="shared" si="11"/>
        <v>500000</v>
      </c>
      <c r="N29" s="41">
        <v>0</v>
      </c>
      <c r="O29" s="42">
        <v>431630</v>
      </c>
      <c r="P29" s="38">
        <v>1441072</v>
      </c>
      <c r="Q29" s="60">
        <v>1441072</v>
      </c>
      <c r="R29" s="43">
        <v>13297</v>
      </c>
      <c r="S29" s="44">
        <f t="shared" si="9"/>
        <v>9.2271586707673176E-3</v>
      </c>
      <c r="T29" s="45">
        <v>0.75</v>
      </c>
      <c r="U29" s="45" t="s">
        <v>108</v>
      </c>
      <c r="V29" s="45" t="s">
        <v>108</v>
      </c>
    </row>
    <row r="30" spans="2:22" ht="64.95" customHeight="1" x14ac:dyDescent="0.3">
      <c r="B30" s="34" t="s">
        <v>30</v>
      </c>
      <c r="C30" s="35" t="s">
        <v>63</v>
      </c>
      <c r="D30" s="36" t="s">
        <v>66</v>
      </c>
      <c r="E30" s="37" t="s">
        <v>80</v>
      </c>
      <c r="F30" s="34" t="s">
        <v>81</v>
      </c>
      <c r="G30" s="61">
        <v>1060606.0606060605</v>
      </c>
      <c r="H30" s="60">
        <v>1130629</v>
      </c>
      <c r="I30" s="39">
        <f t="shared" si="3"/>
        <v>1.0660216285714286</v>
      </c>
      <c r="J30" s="40">
        <v>0.33</v>
      </c>
      <c r="K30" s="40">
        <f t="shared" si="10"/>
        <v>0.30956219944827174</v>
      </c>
      <c r="L30" s="41">
        <v>350000</v>
      </c>
      <c r="M30" s="41">
        <f t="shared" si="11"/>
        <v>350000</v>
      </c>
      <c r="N30" s="41">
        <v>0</v>
      </c>
      <c r="O30" s="42">
        <v>12413</v>
      </c>
      <c r="P30" s="38">
        <v>1130629</v>
      </c>
      <c r="Q30" s="60">
        <v>1130629</v>
      </c>
      <c r="R30" s="43">
        <v>34442</v>
      </c>
      <c r="S30" s="44">
        <f t="shared" si="9"/>
        <v>3.0462689352563927E-2</v>
      </c>
      <c r="T30" s="45">
        <v>0.95879999999999999</v>
      </c>
      <c r="U30" s="45" t="s">
        <v>108</v>
      </c>
      <c r="V30" s="45" t="s">
        <v>108</v>
      </c>
    </row>
    <row r="31" spans="2:22" ht="64.95" customHeight="1" x14ac:dyDescent="0.3">
      <c r="B31" s="34" t="s">
        <v>30</v>
      </c>
      <c r="C31" s="35" t="s">
        <v>102</v>
      </c>
      <c r="D31" s="36" t="s">
        <v>103</v>
      </c>
      <c r="E31" s="37" t="s">
        <v>32</v>
      </c>
      <c r="F31" s="34" t="s">
        <v>104</v>
      </c>
      <c r="G31" s="70">
        <v>15000</v>
      </c>
      <c r="H31" s="71">
        <v>9841</v>
      </c>
      <c r="I31" s="39">
        <f>H31/G31</f>
        <v>0.65606666666666669</v>
      </c>
      <c r="J31" s="40">
        <v>5</v>
      </c>
      <c r="K31" s="40">
        <f t="shared" si="10"/>
        <v>5</v>
      </c>
      <c r="L31" s="41">
        <v>75000</v>
      </c>
      <c r="M31" s="41">
        <f>J31*H31</f>
        <v>49205</v>
      </c>
      <c r="N31" s="41">
        <v>0</v>
      </c>
      <c r="O31" s="42" t="s">
        <v>101</v>
      </c>
      <c r="P31" s="38">
        <v>117673</v>
      </c>
      <c r="Q31" s="60">
        <v>117673</v>
      </c>
      <c r="R31" s="43">
        <v>9841</v>
      </c>
      <c r="S31" s="44">
        <f>R31/Q31</f>
        <v>8.363005957186441E-2</v>
      </c>
      <c r="T31" s="45" t="s">
        <v>101</v>
      </c>
      <c r="U31" s="45" t="s">
        <v>109</v>
      </c>
      <c r="V31" s="75">
        <v>5875</v>
      </c>
    </row>
    <row r="32" spans="2:22" ht="64.95" customHeight="1" x14ac:dyDescent="0.3">
      <c r="B32" s="34" t="s">
        <v>30</v>
      </c>
      <c r="C32" s="35" t="s">
        <v>93</v>
      </c>
      <c r="D32" s="36" t="s">
        <v>82</v>
      </c>
      <c r="E32" s="37" t="s">
        <v>32</v>
      </c>
      <c r="F32" s="34" t="s">
        <v>33</v>
      </c>
      <c r="G32" s="61">
        <v>444444.44444444444</v>
      </c>
      <c r="H32" s="60">
        <v>447495</v>
      </c>
      <c r="I32" s="39">
        <f t="shared" si="3"/>
        <v>1.0068637499999999</v>
      </c>
      <c r="J32" s="40">
        <v>0.45</v>
      </c>
      <c r="K32" s="40">
        <f t="shared" si="10"/>
        <v>0.44693236795941854</v>
      </c>
      <c r="L32" s="41">
        <v>200000</v>
      </c>
      <c r="M32" s="41">
        <f t="shared" si="11"/>
        <v>200000</v>
      </c>
      <c r="N32" s="41">
        <v>0</v>
      </c>
      <c r="O32" s="42">
        <v>31660</v>
      </c>
      <c r="P32" s="38">
        <v>447495</v>
      </c>
      <c r="Q32" s="60">
        <v>447495</v>
      </c>
      <c r="R32" s="43">
        <v>42</v>
      </c>
      <c r="S32" s="44">
        <f t="shared" si="9"/>
        <v>9.3855797271477897E-5</v>
      </c>
      <c r="T32" s="45">
        <v>0.872</v>
      </c>
      <c r="U32" s="45" t="s">
        <v>108</v>
      </c>
      <c r="V32" s="45" t="s">
        <v>108</v>
      </c>
    </row>
    <row r="33" spans="2:22" ht="64.95" customHeight="1" x14ac:dyDescent="0.3">
      <c r="B33" s="34" t="s">
        <v>30</v>
      </c>
      <c r="C33" s="35" t="s">
        <v>94</v>
      </c>
      <c r="D33" s="36" t="s">
        <v>82</v>
      </c>
      <c r="E33" s="37" t="s">
        <v>32</v>
      </c>
      <c r="F33" s="34" t="s">
        <v>83</v>
      </c>
      <c r="G33" s="61">
        <v>520833.33333333337</v>
      </c>
      <c r="H33" s="60">
        <v>601182</v>
      </c>
      <c r="I33" s="39">
        <f t="shared" si="3"/>
        <v>1.15426944</v>
      </c>
      <c r="J33" s="40">
        <v>0.48</v>
      </c>
      <c r="K33" s="40">
        <f t="shared" si="10"/>
        <v>0.41584744719569117</v>
      </c>
      <c r="L33" s="41">
        <v>250000</v>
      </c>
      <c r="M33" s="41">
        <f t="shared" si="11"/>
        <v>250000</v>
      </c>
      <c r="N33" s="41">
        <v>0</v>
      </c>
      <c r="O33" s="42">
        <v>120701</v>
      </c>
      <c r="P33" s="38">
        <v>601182</v>
      </c>
      <c r="Q33" s="60">
        <v>601182</v>
      </c>
      <c r="R33" s="43">
        <v>325</v>
      </c>
      <c r="S33" s="44">
        <f t="shared" si="9"/>
        <v>5.406016813543985E-4</v>
      </c>
      <c r="T33" s="45">
        <v>0.82930000000000004</v>
      </c>
      <c r="U33" s="45" t="s">
        <v>108</v>
      </c>
      <c r="V33" s="45" t="s">
        <v>108</v>
      </c>
    </row>
    <row r="34" spans="2:22" ht="64.95" customHeight="1" x14ac:dyDescent="0.3">
      <c r="B34" s="34" t="s">
        <v>30</v>
      </c>
      <c r="C34" s="35" t="s">
        <v>95</v>
      </c>
      <c r="D34" s="36" t="s">
        <v>82</v>
      </c>
      <c r="E34" s="37" t="s">
        <v>32</v>
      </c>
      <c r="F34" s="34" t="s">
        <v>33</v>
      </c>
      <c r="G34" s="61">
        <v>307692.30769230769</v>
      </c>
      <c r="H34" s="60">
        <v>330788</v>
      </c>
      <c r="I34" s="39">
        <f t="shared" si="3"/>
        <v>1.075061</v>
      </c>
      <c r="J34" s="40">
        <v>0.65</v>
      </c>
      <c r="K34" s="40">
        <f t="shared" si="10"/>
        <v>0.60461685429943046</v>
      </c>
      <c r="L34" s="41">
        <v>200000</v>
      </c>
      <c r="M34" s="41">
        <f t="shared" ref="M34:M35" si="12">L34</f>
        <v>200000</v>
      </c>
      <c r="N34" s="41">
        <v>0</v>
      </c>
      <c r="O34" s="42">
        <v>67342</v>
      </c>
      <c r="P34" s="38">
        <v>330788</v>
      </c>
      <c r="Q34" s="60">
        <v>330788</v>
      </c>
      <c r="R34" s="43">
        <v>308</v>
      </c>
      <c r="S34" s="44">
        <f t="shared" si="9"/>
        <v>9.3110995562112287E-4</v>
      </c>
      <c r="T34" s="45">
        <v>0.88829999999999998</v>
      </c>
      <c r="U34" s="45" t="s">
        <v>108</v>
      </c>
      <c r="V34" s="45" t="s">
        <v>108</v>
      </c>
    </row>
    <row r="35" spans="2:22" ht="64.95" customHeight="1" x14ac:dyDescent="0.3">
      <c r="B35" s="34" t="s">
        <v>30</v>
      </c>
      <c r="C35" s="35" t="s">
        <v>96</v>
      </c>
      <c r="D35" s="36" t="s">
        <v>84</v>
      </c>
      <c r="E35" s="37" t="s">
        <v>32</v>
      </c>
      <c r="F35" s="34" t="s">
        <v>85</v>
      </c>
      <c r="G35" s="61">
        <v>606060.60606060608</v>
      </c>
      <c r="H35" s="60">
        <v>623888</v>
      </c>
      <c r="I35" s="39">
        <f t="shared" si="3"/>
        <v>1.0294151999999999</v>
      </c>
      <c r="J35" s="40">
        <v>0.33</v>
      </c>
      <c r="K35" s="40">
        <f t="shared" si="10"/>
        <v>0.32057035878234558</v>
      </c>
      <c r="L35" s="41">
        <v>200000</v>
      </c>
      <c r="M35" s="41">
        <f t="shared" si="12"/>
        <v>200000</v>
      </c>
      <c r="N35" s="41">
        <v>0</v>
      </c>
      <c r="O35" s="42">
        <v>248398</v>
      </c>
      <c r="P35" s="38">
        <v>623888</v>
      </c>
      <c r="Q35" s="60">
        <v>623888</v>
      </c>
      <c r="R35" s="43" t="s">
        <v>101</v>
      </c>
      <c r="S35" s="43">
        <v>0</v>
      </c>
      <c r="T35" s="43" t="s">
        <v>101</v>
      </c>
      <c r="U35" s="45" t="s">
        <v>108</v>
      </c>
      <c r="V35" s="43" t="s">
        <v>108</v>
      </c>
    </row>
    <row r="36" spans="2:22" ht="64.95" customHeight="1" x14ac:dyDescent="0.3">
      <c r="B36" s="34" t="s">
        <v>30</v>
      </c>
      <c r="C36" s="35" t="s">
        <v>86</v>
      </c>
      <c r="D36" s="36" t="s">
        <v>86</v>
      </c>
      <c r="E36" s="37" t="s">
        <v>32</v>
      </c>
      <c r="F36" s="34" t="s">
        <v>87</v>
      </c>
      <c r="G36" s="62">
        <v>500000</v>
      </c>
      <c r="H36" s="38">
        <v>421244</v>
      </c>
      <c r="I36" s="39">
        <f t="shared" si="3"/>
        <v>0.84248800000000001</v>
      </c>
      <c r="J36" s="40">
        <v>300</v>
      </c>
      <c r="K36" s="40">
        <f>M36/H36*1000</f>
        <v>300</v>
      </c>
      <c r="L36" s="41">
        <v>150000</v>
      </c>
      <c r="M36" s="41">
        <f>J36*H36/1000</f>
        <v>126373.2</v>
      </c>
      <c r="N36" s="41">
        <v>0</v>
      </c>
      <c r="O36" s="42">
        <v>380329</v>
      </c>
      <c r="P36" s="38">
        <v>421244</v>
      </c>
      <c r="Q36" s="60">
        <v>421244</v>
      </c>
      <c r="R36" s="43">
        <v>4631</v>
      </c>
      <c r="S36" s="44">
        <f t="shared" si="9"/>
        <v>1.0993628395894066E-2</v>
      </c>
      <c r="T36" s="45" t="s">
        <v>101</v>
      </c>
      <c r="U36" s="45" t="s">
        <v>108</v>
      </c>
      <c r="V36" s="45" t="s">
        <v>108</v>
      </c>
    </row>
    <row r="37" spans="2:22" ht="37.799999999999997" x14ac:dyDescent="0.3">
      <c r="B37" s="46"/>
      <c r="C37" s="46"/>
      <c r="D37" s="46"/>
      <c r="E37" s="46"/>
      <c r="F37" s="46"/>
      <c r="G37" s="76">
        <f>SUM(G15:G23)+G36</f>
        <v>86966303.598362431</v>
      </c>
      <c r="H37" s="67"/>
      <c r="I37" s="47"/>
      <c r="J37" s="48"/>
      <c r="K37" s="47"/>
      <c r="L37" s="49">
        <f>SUM(L15:L36)</f>
        <v>9015200</v>
      </c>
      <c r="M37" s="49">
        <f>SUM(M15:M36)</f>
        <v>8749946.1600000001</v>
      </c>
      <c r="N37" s="49">
        <f>SUM(N15:N36)</f>
        <v>392328.40640000004</v>
      </c>
      <c r="O37" s="50"/>
      <c r="P37" s="48">
        <f>SUM(P15:P36)</f>
        <v>139743395</v>
      </c>
      <c r="Q37" s="47">
        <f>SUM(Q15:Q36)</f>
        <v>70917410</v>
      </c>
      <c r="R37" s="51">
        <f>SUM(R15:R36)</f>
        <v>276405</v>
      </c>
      <c r="S37" s="52"/>
      <c r="T37" s="53"/>
      <c r="U37" s="53"/>
      <c r="V37" s="53"/>
    </row>
    <row r="38" spans="2:22" ht="37.799999999999997" x14ac:dyDescent="0.3">
      <c r="B38" s="46"/>
      <c r="C38" s="46"/>
      <c r="D38" s="46"/>
      <c r="E38" s="46"/>
      <c r="F38" s="46"/>
      <c r="G38" s="77">
        <f>SUM(G24:G35)</f>
        <v>6668322.2263264284</v>
      </c>
      <c r="H38" s="68"/>
      <c r="I38" s="54"/>
      <c r="J38" s="73"/>
      <c r="K38" s="55"/>
      <c r="L38" s="55"/>
      <c r="M38" s="46"/>
      <c r="N38" s="46"/>
      <c r="O38" s="46"/>
      <c r="P38" s="48"/>
      <c r="Q38" s="48"/>
      <c r="R38" s="46"/>
      <c r="S38" s="55"/>
      <c r="T38" s="55"/>
      <c r="U38" s="55"/>
      <c r="V38" s="55"/>
    </row>
    <row r="39" spans="2:22" ht="37.799999999999997" x14ac:dyDescent="0.5">
      <c r="B39" s="27"/>
      <c r="C39" s="27"/>
      <c r="D39" s="27"/>
      <c r="E39" s="27"/>
      <c r="F39" s="27"/>
      <c r="G39" s="78">
        <f>G31</f>
        <v>15000</v>
      </c>
      <c r="H39" s="63"/>
      <c r="I39" s="32"/>
      <c r="J39" s="32"/>
      <c r="K39" s="32"/>
      <c r="L39" s="32"/>
      <c r="M39" s="112"/>
      <c r="N39" s="27"/>
      <c r="O39" s="27"/>
      <c r="P39" s="27"/>
      <c r="Q39" s="27"/>
      <c r="R39" s="27"/>
      <c r="S39" s="32"/>
      <c r="T39" s="32"/>
      <c r="U39" s="32"/>
      <c r="V39" s="32"/>
    </row>
    <row r="40" spans="2:22" ht="24" x14ac:dyDescent="0.3">
      <c r="G40" s="33"/>
      <c r="H40" s="33"/>
      <c r="M40" s="74"/>
    </row>
    <row r="41" spans="2:22" x14ac:dyDescent="0.3">
      <c r="G41" s="72">
        <f>SUM(H24:H36)</f>
        <v>7333000</v>
      </c>
    </row>
    <row r="42" spans="2:22" x14ac:dyDescent="0.3"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</row>
    <row r="43" spans="2:22" ht="32.4" x14ac:dyDescent="0.3">
      <c r="G43" s="65"/>
      <c r="H43" s="66"/>
      <c r="M43" s="74"/>
    </row>
  </sheetData>
  <mergeCells count="22">
    <mergeCell ref="O13:V13"/>
    <mergeCell ref="B2:D2"/>
    <mergeCell ref="E2:F2"/>
    <mergeCell ref="B3:D3"/>
    <mergeCell ref="E3:F3"/>
    <mergeCell ref="B4:D4"/>
    <mergeCell ref="E4:F4"/>
    <mergeCell ref="B5:D5"/>
    <mergeCell ref="E5:F5"/>
    <mergeCell ref="G13:I13"/>
    <mergeCell ref="L13:M13"/>
    <mergeCell ref="J13:K13"/>
    <mergeCell ref="B6:D6"/>
    <mergeCell ref="E6:F6"/>
    <mergeCell ref="B7:D7"/>
    <mergeCell ref="E7:F7"/>
    <mergeCell ref="B8:D8"/>
    <mergeCell ref="E8:F8"/>
    <mergeCell ref="B10:D10"/>
    <mergeCell ref="E10:F10"/>
    <mergeCell ref="B9:D9"/>
    <mergeCell ref="E9:F9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9AF1-AB4A-4CDC-A157-2D2D26971E7D}">
  <dimension ref="B5:E13"/>
  <sheetViews>
    <sheetView showGridLines="0" workbookViewId="0">
      <selection activeCell="E80" sqref="E80"/>
    </sheetView>
  </sheetViews>
  <sheetFormatPr defaultRowHeight="14.4" x14ac:dyDescent="0.3"/>
  <cols>
    <col min="2" max="2" width="19.6640625" customWidth="1"/>
    <col min="3" max="3" width="20" customWidth="1"/>
    <col min="4" max="5" width="39.6640625" customWidth="1"/>
  </cols>
  <sheetData>
    <row r="5" spans="2:5" ht="15" thickBot="1" x14ac:dyDescent="0.35"/>
    <row r="6" spans="2:5" ht="32.4" customHeight="1" thickBot="1" x14ac:dyDescent="0.35">
      <c r="B6" s="81" t="s">
        <v>15</v>
      </c>
      <c r="C6" s="82" t="s">
        <v>112</v>
      </c>
      <c r="D6" s="82" t="s">
        <v>115</v>
      </c>
      <c r="E6" s="82" t="s">
        <v>116</v>
      </c>
    </row>
    <row r="7" spans="2:5" ht="21" thickBot="1" x14ac:dyDescent="0.35">
      <c r="B7" s="83" t="s">
        <v>55</v>
      </c>
      <c r="C7" s="86">
        <v>2515331.63</v>
      </c>
      <c r="D7" s="84">
        <v>34792712</v>
      </c>
      <c r="E7" s="84">
        <v>21515339</v>
      </c>
    </row>
    <row r="8" spans="2:5" ht="21" thickBot="1" x14ac:dyDescent="0.35">
      <c r="B8" s="83" t="s">
        <v>58</v>
      </c>
      <c r="C8" s="86">
        <v>1298594.56</v>
      </c>
      <c r="D8" s="84">
        <v>29123446</v>
      </c>
      <c r="E8" s="85">
        <v>2375618</v>
      </c>
    </row>
    <row r="9" spans="2:5" ht="21" thickBot="1" x14ac:dyDescent="0.35">
      <c r="B9" s="83" t="s">
        <v>117</v>
      </c>
      <c r="C9" s="86">
        <v>90200</v>
      </c>
      <c r="D9" s="84">
        <v>6638089</v>
      </c>
      <c r="E9" s="85">
        <v>401335</v>
      </c>
    </row>
    <row r="10" spans="2:5" ht="21" thickBot="1" x14ac:dyDescent="0.35">
      <c r="B10" s="83" t="s">
        <v>57</v>
      </c>
      <c r="C10" s="86">
        <v>699978.89</v>
      </c>
      <c r="D10" s="84">
        <v>14260979</v>
      </c>
      <c r="E10" s="85">
        <v>14260979</v>
      </c>
    </row>
    <row r="11" spans="2:5" ht="21" thickBot="1" x14ac:dyDescent="0.35">
      <c r="B11" s="83" t="s">
        <v>71</v>
      </c>
      <c r="C11" s="86">
        <v>300000</v>
      </c>
      <c r="D11" s="84">
        <v>43117961</v>
      </c>
      <c r="E11" s="85">
        <v>21591680</v>
      </c>
    </row>
    <row r="12" spans="2:5" ht="21" thickBot="1" x14ac:dyDescent="0.35">
      <c r="B12" s="83" t="s">
        <v>113</v>
      </c>
      <c r="C12" s="86">
        <v>3845841.08</v>
      </c>
      <c r="D12" s="84">
        <v>10711286</v>
      </c>
      <c r="E12" s="85">
        <v>10711286</v>
      </c>
    </row>
    <row r="13" spans="2:5" ht="21" thickBot="1" x14ac:dyDescent="0.35">
      <c r="B13" s="83" t="s">
        <v>114</v>
      </c>
      <c r="C13" s="86">
        <f>SUM(C7:C12)</f>
        <v>8749946.1600000001</v>
      </c>
      <c r="D13" s="84">
        <f>SUM(D7:D12)</f>
        <v>138644473</v>
      </c>
      <c r="E13" s="85">
        <f>SUM(E7:E12)</f>
        <v>70856237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8"/>
  <sheetViews>
    <sheetView showGridLines="0" workbookViewId="0">
      <selection activeCell="G12" sqref="G12"/>
    </sheetView>
  </sheetViews>
  <sheetFormatPr defaultColWidth="10.88671875" defaultRowHeight="28.8" x14ac:dyDescent="0.55000000000000004"/>
  <cols>
    <col min="1" max="2" width="10.88671875" style="3"/>
    <col min="3" max="3" width="31.44140625" style="3" bestFit="1" customWidth="1"/>
    <col min="4" max="4" width="27.44140625" style="4" customWidth="1"/>
    <col min="5" max="5" width="27.44140625" style="5" customWidth="1"/>
    <col min="6" max="8" width="12.33203125" style="3" bestFit="1" customWidth="1"/>
    <col min="9" max="16384" width="10.88671875" style="3"/>
  </cols>
  <sheetData>
    <row r="2" spans="3:8" x14ac:dyDescent="0.55000000000000004">
      <c r="C2" s="7" t="s">
        <v>35</v>
      </c>
      <c r="D2" s="8" t="s">
        <v>36</v>
      </c>
      <c r="E2" s="9" t="s">
        <v>37</v>
      </c>
      <c r="F2" s="7" t="s">
        <v>38</v>
      </c>
      <c r="G2" s="7" t="s">
        <v>39</v>
      </c>
    </row>
    <row r="3" spans="3:8" x14ac:dyDescent="0.55000000000000004">
      <c r="C3" s="3" t="s">
        <v>40</v>
      </c>
      <c r="D3" s="6">
        <v>87000</v>
      </c>
    </row>
    <row r="4" spans="3:8" x14ac:dyDescent="0.55000000000000004">
      <c r="C4" s="3" t="s">
        <v>41</v>
      </c>
      <c r="D4" s="6">
        <v>15000</v>
      </c>
      <c r="E4" s="10">
        <f>D4/D3</f>
        <v>0.17241379310344829</v>
      </c>
      <c r="F4" s="5">
        <v>0.12379999999999999</v>
      </c>
      <c r="G4" s="5">
        <v>0.152</v>
      </c>
    </row>
    <row r="5" spans="3:8" x14ac:dyDescent="0.55000000000000004">
      <c r="C5" s="3" t="s">
        <v>42</v>
      </c>
      <c r="D5" s="4">
        <v>300</v>
      </c>
      <c r="E5" s="10">
        <f>D5/D4</f>
        <v>0.02</v>
      </c>
      <c r="F5" s="5">
        <v>1.41E-2</v>
      </c>
      <c r="G5" s="5">
        <v>1.5800000000000002E-2</v>
      </c>
    </row>
    <row r="6" spans="3:8" x14ac:dyDescent="0.55000000000000004">
      <c r="C6" s="3" t="s">
        <v>43</v>
      </c>
      <c r="D6" s="4">
        <v>120</v>
      </c>
      <c r="E6" s="10">
        <f>D6/D5</f>
        <v>0.4</v>
      </c>
      <c r="F6" s="5"/>
      <c r="G6" s="5"/>
    </row>
    <row r="7" spans="3:8" x14ac:dyDescent="0.55000000000000004">
      <c r="C7" s="3" t="s">
        <v>44</v>
      </c>
      <c r="D7" s="4">
        <v>72</v>
      </c>
      <c r="E7" s="10">
        <f>D7/D6</f>
        <v>0.6</v>
      </c>
      <c r="F7" s="5">
        <v>0.17760000000000001</v>
      </c>
      <c r="G7" s="5">
        <v>0.1565</v>
      </c>
      <c r="H7" s="10">
        <f>D7/D5</f>
        <v>0.24</v>
      </c>
    </row>
    <row r="8" spans="3:8" x14ac:dyDescent="0.55000000000000004">
      <c r="C8" s="3" t="s">
        <v>45</v>
      </c>
      <c r="D8" s="4">
        <v>15</v>
      </c>
      <c r="E8" s="10">
        <f>D8/D7</f>
        <v>0.20833333333333334</v>
      </c>
      <c r="F8" s="5">
        <v>0.1714</v>
      </c>
      <c r="G8" s="5">
        <v>6.4500000000000002E-2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R13"/>
  <sheetViews>
    <sheetView showGridLines="0" topLeftCell="K1" zoomScale="123" workbookViewId="0">
      <selection activeCell="K4" sqref="K4"/>
    </sheetView>
  </sheetViews>
  <sheetFormatPr defaultColWidth="8.88671875" defaultRowHeight="14.4" x14ac:dyDescent="0.3"/>
  <cols>
    <col min="1" max="1" width="0" hidden="1" customWidth="1"/>
    <col min="2" max="2" width="18.44140625" hidden="1" customWidth="1"/>
    <col min="3" max="3" width="6.44140625" hidden="1" customWidth="1"/>
    <col min="4" max="4" width="7.109375" hidden="1" customWidth="1"/>
    <col min="5" max="5" width="13.109375" hidden="1" customWidth="1"/>
    <col min="6" max="6" width="0" hidden="1" customWidth="1"/>
    <col min="7" max="7" width="18.44140625" hidden="1" customWidth="1"/>
    <col min="8" max="8" width="7.44140625" hidden="1" customWidth="1"/>
    <col min="9" max="9" width="7.109375" hidden="1" customWidth="1"/>
    <col min="10" max="10" width="13.109375" hidden="1" customWidth="1"/>
    <col min="11" max="11" width="18.88671875" bestFit="1" customWidth="1"/>
    <col min="14" max="14" width="13.109375" bestFit="1" customWidth="1"/>
  </cols>
  <sheetData>
    <row r="2" spans="11:18" x14ac:dyDescent="0.3">
      <c r="K2" s="15" t="s">
        <v>39</v>
      </c>
      <c r="L2" s="15" t="s">
        <v>46</v>
      </c>
      <c r="M2" s="16" t="s">
        <v>47</v>
      </c>
      <c r="N2" s="15" t="s">
        <v>48</v>
      </c>
    </row>
    <row r="3" spans="11:18" hidden="1" x14ac:dyDescent="0.3">
      <c r="K3" s="12" t="s">
        <v>40</v>
      </c>
      <c r="L3" s="11">
        <f>N9/N3</f>
        <v>96502.057613168712</v>
      </c>
      <c r="M3" s="13" t="s">
        <v>34</v>
      </c>
      <c r="N3" s="17">
        <v>4.8600000000000003</v>
      </c>
    </row>
    <row r="4" spans="11:18" x14ac:dyDescent="0.3">
      <c r="K4" s="24" t="s">
        <v>49</v>
      </c>
      <c r="L4" s="14">
        <f>N9/N4</f>
        <v>46900</v>
      </c>
      <c r="M4" s="26">
        <v>0.3</v>
      </c>
      <c r="N4" s="19">
        <v>10</v>
      </c>
      <c r="Q4" s="20"/>
    </row>
    <row r="5" spans="11:18" x14ac:dyDescent="0.3">
      <c r="K5" s="12" t="s">
        <v>42</v>
      </c>
      <c r="L5" s="11">
        <f>L4*M5</f>
        <v>234.5</v>
      </c>
      <c r="M5" s="25">
        <v>5.0000000000000001E-3</v>
      </c>
      <c r="N5" s="21">
        <f>N9/L5</f>
        <v>2000</v>
      </c>
    </row>
    <row r="6" spans="11:18" x14ac:dyDescent="0.3">
      <c r="K6" s="12" t="s">
        <v>50</v>
      </c>
      <c r="L6" s="11">
        <f>L5*M6</f>
        <v>168.84</v>
      </c>
      <c r="M6" s="18">
        <v>0.72</v>
      </c>
      <c r="N6" s="21">
        <f>N9/L6</f>
        <v>2777.7777777777778</v>
      </c>
    </row>
    <row r="7" spans="11:18" x14ac:dyDescent="0.3">
      <c r="K7" s="12" t="s">
        <v>44</v>
      </c>
      <c r="L7" s="11">
        <f>L6*M7</f>
        <v>30.391199999999998</v>
      </c>
      <c r="M7" s="18">
        <v>0.18</v>
      </c>
      <c r="N7" s="21">
        <f>N9/L7</f>
        <v>15432.0987654321</v>
      </c>
      <c r="Q7" s="20"/>
    </row>
    <row r="8" spans="11:18" x14ac:dyDescent="0.3">
      <c r="K8" s="12" t="s">
        <v>51</v>
      </c>
      <c r="L8" s="11">
        <f>L7*M8</f>
        <v>7.5977999999999994</v>
      </c>
      <c r="M8" s="18">
        <v>0.25</v>
      </c>
      <c r="N8" s="21">
        <f>N9/L8</f>
        <v>61728.395061728399</v>
      </c>
      <c r="R8" s="20"/>
    </row>
    <row r="9" spans="11:18" x14ac:dyDescent="0.3">
      <c r="K9" s="15" t="s">
        <v>52</v>
      </c>
      <c r="L9" s="15"/>
      <c r="M9" s="16"/>
      <c r="N9" s="22">
        <v>469000</v>
      </c>
      <c r="P9" s="20"/>
      <c r="R9" s="20"/>
    </row>
    <row r="13" spans="11:18" x14ac:dyDescent="0.3">
      <c r="P13" s="23"/>
    </row>
  </sheetData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Dijital Medya Raporu</vt:lpstr>
      <vt:lpstr>Özet Tablo</vt:lpstr>
      <vt:lpstr>Sayfa1</vt:lpstr>
      <vt:lpstr>Tahmini Satın Alma 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Berent Yorulmaz (TIME)</dc:creator>
  <cp:keywords/>
  <dc:description/>
  <cp:lastModifiedBy>Melek Kaya (growity)</cp:lastModifiedBy>
  <cp:revision/>
  <dcterms:created xsi:type="dcterms:W3CDTF">2018-12-05T15:00:15Z</dcterms:created>
  <dcterms:modified xsi:type="dcterms:W3CDTF">2026-07-07T15:05:01Z</dcterms:modified>
  <cp:category/>
  <cp:contentStatus/>
</cp:coreProperties>
</file>