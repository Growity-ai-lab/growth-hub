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6\Markalar\ULUDAĞ\06_Haziran\Uput\Rapor\"/>
    </mc:Choice>
  </mc:AlternateContent>
  <xr:revisionPtr revIDLastSave="0" documentId="13_ncr:1_{49BD1BF4-7369-4F48-A6CA-119A35FF7BCE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Özet Tablo " sheetId="15" r:id="rId1"/>
    <sheet name="Dijital Medya Raporu" sheetId="12" r:id="rId2"/>
    <sheet name="Sayfa1" sheetId="10" state="hidden" r:id="rId3"/>
    <sheet name="Tahmini Satın Alma Mart" sheetId="1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 localSheetId="3">#REF!</definedName>
    <definedName name="\a">#REF!</definedName>
    <definedName name="\HRH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localSheetId="0" hidden="1">{#N/A,#N/A,FALSE,"Sheet1 (2)"}</definedName>
    <definedName name="____________________________________________ooh2" hidden="1">{#N/A,#N/A,FALSE,"Sheet1 (2)"}</definedName>
    <definedName name="___________________________________________ooh2" localSheetId="0" hidden="1">{#N/A,#N/A,FALSE,"Sheet1 (2)"}</definedName>
    <definedName name="___________________________________________ooh2" hidden="1">{#N/A,#N/A,FALSE,"Sheet1 (2)"}</definedName>
    <definedName name="__________________________________________ooh2" localSheetId="0" hidden="1">{#N/A,#N/A,FALSE,"Sheet1 (2)"}</definedName>
    <definedName name="__________________________________________ooh2" hidden="1">{#N/A,#N/A,FALSE,"Sheet1 (2)"}</definedName>
    <definedName name="_________________________________________ooh2" localSheetId="0" hidden="1">{#N/A,#N/A,FALSE,"Sheet1 (2)"}</definedName>
    <definedName name="_________________________________________ooh2" hidden="1">{#N/A,#N/A,FALSE,"Sheet1 (2)"}</definedName>
    <definedName name="________________________________________ooh2" localSheetId="0" hidden="1">{#N/A,#N/A,FALSE,"Sheet1 (2)"}</definedName>
    <definedName name="________________________________________ooh2" hidden="1">{#N/A,#N/A,FALSE,"Sheet1 (2)"}</definedName>
    <definedName name="_______________________________________ooh2" localSheetId="0" hidden="1">{#N/A,#N/A,FALSE,"Sheet1 (2)"}</definedName>
    <definedName name="_______________________________________ooh2" hidden="1">{#N/A,#N/A,FALSE,"Sheet1 (2)"}</definedName>
    <definedName name="______________________________________ooh2" localSheetId="0" hidden="1">{#N/A,#N/A,FALSE,"Sheet1 (2)"}</definedName>
    <definedName name="______________________________________ooh2" hidden="1">{#N/A,#N/A,FALSE,"Sheet1 (2)"}</definedName>
    <definedName name="_____________________________________ooh2" localSheetId="0" hidden="1">{#N/A,#N/A,FALSE,"Sheet1 (2)"}</definedName>
    <definedName name="_____________________________________ooh2" hidden="1">{#N/A,#N/A,FALSE,"Sheet1 (2)"}</definedName>
    <definedName name="____________________________________ooh2" localSheetId="0" hidden="1">{#N/A,#N/A,FALSE,"Sheet1 (2)"}</definedName>
    <definedName name="____________________________________ooh2" hidden="1">{#N/A,#N/A,FALSE,"Sheet1 (2)"}</definedName>
    <definedName name="___________________________________ooh2" localSheetId="0" hidden="1">{#N/A,#N/A,FALSE,"Sheet1 (2)"}</definedName>
    <definedName name="___________________________________ooh2" hidden="1">{#N/A,#N/A,FALSE,"Sheet1 (2)"}</definedName>
    <definedName name="__________________________________ooh2" localSheetId="0" hidden="1">{#N/A,#N/A,FALSE,"Sheet1 (2)"}</definedName>
    <definedName name="__________________________________ooh2" hidden="1">{#N/A,#N/A,FALSE,"Sheet1 (2)"}</definedName>
    <definedName name="_________________________________ooh2" localSheetId="0" hidden="1">{#N/A,#N/A,FALSE,"Sheet1 (2)"}</definedName>
    <definedName name="_________________________________ooh2" hidden="1">{#N/A,#N/A,FALSE,"Sheet1 (2)"}</definedName>
    <definedName name="________________________________ooh2" localSheetId="0" hidden="1">{#N/A,#N/A,FALSE,"Sheet1 (2)"}</definedName>
    <definedName name="________________________________ooh2" hidden="1">{#N/A,#N/A,FALSE,"Sheet1 (2)"}</definedName>
    <definedName name="_______________________________ooh2" localSheetId="0" hidden="1">{#N/A,#N/A,FALSE,"Sheet1 (2)"}</definedName>
    <definedName name="_______________________________ooh2" hidden="1">{#N/A,#N/A,FALSE,"Sheet1 (2)"}</definedName>
    <definedName name="______________________________ooh2" localSheetId="0" hidden="1">{#N/A,#N/A,FALSE,"Sheet1 (2)"}</definedName>
    <definedName name="______________________________ooh2" hidden="1">{#N/A,#N/A,FALSE,"Sheet1 (2)"}</definedName>
    <definedName name="_____________________________ooh2" localSheetId="0" hidden="1">{#N/A,#N/A,FALSE,"Sheet1 (2)"}</definedName>
    <definedName name="_____________________________ooh2" hidden="1">{#N/A,#N/A,FALSE,"Sheet1 (2)"}</definedName>
    <definedName name="____________________________ooh2" localSheetId="0" hidden="1">{#N/A,#N/A,FALSE,"Sheet1 (2)"}</definedName>
    <definedName name="____________________________ooh2" hidden="1">{#N/A,#N/A,FALSE,"Sheet1 (2)"}</definedName>
    <definedName name="___________________________abc1" localSheetId="0">'Özet Tablo '!___________________________abc1</definedName>
    <definedName name="___________________________abc1">[0]!___________________________abc1</definedName>
    <definedName name="___________________________ooh2" localSheetId="0" hidden="1">{#N/A,#N/A,FALSE,"Sheet1 (2)"}</definedName>
    <definedName name="___________________________ooh2" hidden="1">{#N/A,#N/A,FALSE,"Sheet1 (2)"}</definedName>
    <definedName name="__________________________ooh2" localSheetId="0" hidden="1">{#N/A,#N/A,FALSE,"Sheet1 (2)"}</definedName>
    <definedName name="__________________________ooh2" hidden="1">{#N/A,#N/A,FALSE,"Sheet1 (2)"}</definedName>
    <definedName name="_________________________abc1" localSheetId="0">'Özet Tablo '!_________________________abc1</definedName>
    <definedName name="_________________________abc1">[0]!_________________________abc1</definedName>
    <definedName name="_________________________ooh2" localSheetId="0" hidden="1">{#N/A,#N/A,FALSE,"Sheet1 (2)"}</definedName>
    <definedName name="_________________________ooh2" hidden="1">{#N/A,#N/A,FALSE,"Sheet1 (2)"}</definedName>
    <definedName name="________________________abc1" localSheetId="0">'Özet Tablo '!________________________abc1</definedName>
    <definedName name="________________________abc1">[0]!________________________abc1</definedName>
    <definedName name="________________________ooh2" localSheetId="0" hidden="1">{#N/A,#N/A,FALSE,"Sheet1 (2)"}</definedName>
    <definedName name="________________________ooh2" hidden="1">{#N/A,#N/A,FALSE,"Sheet1 (2)"}</definedName>
    <definedName name="_______________________abc1" localSheetId="0">'Özet Tablo '!_______________________abc1</definedName>
    <definedName name="_______________________abc1">[0]!_______________________abc1</definedName>
    <definedName name="_______________________ooh2" localSheetId="0" hidden="1">{#N/A,#N/A,FALSE,"Sheet1 (2)"}</definedName>
    <definedName name="_______________________ooh2" hidden="1">{#N/A,#N/A,FALSE,"Sheet1 (2)"}</definedName>
    <definedName name="______________________ooh2" localSheetId="0" hidden="1">{#N/A,#N/A,FALSE,"Sheet1 (2)"}</definedName>
    <definedName name="______________________ooh2" hidden="1">{#N/A,#N/A,FALSE,"Sheet1 (2)"}</definedName>
    <definedName name="_____________________ooh2" localSheetId="0" hidden="1">{#N/A,#N/A,FALSE,"Sheet1 (2)"}</definedName>
    <definedName name="_____________________ooh2" hidden="1">{#N/A,#N/A,FALSE,"Sheet1 (2)"}</definedName>
    <definedName name="____________________ooh2" localSheetId="0" hidden="1">{#N/A,#N/A,FALSE,"Sheet1 (2)"}</definedName>
    <definedName name="____________________ooh2" hidden="1">{#N/A,#N/A,FALSE,"Sheet1 (2)"}</definedName>
    <definedName name="___________________ooh2" localSheetId="0" hidden="1">{#N/A,#N/A,FALSE,"Sheet1 (2)"}</definedName>
    <definedName name="___________________ooh2" hidden="1">{#N/A,#N/A,FALSE,"Sheet1 (2)"}</definedName>
    <definedName name="__________________ooh2" localSheetId="0" hidden="1">{#N/A,#N/A,FALSE,"Sheet1 (2)"}</definedName>
    <definedName name="__________________ooh2" hidden="1">{#N/A,#N/A,FALSE,"Sheet1 (2)"}</definedName>
    <definedName name="_________________ooh2" localSheetId="0" hidden="1">{#N/A,#N/A,FALSE,"Sheet1 (2)"}</definedName>
    <definedName name="_________________ooh2" hidden="1">{#N/A,#N/A,FALSE,"Sheet1 (2)"}</definedName>
    <definedName name="________________ooh2" localSheetId="0" hidden="1">{#N/A,#N/A,FALSE,"Sheet1 (2)"}</definedName>
    <definedName name="________________ooh2" hidden="1">{#N/A,#N/A,FALSE,"Sheet1 (2)"}</definedName>
    <definedName name="_______________ooh2" localSheetId="0" hidden="1">{#N/A,#N/A,FALSE,"Sheet1 (2)"}</definedName>
    <definedName name="_______________ooh2" hidden="1">{#N/A,#N/A,FALSE,"Sheet1 (2)"}</definedName>
    <definedName name="______________ooh2" localSheetId="0" hidden="1">{#N/A,#N/A,FALSE,"Sheet1 (2)"}</definedName>
    <definedName name="______________ooh2" hidden="1">{#N/A,#N/A,FALSE,"Sheet1 (2)"}</definedName>
    <definedName name="_____________ooh2" localSheetId="0" hidden="1">{#N/A,#N/A,FALSE,"Sheet1 (2)"}</definedName>
    <definedName name="_____________ooh2" hidden="1">{#N/A,#N/A,FALSE,"Sheet1 (2)"}</definedName>
    <definedName name="____________ooh2" localSheetId="0" hidden="1">{#N/A,#N/A,FALSE,"Sheet1 (2)"}</definedName>
    <definedName name="____________ooh2" hidden="1">{#N/A,#N/A,FALSE,"Sheet1 (2)"}</definedName>
    <definedName name="___________n" localSheetId="0" hidden="1">{#N/A,#N/A,FALSE,"Sheet1 (2)"}</definedName>
    <definedName name="___________n" hidden="1">{#N/A,#N/A,FALSE,"Sheet1 (2)"}</definedName>
    <definedName name="___________ooh2" localSheetId="0" hidden="1">{#N/A,#N/A,FALSE,"Sheet1 (2)"}</definedName>
    <definedName name="___________ooh2" hidden="1">{#N/A,#N/A,FALSE,"Sheet1 (2)"}</definedName>
    <definedName name="__________ooh2" localSheetId="0" hidden="1">{#N/A,#N/A,FALSE,"Sheet1 (2)"}</definedName>
    <definedName name="__________ooh2" hidden="1">{#N/A,#N/A,FALSE,"Sheet1 (2)"}</definedName>
    <definedName name="_________Jim1" localSheetId="0" hidden="1">{#N/A,#N/A,FALSE,"L&amp;M Performance";#N/A,#N/A,FALSE,"Brand Performance";#N/A,#N/A,FALSE,"Marlboro Performance"}</definedName>
    <definedName name="_________Jim1" hidden="1">{#N/A,#N/A,FALSE,"L&amp;M Performance";#N/A,#N/A,FALSE,"Brand Performance";#N/A,#N/A,FALSE,"Marlboro Performance"}</definedName>
    <definedName name="_________jim2" localSheetId="0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localSheetId="0" hidden="1">{#N/A,#N/A,FALSE,"Sheet1 (2)"}</definedName>
    <definedName name="_________ooh2" hidden="1">{#N/A,#N/A,FALSE,"Sheet1 (2)"}</definedName>
    <definedName name="__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localSheetId="0" hidden="1">{#N/A,#N/A,FALSE,"Sheet1 (2)"}</definedName>
    <definedName name="________ooh2" hidden="1">{#N/A,#N/A,FALSE,"Sheet1 (2)"}</definedName>
    <definedName name="_______der1">#REF!</definedName>
    <definedName name="_______der2">#REF!</definedName>
    <definedName name="_______Jim1" localSheetId="0" hidden="1">{#N/A,#N/A,FALSE,"L&amp;M Performance";#N/A,#N/A,FALSE,"Brand Performance";#N/A,#N/A,FALSE,"Marlboro Performance"}</definedName>
    <definedName name="_______Jim1" hidden="1">{#N/A,#N/A,FALSE,"L&amp;M Performance";#N/A,#N/A,FALSE,"Brand Performance";#N/A,#N/A,FALSE,"Marlboro Performance"}</definedName>
    <definedName name="_______jim2" localSheetId="0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localSheetId="0" hidden="1">{#N/A,#N/A,FALSE,"Sheet1 (2)"}</definedName>
    <definedName name="_______ooh2" hidden="1">{#N/A,#N/A,FALSE,"Sheet1 (2)"}</definedName>
    <definedName name="_______per3">#REF!</definedName>
    <definedName name="_______piv3">#REF!</definedName>
    <definedName name="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localSheetId="0" hidden="1">{#N/A,#N/A,FALSE,"Sheet1 (2)"}</definedName>
    <definedName name="______ooh2" hidden="1">{#N/A,#N/A,FALSE,"Sheet1 (2)"}</definedName>
    <definedName name="_____abc1" localSheetId="0">'Özet Tablo '!_____abc1</definedName>
    <definedName name="_____abc1">[0]!_____abc1</definedName>
    <definedName name="_____Jim1" localSheetId="0" hidden="1">{#N/A,#N/A,FALSE,"L&amp;M Performance";#N/A,#N/A,FALSE,"Brand Performance";#N/A,#N/A,FALSE,"Marlboro Performance"}</definedName>
    <definedName name="_____Jim1" hidden="1">{#N/A,#N/A,FALSE,"L&amp;M Performance";#N/A,#N/A,FALSE,"Brand Performance";#N/A,#N/A,FALSE,"Marlboro Performance"}</definedName>
    <definedName name="_____jim2" localSheetId="0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localSheetId="0" hidden="1">{#N/A,#N/A,FALSE,"Sheet1 (2)"}</definedName>
    <definedName name="_____ooh2" hidden="1">{#N/A,#N/A,FALSE,"Sheet1 (2)"}</definedName>
    <definedName name="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 localSheetId="0">'Özet Tablo '!____abc1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localSheetId="0" hidden="1">{#N/A,#N/A,FALSE,"Sheet1 (2)"}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 localSheetId="0">'Özet Tablo '!___abc1</definedName>
    <definedName name="___abc1">[0]!___abc1</definedName>
    <definedName name="___der1">#REF!</definedName>
    <definedName name="___der2">#REF!</definedName>
    <definedName name="___Jim1" localSheetId="0" hidden="1">{#N/A,#N/A,FALSE,"L&amp;M Performance";#N/A,#N/A,FALSE,"Brand Performance";#N/A,#N/A,FALSE,"Marlboro Performance"}</definedName>
    <definedName name="___Jim1" hidden="1">{#N/A,#N/A,FALSE,"L&amp;M Performance";#N/A,#N/A,FALSE,"Brand Performance";#N/A,#N/A,FALSE,"Marlboro Performance"}</definedName>
    <definedName name="___jim2" localSheetId="0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localSheetId="0" hidden="1">{#N/A,#N/A,FALSE,"Sheet1 (2)"}</definedName>
    <definedName name="___ooh2" hidden="1">{#N/A,#N/A,FALSE,"Sheet1 (2)"}</definedName>
    <definedName name="___per3">#REF!</definedName>
    <definedName name="___piv3">#REF!</definedName>
    <definedName name="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 localSheetId="0">'Özet Tablo '!__abc1</definedName>
    <definedName name="__abc1">[0]!__abc1</definedName>
    <definedName name="__der1">#REF!</definedName>
    <definedName name="__der2">#REF!</definedName>
    <definedName name="__Jim1" localSheetId="0" hidden="1">{#N/A,#N/A,FALSE,"L&amp;M Performance";#N/A,#N/A,FALSE,"Brand Performance";#N/A,#N/A,FALSE,"Marlboro Performance"}</definedName>
    <definedName name="__Jim1" hidden="1">{#N/A,#N/A,FALSE,"L&amp;M Performance";#N/A,#N/A,FALSE,"Brand Performance";#N/A,#N/A,FALSE,"Marlboro Performance"}</definedName>
    <definedName name="__jim2" localSheetId="0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localSheetId="0" hidden="1">{#N/A,#N/A,FALSE,"Sheet1 (2)"}</definedName>
    <definedName name="__ooh2" hidden="1">{#N/A,#N/A,FALSE,"Sheet1 (2)"}</definedName>
    <definedName name="__per3">#REF!</definedName>
    <definedName name="__piv3">#REF!</definedName>
    <definedName name="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 localSheetId="0">'Özet Tablo '!_abc1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Jim1" localSheetId="0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0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3" hidden="1">#REF!</definedName>
    <definedName name="_Key1" hidden="1">#REF!</definedName>
    <definedName name="_key11" hidden="1">#REF!</definedName>
    <definedName name="_Key2" localSheetId="3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3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localSheetId="0" hidden="1">{#N/A,#N/A,FALSE,"Sheet1 (2)"}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xlnm._FilterDatabase" localSheetId="1" hidden="1">'Dijital Medya Raporu'!$B$11:$X$11</definedName>
    <definedName name="_xlnm._FilterDatabase" hidden="1">#REF!</definedName>
    <definedName name="A">#REF!</definedName>
    <definedName name="A_new">#REF!</definedName>
    <definedName name="aa" localSheetId="0" hidden="1">{#N/A,#N/A,FALSE,"Sheet1 (2)"}</definedName>
    <definedName name="aa" localSheetId="3" hidden="1">{#N/A,#N/A,FALSE,"Sheet1 (2)"}</definedName>
    <definedName name="aa" hidden="1">{#N/A,#N/A,FALSE,"Sheet1 (2)"}</definedName>
    <definedName name="aaa">#REF!</definedName>
    <definedName name="aaaa" localSheetId="0">'Özet Tablo '!aaaa</definedName>
    <definedName name="aaaa">[0]!aaaa</definedName>
    <definedName name="aaaaaaa" localSheetId="0" hidden="1">{#N/A,#N/A,FALSE,"Sheet1 (2)"}</definedName>
    <definedName name="aaaaaaa" hidden="1">{#N/A,#N/A,FALSE,"Sheet1 (2)"}</definedName>
    <definedName name="AAAAAAAA" localSheetId="0" hidden="1">{#N/A,#N/A,FALSE,"Sheet1 (2)"}</definedName>
    <definedName name="AAAAAAAA" hidden="1">{#N/A,#N/A,FALSE,"Sheet1 (2)"}</definedName>
    <definedName name="aaaaaaaaa" localSheetId="0" hidden="1">{#N/A,#N/A,FALSE,"Sheet1 (2)"}</definedName>
    <definedName name="aaaaaaaaa" hidden="1">{#N/A,#N/A,FALSE,"Sheet1 (2)"}</definedName>
    <definedName name="AAAAAAAAAAA" localSheetId="0" hidden="1">{#N/A,#N/A,FALSE,"Sheet1 (2)"}</definedName>
    <definedName name="AAAAAAAAAAA" localSheetId="3" hidden="1">{#N/A,#N/A,FALSE,"Sheet1 (2)"}</definedName>
    <definedName name="AAAAAAAAAAA" hidden="1">{#N/A,#N/A,FALSE,"Sheet1 (2)"}</definedName>
    <definedName name="aaaaaaaaaaaa" localSheetId="0" hidden="1">{#N/A,#N/A,FALSE,"Sheet1 (2)"}</definedName>
    <definedName name="aaaaaaaaaaaa" hidden="1">{#N/A,#N/A,FALSE,"Sheet1 (2)"}</definedName>
    <definedName name="AAAAAAAAAAAAA" localSheetId="0" hidden="1">{#N/A,#N/A,FALSE,"Sheet1 (2)"}</definedName>
    <definedName name="AAAAAAAAAAAAA" hidden="1">{#N/A,#N/A,FALSE,"Sheet1 (2)"}</definedName>
    <definedName name="aaaaaaaaaaaaaaa" localSheetId="0" hidden="1">{#N/A,#N/A,FALSE,"Sheet1 (2)"}</definedName>
    <definedName name="aaaaaaaaaaaaaaa" localSheetId="3" hidden="1">{#N/A,#N/A,FALSE,"Sheet1 (2)"}</definedName>
    <definedName name="aaaaaaaaaaaaaaa" hidden="1">{#N/A,#N/A,FALSE,"Sheet1 (2)"}</definedName>
    <definedName name="aaaaaaaaaaaaaaaaa" localSheetId="0" hidden="1">{#N/A,#N/A,FALSE,"Sheet1 (2)"}</definedName>
    <definedName name="aaaaaaaaaaaaaaaaa" hidden="1">{#N/A,#N/A,FALSE,"Sheet1 (2)"}</definedName>
    <definedName name="aaaaaaaaaaaaaaaaaaaaaaaa" localSheetId="0" hidden="1">{#N/A,#N/A,FALSE,"Sheet1 (2)"}</definedName>
    <definedName name="aaaaaaaaaaaaaaaaaaaaaaaa" hidden="1">{#N/A,#N/A,FALSE,"Sheet1 (2)"}</definedName>
    <definedName name="AAAAAAAAAAAAAAAAAAAAAAAAAAAAA" localSheetId="0" hidden="1">{#N/A,#N/A,FALSE,"Sheet1 (2)"}</definedName>
    <definedName name="AAAAAAAAAAAAAAAAAAAAAAAAAAAAA" hidden="1">{#N/A,#N/A,FALSE,"Sheet1 (2)"}</definedName>
    <definedName name="aadd" localSheetId="0" hidden="1">{#N/A,#N/A,FALSE,"Sheet1 (2)"}</definedName>
    <definedName name="aadd" hidden="1">{#N/A,#N/A,FALSE,"Sheet1 (2)"}</definedName>
    <definedName name="aadfrger" localSheetId="0" hidden="1">{#N/A,#N/A,FALSE,"Sheet1 (2)"}</definedName>
    <definedName name="aadfrger" hidden="1">{#N/A,#N/A,FALSE,"Sheet1 (2)"}</definedName>
    <definedName name="aasfbhg" localSheetId="0" hidden="1">{#N/A,#N/A,FALSE,"Sheet1 (2)"}</definedName>
    <definedName name="aasfbhg" hidden="1">{#N/A,#N/A,FALSE,"Sheet1 (2)"}</definedName>
    <definedName name="aawfewae" localSheetId="0" hidden="1">{#N/A,#N/A,FALSE,"Sheet1 (2)"}</definedName>
    <definedName name="aawfewae" hidden="1">{#N/A,#N/A,FALSE,"Sheet1 (2)"}</definedName>
    <definedName name="ab" localSheetId="0" hidden="1">{#N/A,#N/A,FALSE,"Sheet1 (2)"}</definedName>
    <definedName name="ab" hidden="1">{#N/A,#N/A,FALSE,"Sheet1 (2)"}</definedName>
    <definedName name="abc" localSheetId="0">'Özet Tablo '!abc</definedName>
    <definedName name="abc">[0]!abc</definedName>
    <definedName name="ace" localSheetId="0" hidden="1">{#N/A,#N/A,FALSE,"Sheet1 (2)"}</definedName>
    <definedName name="ace" hidden="1">{#N/A,#N/A,FALSE,"Sheet1 (2)"}</definedName>
    <definedName name="acelya" localSheetId="0" hidden="1">{#N/A,#N/A,FALSE,"Sheet1 (2)"}</definedName>
    <definedName name="acelya" hidden="1">{#N/A,#N/A,FALSE,"Sheet1 (2)"}</definedName>
    <definedName name="acık" localSheetId="0" hidden="1">{#N/A,#N/A,FALSE,"Sheet1 (2)"}</definedName>
    <definedName name="acık" localSheetId="3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0" hidden="1">{#N/A,#N/A,FALSE,"Sheet1 (2)"}</definedName>
    <definedName name="açıkhava" localSheetId="3" hidden="1">{#N/A,#N/A,FALSE,"Sheet1 (2)"}</definedName>
    <definedName name="açıkhava" hidden="1">{#N/A,#N/A,FALSE,"Sheet1 (2)"}</definedName>
    <definedName name="AD">#REF!</definedName>
    <definedName name="adc" localSheetId="0" hidden="1">{#N/A,#N/A,FALSE,"Sheet1 (2)"}</definedName>
    <definedName name="adc" hidden="1">{#N/A,#N/A,FALSE,"Sheet1 (2)"}</definedName>
    <definedName name="ADDDD" localSheetId="0" hidden="1">{#N/A,#N/A,FALSE,"MALİTABLOLAR";#N/A,#N/A,FALSE,"PERS MSRMRZ";#N/A,#N/A,FALSE,"MALİTABLOLAR";#N/A,#N/A,FALSE,"İskonto"}</definedName>
    <definedName name="ADDDD" hidden="1">{#N/A,#N/A,FALSE,"MALİTABLOLAR";#N/A,#N/A,FALSE,"PERS MSRMRZ";#N/A,#N/A,FALSE,"MALİTABLOLAR";#N/A,#N/A,FALSE,"İskonto"}</definedName>
    <definedName name="adert" localSheetId="0">'Özet Tablo '!adert</definedName>
    <definedName name="adert">[0]!adert</definedName>
    <definedName name="ADET">#REF!</definedName>
    <definedName name="ADFASDFA" localSheetId="0" hidden="1">{#N/A,#N/A,FALSE,"Sheet1 (2)"}</definedName>
    <definedName name="ADFASDFA" hidden="1">{#N/A,#N/A,FALSE,"Sheet1 (2)"}</definedName>
    <definedName name="ADS" localSheetId="0" hidden="1">{#N/A,#N/A,FALSE,"Sheet1 (2)"}</definedName>
    <definedName name="ADS" hidden="1">{#N/A,#N/A,FALSE,"Sheet1 (2)"}</definedName>
    <definedName name="ADULTS">#REF!</definedName>
    <definedName name="adv" localSheetId="0" hidden="1">{#N/A,#N/A,FALSE,"Sheet1 (2)"}</definedName>
    <definedName name="adv" hidden="1">{#N/A,#N/A,FALSE,"Sheet1 (2)"}</definedName>
    <definedName name="adx" localSheetId="0">'Özet Tablo '!adx</definedName>
    <definedName name="adx">[0]!adx</definedName>
    <definedName name="aerd" localSheetId="0" hidden="1">{#N/A,#N/A,FALSE,"Sheet1 (2)"}</definedName>
    <definedName name="aerd" hidden="1">{#N/A,#N/A,FALSE,"Sheet1 (2)"}</definedName>
    <definedName name="afdsfafd" localSheetId="0" hidden="1">{#N/A,#N/A,FALSE,"Sheet1 (2)"}</definedName>
    <definedName name="afdsfafd" hidden="1">{#N/A,#N/A,FALSE,"Sheet1 (2)"}</definedName>
    <definedName name="afsfsh" localSheetId="0" hidden="1">{#N/A,#N/A,FALSE,"Sheet1 (2)"}</definedName>
    <definedName name="afsfsh" hidden="1">{#N/A,#N/A,FALSE,"Sheet1 (2)"}</definedName>
    <definedName name="AGENCY_DISCOUNTS">#REF!</definedName>
    <definedName name="ag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localSheetId="0" hidden="1">{#N/A,#N/A,FALSE,"Summary"}</definedName>
    <definedName name="agsdfg" hidden="1">{#N/A,#N/A,FALSE,"Summary"}</definedName>
    <definedName name="ahmet">[3]Ekim!#REF!</definedName>
    <definedName name="ALEV" localSheetId="0" hidden="1">{#N/A,#N/A,FALSE,"Sheet1 (2)"}</definedName>
    <definedName name="ALEV" hidden="1">{#N/A,#N/A,FALSE,"Sheet1 (2)"}</definedName>
    <definedName name="ali" localSheetId="0">'Özet Tablo '!ali</definedName>
    <definedName name="ali">[0]!ali</definedName>
    <definedName name="ALL">#REF!</definedName>
    <definedName name="alper" localSheetId="0" hidden="1">{#N/A,#N/A,FALSE,"Sheet1 (2)"}</definedName>
    <definedName name="alper" hidden="1">{#N/A,#N/A,FALSE,"Sheet1 (2)"}</definedName>
    <definedName name="alperrrr" localSheetId="0" hidden="1">{#N/A,#N/A,FALSE,"Sheet1 (2)"}</definedName>
    <definedName name="alperrrr" hidden="1">{#N/A,#N/A,FALSE,"Sheet1 (2)"}</definedName>
    <definedName name="Altın">#REF!</definedName>
    <definedName name="ALVO">#REF!</definedName>
    <definedName name="ananı" localSheetId="0" hidden="1">{#N/A,#N/A,FALSE,"Sheet1 (2)"}</definedName>
    <definedName name="ananı" hidden="1">{#N/A,#N/A,FALSE,"Sheet1 (2)"}</definedName>
    <definedName name="anıl" localSheetId="0" hidden="1">{#N/A,#N/A,FALSE,"Sheet1 (2)"}</definedName>
    <definedName name="anıl" hidden="1">{#N/A,#N/A,FALSE,"Sheet1 (2)"}</definedName>
    <definedName name="anil123_3" localSheetId="0" hidden="1">{#N/A,#N/A,FALSE,"Sheet1 (2)"}</definedName>
    <definedName name="anil123_3" hidden="1">{#N/A,#N/A,FALSE,"Sheet1 (2)"}</definedName>
    <definedName name="ankara" localSheetId="0" hidden="1">{#N/A,#N/A,FALSE,"Sheet1 (2)"}</definedName>
    <definedName name="ankara" localSheetId="3" hidden="1">{#N/A,#N/A,FALSE,"Sheet1 (2)"}</definedName>
    <definedName name="ankara" hidden="1">{#N/A,#N/A,FALSE,"Sheet1 (2)"}</definedName>
    <definedName name="aps" hidden="1">#REF!</definedName>
    <definedName name="aqswa" localSheetId="0" hidden="1">{#N/A,#N/A,FALSE,"Sheet1 (2)"}</definedName>
    <definedName name="aqswa" hidden="1">{#N/A,#N/A,FALSE,"Sheet1 (2)"}</definedName>
    <definedName name="Área_impressão_IM">#REF!</definedName>
    <definedName name="arzu" localSheetId="0" hidden="1">{#N/A,#N/A,FALSE,"Sheet1 (2)"}</definedName>
    <definedName name="arzu" hidden="1">{#N/A,#N/A,FALSE,"Sheet1 (2)"}</definedName>
    <definedName name="As">#REF!</definedName>
    <definedName name="asa" localSheetId="0" hidden="1">{#N/A,#N/A,FALSE,"Sheet1 (2)"}</definedName>
    <definedName name="asa" hidden="1">{#N/A,#N/A,FALSE,"Sheet1 (2)"}</definedName>
    <definedName name="asascd" hidden="1">#REF!</definedName>
    <definedName name="asda" localSheetId="0" hidden="1">{#N/A,#N/A,FALSE,"Sheet1 (2)"}</definedName>
    <definedName name="asda" localSheetId="3" hidden="1">{#N/A,#N/A,FALSE,"Sheet1 (2)"}</definedName>
    <definedName name="asda" hidden="1">{#N/A,#N/A,FALSE,"Sheet1 (2)"}</definedName>
    <definedName name="asda1" localSheetId="0" hidden="1">{#N/A,#N/A,FALSE,"Sheet1 (2)"}</definedName>
    <definedName name="asda1" localSheetId="3" hidden="1">{#N/A,#N/A,FALSE,"Sheet1 (2)"}</definedName>
    <definedName name="asda1" hidden="1">{#N/A,#N/A,FALSE,"Sheet1 (2)"}</definedName>
    <definedName name="asdad">#REF!</definedName>
    <definedName name="asdas">#REF!</definedName>
    <definedName name="asdasdg" localSheetId="0" hidden="1">{#N/A,#N/A,FALSE,"Sheet1 (2)"}</definedName>
    <definedName name="asdasdg" hidden="1">{#N/A,#N/A,FALSE,"Sheet1 (2)"}</definedName>
    <definedName name="asddasd" localSheetId="0" hidden="1">{#N/A,#N/A,FALSE,"Sheet1 (2)"}</definedName>
    <definedName name="asddasd" hidden="1">{#N/A,#N/A,FALSE,"Sheet1 (2)"}</definedName>
    <definedName name="ASDF" localSheetId="0" hidden="1">{#N/A,#N/A,FALSE,"Sheet1 (2)"}</definedName>
    <definedName name="ASDF" hidden="1">{#N/A,#N/A,FALSE,"Sheet1 (2)"}</definedName>
    <definedName name="ASDFASDF" localSheetId="0" hidden="1">{#N/A,#N/A,FALSE,"Sheet1 (2)"}</definedName>
    <definedName name="ASDFASDF" hidden="1">{#N/A,#N/A,FALSE,"Sheet1 (2)"}</definedName>
    <definedName name="asdfasdfasdf" localSheetId="0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ASDFASF" localSheetId="0" hidden="1">{#N/A,#N/A,FALSE,"Sheet1 (2)"}</definedName>
    <definedName name="ASDFASDFASF" hidden="1">{#N/A,#N/A,FALSE,"Sheet1 (2)"}</definedName>
    <definedName name="asdfawefwaef" localSheetId="0" hidden="1">{#N/A,#N/A,FALSE,"Sheet1 (2)"}</definedName>
    <definedName name="asdfawefwaef" hidden="1">{#N/A,#N/A,FALSE,"Sheet1 (2)"}</definedName>
    <definedName name="a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localSheetId="0" hidden="1">{#N/A,#N/A,FALSE,"Sheet1 (2)"}</definedName>
    <definedName name="asr" hidden="1">{#N/A,#N/A,FALSE,"Sheet1 (2)"}</definedName>
    <definedName name="asss">#REF!</definedName>
    <definedName name="assssdddd">#REF!</definedName>
    <definedName name="Assum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localSheetId="0" hidden="1">{#N/A,#N/A,FALSE,"Sheet1 (2)"}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 localSheetId="0">'Özet Tablo '!BAKSANA</definedName>
    <definedName name="BAKSANA">[0]!BAKSANA</definedName>
    <definedName name="basin" localSheetId="0" hidden="1">{#N/A,#N/A,FALSE,"MALİTABLOLAR"}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localSheetId="0" hidden="1">{#N/A,#N/A,FALSE,"Sheet1 (2)"}</definedName>
    <definedName name="bbbbbbbbb" hidden="1">{#N/A,#N/A,FALSE,"Sheet1 (2)"}</definedName>
    <definedName name="bbbbbbbbbbb" localSheetId="0" hidden="1">{#N/A,#N/A,FALSE,"Sheet1 (2)"}</definedName>
    <definedName name="bbbbbbbbbbb" hidden="1">{#N/A,#N/A,FALSE,"Sheet1 (2)"}</definedName>
    <definedName name="bbbbbbbbbbbb" localSheetId="0" hidden="1">{#N/A,#N/A,FALSE,"Sheet1 (2)"}</definedName>
    <definedName name="bbbbbbbbbbbb" hidden="1">{#N/A,#N/A,FALSE,"Sheet1 (2)"}</definedName>
    <definedName name="bbthnym" localSheetId="0" hidden="1">{#N/A,#N/A,FALSE,"Sheet1 (2)"}</definedName>
    <definedName name="bbthnym" hidden="1">{#N/A,#N/A,FALSE,"Sheet1 (2)"}</definedName>
    <definedName name="BELGİN" localSheetId="0" hidden="1">{#N/A,#N/A,FALSE,"Sheet1 (2)"}</definedName>
    <definedName name="BELGİN" hidden="1">{#N/A,#N/A,FALSE,"Sheet1 (2)"}</definedName>
    <definedName name="Best">#REF!</definedName>
    <definedName name="bfhtht" localSheetId="0" hidden="1">{#N/A,#N/A,FALSE,"Sheet1 (2)"}</definedName>
    <definedName name="bfhtht" hidden="1">{#N/A,#N/A,FALSE,"Sheet1 (2)"}</definedName>
    <definedName name="BFX_BRANDFX">60122</definedName>
    <definedName name="BILANCO" localSheetId="0" hidden="1">{#N/A,#N/A,FALSE,"MALİTABLOLAR";#N/A,#N/A,FALSE,"PERS MSRMRZ";#N/A,#N/A,FALSE,"MALİTABLOLAR";#N/A,#N/A,FALSE,"İskonto"}</definedName>
    <definedName name="BILANCO" hidden="1">{#N/A,#N/A,FALSE,"MALİTABLOLAR";#N/A,#N/A,FALSE,"PERS MSRMRZ";#N/A,#N/A,FALSE,"MALİTABLOLAR";#N/A,#N/A,FALSE,"İskonto"}</definedName>
    <definedName name="BILANÇ" localSheetId="0" hidden="1">{#N/A,#N/A,FALSE,"MALİTABLOLAR"}</definedName>
    <definedName name="BILANÇ" hidden="1">{#N/A,#N/A,FALSE,"MALİTABLOLAR"}</definedName>
    <definedName name="BIMAS">#REF!</definedName>
    <definedName name="BİANCO12" localSheetId="0" hidden="1">{#N/A,#N/A,FALSE,"MALİTABLOLAR"}</definedName>
    <definedName name="BİANCO12" hidden="1">{#N/A,#N/A,FALSE,"MALİTABLOLAR"}</definedName>
    <definedName name="BİLANÇO" localSheetId="0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localSheetId="0" hidden="1">{#N/A,#N/A,FALSE,"Sheet1 (2)"}</definedName>
    <definedName name="bisküvi" hidden="1">{#N/A,#N/A,FALSE,"Sheet1 (2)"}</definedName>
    <definedName name="bnhk" localSheetId="0" hidden="1">{#N/A,#N/A,FALSE,"Sheet1 (2)"}</definedName>
    <definedName name="bnhk" localSheetId="3" hidden="1">{#N/A,#N/A,FALSE,"Sheet1 (2)"}</definedName>
    <definedName name="bnhk" hidden="1">{#N/A,#N/A,FALSE,"Sheet1 (2)"}</definedName>
    <definedName name="bnmh" localSheetId="0" hidden="1">{#N/A,#N/A,FALSE,"MALİTABLOLAR";#N/A,#N/A,FALSE,"PERS MSRMRZ";#N/A,#N/A,FALSE,"MALİTABLOLAR";#N/A,#N/A,FALSE,"İskonto"}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localSheetId="0" hidden="1">{#N/A,#N/A,FALSE,"Sheet1 (2)"}</definedName>
    <definedName name="brucu" hidden="1">{#N/A,#N/A,FALSE,"Sheet1 (2)"}</definedName>
    <definedName name="bsderty" localSheetId="0">'Özet Tablo '!bsderty</definedName>
    <definedName name="bsderty">[0]!bsderty</definedName>
    <definedName name="btrm" localSheetId="0" hidden="1">{#N/A,#N/A,FALSE,"Sheet1 (2)"}</definedName>
    <definedName name="btrm" hidden="1">{#N/A,#N/A,FALSE,"Sheet1 (2)"}</definedName>
    <definedName name="bu" localSheetId="0" hidden="1">{#N/A,#N/A,FALSE,"Sheet1 (2)"}</definedName>
    <definedName name="bu" hidden="1">{#N/A,#N/A,FALSE,"Sheet1 (2)"}</definedName>
    <definedName name="budcape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localSheetId="0" hidden="1">{#N/A,#N/A,FALSE,"Sheet1 (2)"}</definedName>
    <definedName name="burcu" hidden="1">{#N/A,#N/A,FALSE,"Sheet1 (2)"}</definedName>
    <definedName name="BURCUCCCCCC" localSheetId="0" hidden="1">{#N/A,#N/A,FALSE,"Sheet1 (2)"}</definedName>
    <definedName name="BURCUCCCCCC" hidden="1">{#N/A,#N/A,FALSE,"Sheet1 (2)"}</definedName>
    <definedName name="BUYINGMETHOD">'[9]Buying Method'!$A$1:$A$65536</definedName>
    <definedName name="BUYUME" localSheetId="0" hidden="1">{#N/A,#N/A,FALSE,"MALİTABLOLAR"}</definedName>
    <definedName name="BUYUME" hidden="1">{#N/A,#N/A,FALSE,"MALİTABLOLAR"}</definedName>
    <definedName name="byr" localSheetId="0" hidden="1">{#N/A,#N/A,FALSE,"Sheet1 (2)"}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0" hidden="1">{#N/A,#N/A,FALSE,"Sheet1 (2)"}</definedName>
    <definedName name="cbhgj" localSheetId="3" hidden="1">{#N/A,#N/A,FALSE,"Sheet1 (2)"}</definedName>
    <definedName name="cbhgj" hidden="1">{#N/A,#N/A,FALSE,"Sheet1 (2)"}</definedName>
    <definedName name="ccc" localSheetId="0" hidden="1">{#N/A,#N/A,FALSE,"Sheet1 (2)"}</definedName>
    <definedName name="ccc" hidden="1">{#N/A,#N/A,FALSE,"Sheet1 (2)"}</definedName>
    <definedName name="cccc" localSheetId="0" hidden="1">{#N/A,#N/A,FALSE,"Sheet1 (2)"}</definedName>
    <definedName name="cccc" hidden="1">{#N/A,#N/A,FALSE,"Sheet1 (2)"}</definedName>
    <definedName name="ccccc">#REF!</definedName>
    <definedName name="cccccccc" localSheetId="0" hidden="1">{#N/A,#N/A,FALSE,"Sheet1 (2)"}</definedName>
    <definedName name="cccccccc" hidden="1">{#N/A,#N/A,FALSE,"Sheet1 (2)"}</definedName>
    <definedName name="ccccccccc" localSheetId="0" hidden="1">{#N/A,#N/A,FALSE,"Sheet1 (2)"}</definedName>
    <definedName name="ccccccccc" hidden="1">{#N/A,#N/A,FALSE,"Sheet1 (2)"}</definedName>
    <definedName name="cd" localSheetId="0" hidden="1">{#N/A,#N/A,FALSE,"MALİTABLOLAR"}</definedName>
    <definedName name="cd" hidden="1">{#N/A,#N/A,FALSE,"MALİTABLOLAR"}</definedName>
    <definedName name="cdd" localSheetId="0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localSheetId="0" hidden="1">{#N/A,#N/A,FALSE,"Sheet1 (2)"}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localSheetId="0" hidden="1">{#N/A,#N/A,FALSE,"Sheet1 (2)"}</definedName>
    <definedName name="ÇAYKEYFİ" hidden="1">{#N/A,#N/A,FALSE,"Sheet1 (2)"}</definedName>
    <definedName name="çç" localSheetId="0" hidden="1">{#N/A,#N/A,FALSE,"Sheet1 (2)"}</definedName>
    <definedName name="çç" localSheetId="3" hidden="1">{#N/A,#N/A,FALSE,"Sheet1 (2)"}</definedName>
    <definedName name="çç" hidden="1">{#N/A,#N/A,FALSE,"Sheet1 (2)"}</definedName>
    <definedName name="d" localSheetId="0" hidden="1">{#N/A,#N/A,FALSE,"Sheet1 (2)"}</definedName>
    <definedName name="d" hidden="1">{#N/A,#N/A,FALSE,"Sheet1 (2)"}</definedName>
    <definedName name="daa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localSheetId="0" hidden="1">{#N/A,#N/A,FALSE,"MALİTABLOLAR"}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DD" localSheetId="0" hidden="1">{#N/A,#N/A,FALSE,"Sheet1 (2)"}</definedName>
    <definedName name="DDD" localSheetId="3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localSheetId="0" hidden="1">{#N/A,#N/A,FALSE,"Sheet1 (2)"}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localSheetId="0" hidden="1">{#N/A,#N/A,FALSE,"Sheet1 (2)"}</definedName>
    <definedName name="deergfdsd" hidden="1">{#N/A,#N/A,FALSE,"Sheet1 (2)"}</definedName>
    <definedName name="DEGI">#REF!</definedName>
    <definedName name="DENİZBANK" localSheetId="0" hidden="1">{#N/A,#N/A,FALSE,"Sheet1 (2)"}</definedName>
    <definedName name="DENİZBANK" localSheetId="3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0" hidden="1">{#N/A,#N/A,FALSE,"Sheet1 (2)"}</definedName>
    <definedName name="DERGI" localSheetId="3" hidden="1">{#N/A,#N/A,FALSE,"Sheet1 (2)"}</definedName>
    <definedName name="DERGI" hidden="1">{#N/A,#N/A,FALSE,"Sheet1 (2)"}</definedName>
    <definedName name="DERGI1" localSheetId="0" hidden="1">{#N/A,#N/A,FALSE,"Sheet1 (2)"}</definedName>
    <definedName name="DERGI1" hidden="1">{#N/A,#N/A,FALSE,"Sheet1 (2)"}</definedName>
    <definedName name="DERGİ" localSheetId="0" hidden="1">{#N/A,#N/A,FALSE,"Sheet1 (2)"}</definedName>
    <definedName name="DERGİ" hidden="1">{#N/A,#N/A,FALSE,"Sheet1 (2)"}</definedName>
    <definedName name="dersdg" localSheetId="0" hidden="1">{#N/A,#N/A,FALSE,"Sheet1 (2)"}</definedName>
    <definedName name="dersdg" hidden="1">{#N/A,#N/A,FALSE,"Sheet1 (2)"}</definedName>
    <definedName name="derwr" localSheetId="0" hidden="1">{#N/A,#N/A,FALSE,"Sheet1 (2)"}</definedName>
    <definedName name="derwr" hidden="1">{#N/A,#N/A,FALSE,"Sheet1 (2)"}</definedName>
    <definedName name="des" localSheetId="0" hidden="1">{#N/A,#N/A,FALSE,"Sheet1 (2)"}</definedName>
    <definedName name="des" hidden="1">{#N/A,#N/A,FALSE,"Sheet1 (2)"}</definedName>
    <definedName name="df">#REF!</definedName>
    <definedName name="dfa" localSheetId="0" hidden="1">{#N/A,#N/A,FALSE,"Sheet1 (2)"}</definedName>
    <definedName name="dfa" hidden="1">{#N/A,#N/A,FALSE,"Sheet1 (2)"}</definedName>
    <definedName name="DFDF" localSheetId="0">'Özet Tablo '!DFDF</definedName>
    <definedName name="DFDF">[0]!DFDF</definedName>
    <definedName name="dfdg" localSheetId="0" hidden="1">{#N/A,#N/A,FALSE,"Sheet1 (2)"}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localSheetId="0" hidden="1">{#N/A,#N/A,FALSE,"Sheet1 (2)"}</definedName>
    <definedName name="dfgfgtyy" hidden="1">{#N/A,#N/A,FALSE,"Sheet1 (2)"}</definedName>
    <definedName name="dfgftr" localSheetId="0" hidden="1">{#N/A,#N/A,FALSE,"Sheet1 (2)"}</definedName>
    <definedName name="dfgftr" hidden="1">{#N/A,#N/A,FALSE,"Sheet1 (2)"}</definedName>
    <definedName name="dfggg" localSheetId="0" hidden="1">{#N/A,#N/A,FALSE,"Sheet1 (2)"}</definedName>
    <definedName name="dfggg" hidden="1">{#N/A,#N/A,FALSE,"Sheet1 (2)"}</definedName>
    <definedName name="dfggh" localSheetId="0" hidden="1">{#N/A,#N/A,FALSE,"Sheet1 (2)"}</definedName>
    <definedName name="dfggh" hidden="1">{#N/A,#N/A,FALSE,"Sheet1 (2)"}</definedName>
    <definedName name="dfhf" hidden="1">#REF!</definedName>
    <definedName name="dfhggh" localSheetId="0" hidden="1">{#N/A,#N/A,FALSE,"Sheet1 (2)"}</definedName>
    <definedName name="dfhggh" hidden="1">{#N/A,#N/A,FALSE,"Sheet1 (2)"}</definedName>
    <definedName name="dfr" localSheetId="0">'Özet Tablo '!dfr</definedName>
    <definedName name="dfr">[0]!dfr</definedName>
    <definedName name="dfs">#REF!</definedName>
    <definedName name="dfsd">#REF!</definedName>
    <definedName name="dfsda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localSheetId="0" hidden="1">{#N/A,#N/A,FALSE,"Sheet1 (2)"}</definedName>
    <definedName name="dfsdf" hidden="1">{#N/A,#N/A,FALSE,"Sheet1 (2)"}</definedName>
    <definedName name="DFSSFSDSS" localSheetId="0" hidden="1">{#N/A,#N/A,FALSE,"Sheet1 (2)"}</definedName>
    <definedName name="DFSSFSDSS" localSheetId="3" hidden="1">{#N/A,#N/A,FALSE,"Sheet1 (2)"}</definedName>
    <definedName name="DFSSFSDSS" hidden="1">{#N/A,#N/A,FALSE,"Sheet1 (2)"}</definedName>
    <definedName name="dftertyeyh" localSheetId="0" hidden="1">{#N/A,#N/A,FALSE,"Sheet1 (2)"}</definedName>
    <definedName name="dftertyeyh" hidden="1">{#N/A,#N/A,FALSE,"Sheet1 (2)"}</definedName>
    <definedName name="dfvçf" localSheetId="0" hidden="1">{#N/A,#N/A,FALSE,"Sheet1 (2)"}</definedName>
    <definedName name="dfvçf" hidden="1">{#N/A,#N/A,FALSE,"Sheet1 (2)"}</definedName>
    <definedName name="dfwaef" localSheetId="0" hidden="1">{#N/A,#N/A,FALSE,"Sheet1 (2)"}</definedName>
    <definedName name="dfwaef" hidden="1">{#N/A,#N/A,FALSE,"Sheet1 (2)"}</definedName>
    <definedName name="dgh" localSheetId="0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localSheetId="0" hidden="1">{#N/A,#N/A,FALSE,"Sheet1 (2)"}</definedName>
    <definedName name="diji" hidden="1">{#N/A,#N/A,FALSE,"Sheet1 (2)"}</definedName>
    <definedName name="Dimensions">#REF!</definedName>
    <definedName name="DİPNOTLAR" localSheetId="0" hidden="1">{#N/A,#N/A,FALSE,"MALİTABLOLAR";#N/A,#N/A,FALSE,"PERS MSRMRZ";#N/A,#N/A,FALSE,"MALİTABLOLAR";#N/A,#N/A,FALSE,"İskonto"}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localSheetId="0" hidden="1">{#N/A,#N/A,FALSE,"MALİTABLOLAR"}</definedName>
    <definedName name="DOLCI" hidden="1">{#N/A,#N/A,FALSE,"MALİTABLOLAR"}</definedName>
    <definedName name="DOLCIA" localSheetId="0" hidden="1">{#N/A,#N/A,FALSE,"MALİTABLOLAR"}</definedName>
    <definedName name="DOLCIA" hidden="1">{#N/A,#N/A,FALSE,"MALİTABLOLAR"}</definedName>
    <definedName name="Dönem">#REF!</definedName>
    <definedName name="dsd" localSheetId="0" hidden="1">{#N/A,#N/A,FALSE,"Sheet1 (2)"}</definedName>
    <definedName name="dsd" hidden="1">{#N/A,#N/A,FALSE,"Sheet1 (2)"}</definedName>
    <definedName name="DSF" localSheetId="0" hidden="1">{#N/A,#N/A,FALSE,"Sheet1 (2)"}</definedName>
    <definedName name="DSF" hidden="1">{#N/A,#N/A,FALSE,"Sheet1 (2)"}</definedName>
    <definedName name="DSGSDH" localSheetId="0" hidden="1">{#N/A,#N/A,FALSE,"Sheet1 (2)"}</definedName>
    <definedName name="DSGSDH" hidden="1">{#N/A,#N/A,FALSE,"Sheet1 (2)"}</definedName>
    <definedName name="dthtn" localSheetId="0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0" hidden="1">{#N/A,#N/A,FALSE,"Sheet1 (2)"}</definedName>
    <definedName name="e" localSheetId="3" hidden="1">{#N/A,#N/A,FALSE,"Sheet1 (2)"}</definedName>
    <definedName name="e" hidden="1">{#N/A,#N/A,FALSE,"Sheet1 (2)"}</definedName>
    <definedName name="eaeıi" localSheetId="0" hidden="1">{#N/A,#N/A,FALSE,"Sheet1 (2)"}</definedName>
    <definedName name="eaeıi" localSheetId="3" hidden="1">{#N/A,#N/A,FALSE,"Sheet1 (2)"}</definedName>
    <definedName name="eaeıi" hidden="1">{#N/A,#N/A,FALSE,"Sheet1 (2)"}</definedName>
    <definedName name="ea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localSheetId="0" hidden="1">{#N/A,#N/A,FALSE,"Sheet1 (2)"}</definedName>
    <definedName name="EE" hidden="1">{#N/A,#N/A,FALSE,"Sheet1 (2)"}</definedName>
    <definedName name="EEE" localSheetId="0" hidden="1">{#N/A,#N/A,FALSE,"Sheet1 (2)"}</definedName>
    <definedName name="EEE" hidden="1">{#N/A,#N/A,FALSE,"Sheet1 (2)"}</definedName>
    <definedName name="EEEE" localSheetId="0" hidden="1">{#N/A,#N/A,FALSE,"Sheet1 (2)"}</definedName>
    <definedName name="EEEE" localSheetId="3" hidden="1">{#N/A,#N/A,FALSE,"Sheet1 (2)"}</definedName>
    <definedName name="EEEE" hidden="1">{#N/A,#N/A,FALSE,"Sheet1 (2)"}</definedName>
    <definedName name="EEEEE" localSheetId="0" hidden="1">{#N/A,#N/A,FALSE,"Sheet1 (2)"}</definedName>
    <definedName name="EEEEE" hidden="1">{#N/A,#N/A,FALSE,"Sheet1 (2)"}</definedName>
    <definedName name="EEEEEE" localSheetId="0" hidden="1">{#N/A,#N/A,FALSE,"Sheet1 (2)"}</definedName>
    <definedName name="EEEEEE" localSheetId="3" hidden="1">{#N/A,#N/A,FALSE,"Sheet1 (2)"}</definedName>
    <definedName name="EEEEEE" hidden="1">{#N/A,#N/A,FALSE,"Sheet1 (2)"}</definedName>
    <definedName name="eeeeeeee">#REF!</definedName>
    <definedName name="EEEEEEEEEEE" localSheetId="0" hidden="1">{#N/A,#N/A,FALSE,"Sheet1 (2)"}</definedName>
    <definedName name="EEEEEEEEEEE" hidden="1">{#N/A,#N/A,FALSE,"Sheet1 (2)"}</definedName>
    <definedName name="eeeeeeeeeeeeee" localSheetId="0" hidden="1">{#N/A,#N/A,FALSE,"Sheet1 (2)"}</definedName>
    <definedName name="eeeeeeeeeeeeee" hidden="1">{#N/A,#N/A,FALSE,"Sheet1 (2)"}</definedName>
    <definedName name="elif" localSheetId="0" hidden="1">{#N/A,#N/A,FALSE,"MALİTABLOLAR"}</definedName>
    <definedName name="elif" hidden="1">{#N/A,#N/A,FALSE,"MALİTABLOLAR"}</definedName>
    <definedName name="elv" localSheetId="0" hidden="1">{#N/A,#N/A,FALSE,"MALİTABLOLAR"}</definedName>
    <definedName name="elv" hidden="1">{#N/A,#N/A,FALSE,"MALİTABLOLAR"}</definedName>
    <definedName name="elvan" localSheetId="0" hidden="1">{#N/A,#N/A,FALSE,"MALİTABLOLAR"}</definedName>
    <definedName name="elvan" hidden="1">{#N/A,#N/A,FALSE,"MALİTABLOLAR"}</definedName>
    <definedName name="emreee" localSheetId="0" hidden="1">{#N/A,#N/A,FALSE,"Sheet1 (2)"}</definedName>
    <definedName name="emreee" hidden="1">{#N/A,#N/A,FALSE,"Sheet1 (2)"}</definedName>
    <definedName name="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localSheetId="0" hidden="1">{#N/A,#N/A,FALSE,"Sheet1 (2)"}</definedName>
    <definedName name="er5w454ty" hidden="1">{#N/A,#N/A,FALSE,"Sheet1 (2)"}</definedName>
    <definedName name="era" localSheetId="0" hidden="1">{#N/A,#N/A,FALSE,"Sheet1 (2)"}</definedName>
    <definedName name="era" hidden="1">{#N/A,#N/A,FALSE,"Sheet1 (2)"}</definedName>
    <definedName name="ERAY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localSheetId="0" hidden="1">{#N/A,#N/A,FALSE,"Sheet1 (2)"}</definedName>
    <definedName name="eree" hidden="1">{#N/A,#N/A,FALSE,"Sheet1 (2)"}</definedName>
    <definedName name="erer" localSheetId="0" hidden="1">{#N/A,#N/A,FALSE,"Sheet1 (2)"}</definedName>
    <definedName name="erer" hidden="1">{#N/A,#N/A,FALSE,"Sheet1 (2)"}</definedName>
    <definedName name="erere" localSheetId="0" hidden="1">{#N/A,#N/A,FALSE,"Sheet1 (2)"}</definedName>
    <definedName name="erere" hidden="1">{#N/A,#N/A,FALSE,"Sheet1 (2)"}</definedName>
    <definedName name="erqer" localSheetId="0" hidden="1">{#N/A,#N/A,FALSE,"Sheet1 (2)"}</definedName>
    <definedName name="erqer" hidden="1">{#N/A,#N/A,FALSE,"Sheet1 (2)"}</definedName>
    <definedName name="ertyjhnfd" localSheetId="0" hidden="1">{#N/A,#N/A,FALSE,"Sheet1 (2)"}</definedName>
    <definedName name="ertyjhnfd" hidden="1">{#N/A,#N/A,FALSE,"Sheet1 (2)"}</definedName>
    <definedName name="erwert" localSheetId="0" hidden="1">{#N/A,#N/A,FALSE,"Sheet1 (2)"}</definedName>
    <definedName name="erwert" hidden="1">{#N/A,#N/A,FALSE,"Sheet1 (2)"}</definedName>
    <definedName name="eski" localSheetId="0" hidden="1">{#N/A,#N/A,FALSE,"Sheet1 (2)"}</definedName>
    <definedName name="eski" localSheetId="3" hidden="1">{#N/A,#N/A,FALSE,"Sheet1 (2)"}</definedName>
    <definedName name="eski" hidden="1">{#N/A,#N/A,FALSE,"Sheet1 (2)"}</definedName>
    <definedName name="etr5ytyty" localSheetId="0" hidden="1">{#N/A,#N/A,FALSE,"Sheet1 (2)"}</definedName>
    <definedName name="etr5ytyty" hidden="1">{#N/A,#N/A,FALSE,"Sheet1 (2)"}</definedName>
    <definedName name="etrwegt" localSheetId="0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localSheetId="0" hidden="1">{#N/A,#N/A,FALSE,"Sheet1 (2)"}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localSheetId="0" hidden="1">{#N/A,#N/A,FALSE,"Sheet1 (2)"}</definedName>
    <definedName name="FASF" hidden="1">{#N/A,#N/A,FALSE,"Sheet1 (2)"}</definedName>
    <definedName name="fcb" localSheetId="0">'Özet Tablo '!fcb</definedName>
    <definedName name="fcb">[0]!fcb</definedName>
    <definedName name="FCode" hidden="1">#REF!</definedName>
    <definedName name="fcparnatur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localSheetId="0" hidden="1">{#N/A,#N/A,FALSE,"Sheet1 (2)"}</definedName>
    <definedName name="fdgh" hidden="1">{#N/A,#N/A,FALSE,"Sheet1 (2)"}</definedName>
    <definedName name="fdsg" localSheetId="0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0" hidden="1">{#N/A,#N/A,FALSE,"Sheet1 (2)"}</definedName>
    <definedName name="fersda" localSheetId="3" hidden="1">{#N/A,#N/A,FALSE,"Sheet1 (2)"}</definedName>
    <definedName name="fersda" hidden="1">{#N/A,#N/A,FALSE,"Sheet1 (2)"}</definedName>
    <definedName name="fert" localSheetId="0">'Özet Tablo '!fert</definedName>
    <definedName name="fert">[0]!fert</definedName>
    <definedName name="feveejerg" localSheetId="0" hidden="1">{#N/A,#N/A,FALSE,"Sheet1 (2)"}</definedName>
    <definedName name="feveejerg" hidden="1">{#N/A,#N/A,FALSE,"Sheet1 (2)"}</definedName>
    <definedName name="ff" localSheetId="0" hidden="1">{#N/A,#N/A,FALSE,"Sheet1 (2)"}</definedName>
    <definedName name="ff" hidden="1">{#N/A,#N/A,FALSE,"Sheet1 (2)"}</definedName>
    <definedName name="fff" localSheetId="0" hidden="1">{#N/A,#N/A,FALSE,"Sheet1 (2)"}</definedName>
    <definedName name="fff" localSheetId="3" hidden="1">{#N/A,#N/A,FALSE,"Sheet1 (2)"}</definedName>
    <definedName name="fff" hidden="1">{#N/A,#N/A,FALSE,"Sheet1 (2)"}</definedName>
    <definedName name="FFFF" localSheetId="0" hidden="1">{#N/A,#N/A,FALSE,"Sheet1 (2)"}</definedName>
    <definedName name="FFFF" localSheetId="3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 localSheetId="0">'Özet Tablo '!FG</definedName>
    <definedName name="FG">[0]!FG</definedName>
    <definedName name="fgdhh" localSheetId="0" hidden="1">{#N/A,#N/A,FALSE,"Sheet1 (2)"}</definedName>
    <definedName name="fgdhh" hidden="1">{#N/A,#N/A,FALSE,"Sheet1 (2)"}</definedName>
    <definedName name="fgfefghtjty" localSheetId="0" hidden="1">{#N/A,#N/A,FALSE,"Sheet1 (2)"}</definedName>
    <definedName name="fgfefghtjty" hidden="1">{#N/A,#N/A,FALSE,"Sheet1 (2)"}</definedName>
    <definedName name="fghf" localSheetId="0" hidden="1">{#N/A,#N/A,FALSE,"Sheet1 (2)"}</definedName>
    <definedName name="fghf" hidden="1">{#N/A,#N/A,FALSE,"Sheet1 (2)"}</definedName>
    <definedName name="fghfgh" hidden="1">#REF!</definedName>
    <definedName name="fgn" localSheetId="0" hidden="1">{#N/A,#N/A,FALSE,"Sheet1 (2)"}</definedName>
    <definedName name="fgn" localSheetId="3" hidden="1">{#N/A,#N/A,FALSE,"Sheet1 (2)"}</definedName>
    <definedName name="fgn" hidden="1">{#N/A,#N/A,FALSE,"Sheet1 (2)"}</definedName>
    <definedName name="fgrwgygh" localSheetId="0" hidden="1">{#N/A,#N/A,FALSE,"Sheet1 (2)"}</definedName>
    <definedName name="fgrwgygh" hidden="1">{#N/A,#N/A,FALSE,"Sheet1 (2)"}</definedName>
    <definedName name="fhghg" localSheetId="0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localSheetId="0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0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0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0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0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0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0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0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0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0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0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0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0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0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localSheetId="0" hidden="1">{#N/A,#N/A,FALSE,"Sheet1 (2)"}</definedName>
    <definedName name="FJKFNVBVB" hidden="1">{#N/A,#N/A,FALSE,"Sheet1 (2)"}</definedName>
    <definedName name="FLASH">#REF!</definedName>
    <definedName name="FLASHVW">#REF!</definedName>
    <definedName name="FLOWCHART" localSheetId="0" hidden="1">{#N/A,#N/A,FALSE,"Sheet1 (2)"}</definedName>
    <definedName name="FLOWCHART" hidden="1">{#N/A,#N/A,FALSE,"Sheet1 (2)"}</definedName>
    <definedName name="Form.Quota" localSheetId="3">IF(#REF!=0,0,#REF!*#REF!/#REF!)</definedName>
    <definedName name="Form.Quota">IF(#REF!=0,0,#REF!*#REF!/#REF!)</definedName>
    <definedName name="FORMAT">[15]Format!$A$1:$A$65536</definedName>
    <definedName name="frte" localSheetId="0">'Özet Tablo '!frte</definedName>
    <definedName name="frte">[0]!frte</definedName>
    <definedName name="ftc" localSheetId="0">'Özet Tablo '!ftc</definedName>
    <definedName name="ftc">[0]!ftc</definedName>
    <definedName name="g" localSheetId="0" hidden="1">{#N/A,#N/A,FALSE,"Sheet1 (2)"}</definedName>
    <definedName name="g" hidden="1">{#N/A,#N/A,FALSE,"Sheet1 (2)"}</definedName>
    <definedName name="gadfg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0" hidden="1">{"payback",#N/A,FALSE,"Wirtschaftlichkeitsberechnung"}</definedName>
    <definedName name="gaga" hidden="1">{"payback",#N/A,FALSE,"Wirtschaftlichkeitsberechnung"}</definedName>
    <definedName name="gag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localSheetId="0" hidden="1">{#N/A,#N/A,FALSE,"Sheet1 (2)"}</definedName>
    <definedName name="gasdg" hidden="1">{#N/A,#N/A,FALSE,"Sheet1 (2)"}</definedName>
    <definedName name="gasdgas" localSheetId="0" hidden="1">{"payback2",#N/A,FALSE,"Wirtschaftlichkeitsberechnung"}</definedName>
    <definedName name="gasdgas" hidden="1">{"payback2",#N/A,FALSE,"Wirtschaftlichkeitsberechnung"}</definedName>
    <definedName name="gasg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localSheetId="0" hidden="1">{#N/A,#N/A,FALSE,"Sheet1 (2)"}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localSheetId="0" hidden="1">{#N/A,#N/A,FALSE,"Sheet1 (2)"}</definedName>
    <definedName name="GAZETE" hidden="1">{#N/A,#N/A,FALSE,"Sheet1 (2)"}</definedName>
    <definedName name="gazete1" localSheetId="0" hidden="1">{#N/A,#N/A,FALSE,"Sheet1 (2)"}</definedName>
    <definedName name="gazete1" hidden="1">{#N/A,#N/A,FALSE,"Sheet1 (2)"}</definedName>
    <definedName name="gazete2" localSheetId="0" hidden="1">{#N/A,#N/A,FALSE,"Sheet1 (2)"}</definedName>
    <definedName name="gazete2" hidden="1">{#N/A,#N/A,FALSE,"Sheet1 (2)"}</definedName>
    <definedName name="gazetecik" localSheetId="0" hidden="1">{#N/A,#N/A,FALSE,"Sheet1 (2)"}</definedName>
    <definedName name="gazetecik" hidden="1">{#N/A,#N/A,FALSE,"Sheet1 (2)"}</definedName>
    <definedName name="gdfgdhh" localSheetId="0" hidden="1">{#N/A,#N/A,FALSE,"Sheet1 (2)"}</definedName>
    <definedName name="gdfgdhh" hidden="1">{#N/A,#N/A,FALSE,"Sheet1 (2)"}</definedName>
    <definedName name="gefge" localSheetId="0" hidden="1">{#N/A,#N/A,FALSE,"Sheet1 (2)"}</definedName>
    <definedName name="gefge" hidden="1">{#N/A,#N/A,FALSE,"Sheet1 (2)"}</definedName>
    <definedName name="Genc">#REF!</definedName>
    <definedName name="gf" localSheetId="0" hidden="1">{#N/A,#N/A,FALSE,"Sheet1 (2)"}</definedName>
    <definedName name="gf" hidden="1">{#N/A,#N/A,FALSE,"Sheet1 (2)"}</definedName>
    <definedName name="gfag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0" hidden="1">{#N/A,#N/A,FALSE,"Sheet1 (2)"}</definedName>
    <definedName name="gfdşlkgşl" localSheetId="3" hidden="1">{#N/A,#N/A,FALSE,"Sheet1 (2)"}</definedName>
    <definedName name="gfdşlkgşl" hidden="1">{#N/A,#N/A,FALSE,"Sheet1 (2)"}</definedName>
    <definedName name="gfeyhth" localSheetId="0" hidden="1">{#N/A,#N/A,FALSE,"Sheet1 (2)"}</definedName>
    <definedName name="gfeyhth" hidden="1">{#N/A,#N/A,FALSE,"Sheet1 (2)"}</definedName>
    <definedName name="gfgfa" localSheetId="0" hidden="1">{"payback",#N/A,FALSE,"Wirtschaftlichkeitsberechnung"}</definedName>
    <definedName name="gfgfa" hidden="1">{"payback",#N/A,FALSE,"Wirtschaftlichkeitsberechnung"}</definedName>
    <definedName name="gfhh" localSheetId="0" hidden="1">{#N/A,#N/A,FALSE,"Sheet1 (2)"}</definedName>
    <definedName name="gfhh" hidden="1">{#N/A,#N/A,FALSE,"Sheet1 (2)"}</definedName>
    <definedName name="gfsgg" localSheetId="0" hidden="1">{#N/A,#N/A,FALSE,"Sheet1 (2)"}</definedName>
    <definedName name="gfsgg" hidden="1">{#N/A,#N/A,FALSE,"Sheet1 (2)"}</definedName>
    <definedName name="GFTED">#REF!</definedName>
    <definedName name="GG" localSheetId="0" hidden="1">{#N/A,#N/A,FALSE,"Sheet1 (2)"}</definedName>
    <definedName name="GG" hidden="1">{#N/A,#N/A,FALSE,"Sheet1 (2)"}</definedName>
    <definedName name="ggg" localSheetId="0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localSheetId="0" hidden="1">{#N/A,#N/A,FALSE,"Sheet1 (2)"}</definedName>
    <definedName name="ggggggdgddd" hidden="1">{#N/A,#N/A,FALSE,"Sheet1 (2)"}</definedName>
    <definedName name="GGGGT">#REF!</definedName>
    <definedName name="ghdhyh" localSheetId="0" hidden="1">{#N/A,#N/A,FALSE,"Sheet1 (2)"}</definedName>
    <definedName name="ghdhyh" hidden="1">{#N/A,#N/A,FALSE,"Sheet1 (2)"}</definedName>
    <definedName name="ghhhjfj" localSheetId="0" hidden="1">{#N/A,#N/A,FALSE,"Sheet1 (2)"}</definedName>
    <definedName name="ghhhjfj" hidden="1">{#N/A,#N/A,FALSE,"Sheet1 (2)"}</definedName>
    <definedName name="GHJ" localSheetId="0" hidden="1">{#N/A,#N/A,FALSE,"Sheet1 (2)"}</definedName>
    <definedName name="GHJ" hidden="1">{#N/A,#N/A,FALSE,"Sheet1 (2)"}</definedName>
    <definedName name="glöflşfl" localSheetId="0" hidden="1">{#N/A,#N/A,FALSE,"Sheet1 (2)"}</definedName>
    <definedName name="glöflşfl" hidden="1">{#N/A,#N/A,FALSE,"Sheet1 (2)"}</definedName>
    <definedName name="got">#REF!</definedName>
    <definedName name="GRP">#REF!</definedName>
    <definedName name="grtre" localSheetId="0">'Özet Tablo '!grtre</definedName>
    <definedName name="grtre">[0]!grtre</definedName>
    <definedName name="GRUP">#REF!</definedName>
    <definedName name="gsd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localSheetId="0" hidden="1">{#N/A,#N/A,FALSE,"Sheet1 (2)"}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localSheetId="0" hidden="1">{#N/A,#N/A,FALSE,"Sheet1 (2)"}</definedName>
    <definedName name="haziran" hidden="1">{#N/A,#N/A,FALSE,"Sheet1 (2)"}</definedName>
    <definedName name="hbfghh" localSheetId="0" hidden="1">{#N/A,#N/A,FALSE,"Sheet1 (2)"}</definedName>
    <definedName name="hbfghh" localSheetId="3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localSheetId="0" hidden="1">{#N/A,#N/A,FALSE,"Sheet1 (2)"}</definedName>
    <definedName name="hfjhjh" hidden="1">{#N/A,#N/A,FALSE,"Sheet1 (2)"}</definedName>
    <definedName name="HFSG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0" hidden="1">{#N/A,#N/A,FALSE,"Sheet1 (2)"}</definedName>
    <definedName name="HHH" localSheetId="3" hidden="1">{#N/A,#N/A,FALSE,"Sheet1 (2)"}</definedName>
    <definedName name="HHH" hidden="1">{#N/A,#N/A,FALSE,"Sheet1 (2)"}</definedName>
    <definedName name="HiddenRows" hidden="1">#REF!</definedName>
    <definedName name="hjgkjk" localSheetId="0" hidden="1">{#N/A,#N/A,FALSE,"Sheet1 (2)"}</definedName>
    <definedName name="hjgkjk" hidden="1">{#N/A,#N/A,FALSE,"Sheet1 (2)"}</definedName>
    <definedName name="hjhjh">#REF!</definedName>
    <definedName name="hjhkhk" localSheetId="0" hidden="1">{#N/A,#N/A,FALSE,"Sheet1 (2)"}</definedName>
    <definedName name="hjhkhk" hidden="1">{#N/A,#N/A,FALSE,"Sheet1 (2)"}</definedName>
    <definedName name="HJUI" localSheetId="0" hidden="1">{#N/A,#N/A,FALSE,"Sheet1 (2)"}</definedName>
    <definedName name="HJUI" localSheetId="3" hidden="1">{#N/A,#N/A,FALSE,"Sheet1 (2)"}</definedName>
    <definedName name="HJUI" hidden="1">{#N/A,#N/A,FALSE,"Sheet1 (2)"}</definedName>
    <definedName name="hjvgjöh" hidden="1">#REF!</definedName>
    <definedName name="hlktdskgf" localSheetId="0" hidden="1">{#N/A,#N/A,FALSE,"Sheet1 (2)"}</definedName>
    <definedName name="hlktdskgf" hidden="1">{#N/A,#N/A,FALSE,"Sheet1 (2)"}</definedName>
    <definedName name="hm" localSheetId="0">'Özet Tablo '!hm</definedName>
    <definedName name="hm">[0]!hm</definedName>
    <definedName name="hsdf" localSheetId="0" hidden="1">{#N/A,#N/A,FALSE,"Sheet1 (2)"}</definedName>
    <definedName name="hsdf" hidden="1">{#N/A,#N/A,FALSE,"Sheet1 (2)"}</definedName>
    <definedName name="HT">#REF!</definedName>
    <definedName name="HTML_CodePage">1254</definedName>
    <definedName name="HTML_Control" localSheetId="0">{"'franchisee'!$A$39:$I$70"}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localSheetId="0" hidden="1">{#N/A,#N/A,FALSE,"Sheet1 (2)"}</definedName>
    <definedName name="htytyuu" hidden="1">{#N/A,#N/A,FALSE,"Sheet1 (2)"}</definedName>
    <definedName name="ı" localSheetId="0" hidden="1">{#N/A,#N/A,FALSE,"Sheet1 (2)"}</definedName>
    <definedName name="ı" localSheetId="3" hidden="1">{#N/A,#N/A,FALSE,"Sheet1 (2)"}</definedName>
    <definedName name="ı" hidden="1">{#N/A,#N/A,FALSE,"Sheet1 (2)"}</definedName>
    <definedName name="ıhıoh" localSheetId="0" hidden="1">{#N/A,#N/A,FALSE,"Sheet1 (2)"}</definedName>
    <definedName name="ıhıoh" hidden="1">{#N/A,#N/A,FALSE,"Sheet1 (2)"}</definedName>
    <definedName name="ııı" localSheetId="0" hidden="1">{#N/A,#N/A,FALSE,"Sheet1 (2)"}</definedName>
    <definedName name="ııı" hidden="1">{#N/A,#N/A,FALSE,"Sheet1 (2)"}</definedName>
    <definedName name="IJ" localSheetId="0" hidden="1">{#N/A,#N/A,FALSE,"Sheet1 (2)"}</definedName>
    <definedName name="IJ" hidden="1">{#N/A,#N/A,FALSE,"Sheet1 (2)"}</definedName>
    <definedName name="ıkjjjhjnghy" localSheetId="0" hidden="1">{#N/A,#N/A,FALSE,"Sheet1 (2)"}</definedName>
    <definedName name="ıkjjjhjnghy" hidden="1">{#N/A,#N/A,FALSE,"Sheet1 (2)"}</definedName>
    <definedName name="IL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localSheetId="0" hidden="1">{#N/A,#N/A,FALSE,"Sheet1 (2)"}</definedName>
    <definedName name="ıopıop" hidden="1">{#N/A,#N/A,FALSE,"Sheet1 (2)"}</definedName>
    <definedName name="ıpuuu" localSheetId="0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localSheetId="0" hidden="1">{#N/A,#N/A,FALSE,"Sheet1 (2)"}</definedName>
    <definedName name="istbb" hidden="1">{#N/A,#N/A,FALSE,"Sheet1 (2)"}</definedName>
    <definedName name="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localSheetId="0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0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0" hidden="1">{#N/A,#N/A,FALSE,"Sheet1 (2)"}</definedName>
    <definedName name="JJJ" localSheetId="3" hidden="1">{#N/A,#N/A,FALSE,"Sheet1 (2)"}</definedName>
    <definedName name="JJJ" hidden="1">{#N/A,#N/A,FALSE,"Sheet1 (2)"}</definedName>
    <definedName name="jkdsjhjsncd" localSheetId="0" hidden="1">{#N/A,#N/A,FALSE,"Sheet1 (2)"}</definedName>
    <definedName name="jkdsjhjsncd" hidden="1">{#N/A,#N/A,FALSE,"Sheet1 (2)"}</definedName>
    <definedName name="JKIO" localSheetId="0" hidden="1">{#N/A,#N/A,FALSE,"Sheet1 (2)"}</definedName>
    <definedName name="JKIO" localSheetId="3" hidden="1">{#N/A,#N/A,FALSE,"Sheet1 (2)"}</definedName>
    <definedName name="JKIO" hidden="1">{#N/A,#N/A,FALSE,"Sheet1 (2)"}</definedName>
    <definedName name="jkl" localSheetId="0" hidden="1">{#N/A,#N/A,FALSE,"Sheet1 (2)"}</definedName>
    <definedName name="jkl" hidden="1">{#N/A,#N/A,FALSE,"Sheet1 (2)"}</definedName>
    <definedName name="JOYFM_S1">#REF!</definedName>
    <definedName name="jsdjsdjd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0" hidden="1">{#N/A,#N/A,FALSE,"Sheet1 (2)"}</definedName>
    <definedName name="JUO" localSheetId="3" hidden="1">{#N/A,#N/A,FALSE,"Sheet1 (2)"}</definedName>
    <definedName name="JUO" hidden="1">{#N/A,#N/A,FALSE,"Sheet1 (2)"}</definedName>
    <definedName name="JXNHXBN" localSheetId="0" hidden="1">{#N/A,#N/A,FALSE,"Sheet1 (2)"}</definedName>
    <definedName name="JXNHXBN" hidden="1">{#N/A,#N/A,FALSE,"Sheet1 (2)"}</definedName>
    <definedName name="k" localSheetId="0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localSheetId="0" hidden="1">{#N/A,#N/A,FALSE,"Sheet1 (2)"}</definedName>
    <definedName name="kdkd" hidden="1">{#N/A,#N/A,FALSE,"Sheet1 (2)"}</definedName>
    <definedName name="KDVW">#REF!</definedName>
    <definedName name="kenan" localSheetId="0" hidden="1">{#N/A,#N/A,FALSE,"Sheet1 (2)"}</definedName>
    <definedName name="kenan" hidden="1">{#N/A,#N/A,FALSE,"Sheet1 (2)"}</definedName>
    <definedName name="khjklşhl" localSheetId="0" hidden="1">{#N/A,#N/A,FALSE,"Sheet1 (2)"}</definedName>
    <definedName name="khjklşhl" hidden="1">{#N/A,#N/A,FALSE,"Sheet1 (2)"}</definedName>
    <definedName name="KISSTV">#REF!</definedName>
    <definedName name="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localSheetId="0" hidden="1">{#N/A,#N/A,FALSE,"Sheet1 (2)"}</definedName>
    <definedName name="KJH" hidden="1">{#N/A,#N/A,FALSE,"Sheet1 (2)"}</definedName>
    <definedName name="kk" localSheetId="0" hidden="1">{#N/A,#N/A,FALSE,"Sheet1 (2)"}</definedName>
    <definedName name="kk" hidden="1">{#N/A,#N/A,FALSE,"Sheet1 (2)"}</definedName>
    <definedName name="KKKK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localSheetId="0" hidden="1">{#N/A,#N/A,FALSE,"MALİTABLOLAR";#N/A,#N/A,FALSE,"PERS MSRMRZ";#N/A,#N/A,FALSE,"MALİTABLOLAR";#N/A,#N/A,FALSE,"İskonto"}</definedName>
    <definedName name="kl" hidden="1">{#N/A,#N/A,FALSE,"MALİTABLOLAR";#N/A,#N/A,FALSE,"PERS MSRMRZ";#N/A,#N/A,FALSE,"MALİTABLOLAR";#N/A,#N/A,FALSE,"İskonto"}</definedName>
    <definedName name="kljkl" localSheetId="0" hidden="1">{#N/A,#N/A,FALSE,"Sheet1 (2)"}</definedName>
    <definedName name="kljkl" hidden="1">{#N/A,#N/A,FALSE,"Sheet1 (2)"}</definedName>
    <definedName name="KOD">#REF!</definedName>
    <definedName name="kola" localSheetId="0" hidden="1">{#N/A,#N/A,FALSE,"Sheet1 (2)"}</definedName>
    <definedName name="kola" hidden="1">{#N/A,#N/A,FALSE,"Sheet1 (2)"}</definedName>
    <definedName name="KOLŞ" localSheetId="0" hidden="1">{#N/A,#N/A,FALSE,"Sheet1 (2)"}</definedName>
    <definedName name="KOLŞ" localSheetId="3" hidden="1">{#N/A,#N/A,FALSE,"Sheet1 (2)"}</definedName>
    <definedName name="KOLŞ" hidden="1">{#N/A,#N/A,FALSE,"Sheet1 (2)"}</definedName>
    <definedName name="KOP" localSheetId="0" hidden="1">{#N/A,#N/A,FALSE,"Sheet1 (2)"}</definedName>
    <definedName name="KOP" localSheetId="3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localSheetId="0" hidden="1">{#N/A,#N/A,FALSE,"Sheet1 (2)"}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localSheetId="0" hidden="1">{#N/A,#N/A,FALSE,"Sheet1 (2)"}</definedName>
    <definedName name="lansman" hidden="1">{#N/A,#N/A,FALSE,"Sheet1 (2)"}</definedName>
    <definedName name="LIST">[8]Kategoriler!$A$1:$B$44</definedName>
    <definedName name="lig" localSheetId="0" hidden="1">{#N/A,#N/A,FALSE,"Sheet1 (2)"}</definedName>
    <definedName name="lig" hidden="1">{#N/A,#N/A,FALSE,"Sheet1 (2)"}</definedName>
    <definedName name="Light" localSheetId="0" hidden="1">{#N/A,#N/A,FALSE,"MALİTABLOLAR"}</definedName>
    <definedName name="Light" hidden="1">{#N/A,#N/A,FALSE,"MALİTABLOLAR"}</definedName>
    <definedName name="ListStart">#REF!</definedName>
    <definedName name="ljkll" localSheetId="0" hidden="1">{#N/A,#N/A,FALSE,"Sheet1 (2)"}</definedName>
    <definedName name="ljkll" hidden="1">{#N/A,#N/A,FALSE,"Sheet1 (2)"}</definedName>
    <definedName name="M" localSheetId="0" hidden="1">{#N/A,#N/A,FALSE,"Sheet1 (2)"}</definedName>
    <definedName name="M" localSheetId="3" hidden="1">{#N/A,#N/A,FALSE,"Sheet1 (2)"}</definedName>
    <definedName name="M" hidden="1">{#N/A,#N/A,FALSE,"Sheet1 (2)"}</definedName>
    <definedName name="mag" localSheetId="0" hidden="1">{#N/A,#N/A,FALSE,"Sheet1 (2)"}</definedName>
    <definedName name="mag" localSheetId="3" hidden="1">{#N/A,#N/A,FALSE,"Sheet1 (2)"}</definedName>
    <definedName name="mag" hidden="1">{#N/A,#N/A,FALSE,"Sheet1 (2)"}</definedName>
    <definedName name="MAG." localSheetId="0" hidden="1">{#N/A,#N/A,FALSE,"Sheet1 (2)"}</definedName>
    <definedName name="MAG." hidden="1">{#N/A,#N/A,FALSE,"Sheet1 (2)"}</definedName>
    <definedName name="maga" localSheetId="0" hidden="1">{#N/A,#N/A,FALSE,"Sheet1 (2)"}</definedName>
    <definedName name="maga" hidden="1">{#N/A,#N/A,FALSE,"Sheet1 (2)"}</definedName>
    <definedName name="MALIGELIRSUT" localSheetId="0" hidden="1">{#N/A,#N/A,FALSE,"MALİTABLOLAR";#N/A,#N/A,FALSE,"PERS MSRMRZ";#N/A,#N/A,FALSE,"MALİTABLOLAR";#N/A,#N/A,FALSE,"İskonto"}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localSheetId="0" hidden="1">{#N/A,#N/A,FALSE,"Sheet1 (2)"}</definedName>
    <definedName name="mele" hidden="1">{#N/A,#N/A,FALSE,"Sheet1 (2)"}</definedName>
    <definedName name="MELİKE" localSheetId="0">'Özet Tablo '!MELİKE</definedName>
    <definedName name="MELİKE">[0]!MELİKE</definedName>
    <definedName name="memo" localSheetId="0">'Özet Tablo '!memo</definedName>
    <definedName name="memo">[0]!memo</definedName>
    <definedName name="Mepas">#REF!</definedName>
    <definedName name="mmm" localSheetId="0">'Özet Tablo '!mmm</definedName>
    <definedName name="mmm">[0]!mmm</definedName>
    <definedName name="MMMMMMM" localSheetId="0" hidden="1">{#N/A,#N/A,FALSE,"Sheet1 (2)"}</definedName>
    <definedName name="MMMMMMM" hidden="1">{#N/A,#N/A,FALSE,"Sheet1 (2)"}</definedName>
    <definedName name="Mo">#REF!</definedName>
    <definedName name="MOBILYA" localSheetId="0" hidden="1">{#N/A,#N/A,FALSE,"MALİTABLOLAR"}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localSheetId="0" hidden="1">{#N/A,#N/A,FALSE,"Sheet1 (2)"}</definedName>
    <definedName name="msdfmömöçsdfmöçsdfmöçmöçasdffdf" hidden="1">{#N/A,#N/A,FALSE,"Sheet1 (2)"}</definedName>
    <definedName name="musteri">#REF!</definedName>
    <definedName name="Napoliten" localSheetId="0" hidden="1">{#N/A,#N/A,FALSE,"MALİTABLOLAR"}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localSheetId="0" hidden="1">{#N/A,#N/A,FALSE,"Sheet1 (2)"}</definedName>
    <definedName name="nhg" hidden="1">{#N/A,#N/A,FALSE,"Sheet1 (2)"}</definedName>
    <definedName name="Nickolodeon">#REF!</definedName>
    <definedName name="NNNNNNNNN" localSheetId="0" hidden="1">{#N/A,#N/A,FALSE,"Sheet1 (2)"}</definedName>
    <definedName name="NNNNNNNNN" hidden="1">{#N/A,#N/A,FALSE,"Sheet1 (2)"}</definedName>
    <definedName name="nnnnnnnnn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localSheetId="0" hidden="1">{#N/A,#N/A,FALSE,"MALİTABLOLAR"}</definedName>
    <definedName name="NO" hidden="1">{#N/A,#N/A,FALSE,"MALİTABLOLAR"}</definedName>
    <definedName name="notcovere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localSheetId="0" hidden="1">{#N/A,#N/A,FALSE,"Sheet1 (2)"}</definedName>
    <definedName name="O" hidden="1">{#N/A,#N/A,FALSE,"Sheet1 (2)"}</definedName>
    <definedName name="OCAK">#REF!</definedName>
    <definedName name="od" hidden="1">#REF!</definedName>
    <definedName name="odluu" localSheetId="0" hidden="1">{#N/A,#N/A,FALSE,"Sheet1 (2)"}</definedName>
    <definedName name="odluu" hidden="1">{#N/A,#N/A,FALSE,"Sheet1 (2)"}</definedName>
    <definedName name="ogogo" localSheetId="0" hidden="1">{#N/A,#N/A,FALSE,"Sheet1 (2)"}</definedName>
    <definedName name="ogogo" hidden="1">{#N/A,#N/A,FALSE,"Sheet1 (2)"}</definedName>
    <definedName name="onur" localSheetId="0" hidden="1">{#N/A,#N/A,FALSE,"Sheet1 (2)"}</definedName>
    <definedName name="onur" hidden="1">{#N/A,#N/A,FALSE,"Sheet1 (2)"}</definedName>
    <definedName name="oooo" localSheetId="0" hidden="1">{"payback2",#N/A,FALSE,"Wirtschaftlichkeitsberechnung"}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localSheetId="0" hidden="1">{#N/A,#N/A,FALSE,"Sheet1 (2)"}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 localSheetId="0">'Özet Tablo '!önnnn</definedName>
    <definedName name="önnnn">[0]!önnnn</definedName>
    <definedName name="parentcompany">[6]network!$A$1:$A$65536</definedName>
    <definedName name="PASTORİZ" localSheetId="0" hidden="1">{#N/A,#N/A,FALSE,"MALİTABLOLAR"}</definedName>
    <definedName name="PASTORİZ" hidden="1">{#N/A,#N/A,FALSE,"MALİTABLOLAR"}</definedName>
    <definedName name="PASTORİZE" localSheetId="0" hidden="1">{#N/A,#N/A,FALSE,"MALİTABLOLAR";#N/A,#N/A,FALSE,"PERS MSRMRZ";#N/A,#N/A,FALSE,"MALİTABLOLAR";#N/A,#N/A,FALSE,"İskonto"}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1">VLOOKUP("ALL_MONTH_9",LANG_STRS_RNG,[20]!LANG_CELL+1,FALSE) &amp; " " &amp;  2006</definedName>
    <definedName name="PERIODO" localSheetId="0">VLOOKUP("ALL_MONTH_9",LANG_STRS_RNG,LANG_CELL+1,FALSE) &amp; " " &amp;  2006</definedName>
    <definedName name="PERIODO" localSheetId="3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localSheetId="0" hidden="1">{#N/A,#N/A,FALSE,"Sheet1 (2)"}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localSheetId="0" hidden="1">{#N/A,#N/A,FALSE,"Sheet1 (2)"}</definedName>
    <definedName name="play" hidden="1">{#N/A,#N/A,FALSE,"Sheet1 (2)"}</definedName>
    <definedName name="PLAY2" localSheetId="0" hidden="1">{#N/A,#N/A,FALSE,"Sheet1 (2)"}</definedName>
    <definedName name="PLAY2" hidden="1">{#N/A,#N/A,FALSE,"Sheet1 (2)"}</definedName>
    <definedName name="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localSheetId="0" hidden="1">{#N/A,#N/A,FALSE,"Sheet1 (2)"}</definedName>
    <definedName name="Popkek" hidden="1">{#N/A,#N/A,FALSE,"Sheet1 (2)"}</definedName>
    <definedName name="POS." localSheetId="0" hidden="1">{#N/A,#N/A,FALSE,"Sheet1 (2)"}</definedName>
    <definedName name="POS." hidden="1">{#N/A,#N/A,FALSE,"Sheet1 (2)"}</definedName>
    <definedName name="prd" localSheetId="0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PRO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0" hidden="1">{#N/A,#N/A,FALSE,"Sheet1 (2)"}</definedName>
    <definedName name="qqq" hidden="1">{#N/A,#N/A,FALSE,"Sheet1 (2)"}</definedName>
    <definedName name="qqqq" localSheetId="0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localSheetId="0" hidden="1">{#N/A,#N/A,FALSE,"Sheet1 (2)"}</definedName>
    <definedName name="qwe" hidden="1">{#N/A,#N/A,FALSE,"Sheet1 (2)"}</definedName>
    <definedName name="qweer" localSheetId="0" hidden="1">{#N/A,#N/A,FALSE,"Sheet1 (2)"}</definedName>
    <definedName name="qweer" hidden="1">{#N/A,#N/A,FALSE,"Sheet1 (2)"}</definedName>
    <definedName name="qw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0" hidden="1">{#N/A,#N/A,FALSE,"Sheet1 (2)"}</definedName>
    <definedName name="RAA" localSheetId="3" hidden="1">{#N/A,#N/A,FALSE,"Sheet1 (2)"}</definedName>
    <definedName name="RAA" hidden="1">{#N/A,#N/A,FALSE,"Sheet1 (2)"}</definedName>
    <definedName name="RADYO" localSheetId="0" hidden="1">{#N/A,#N/A,FALSE,"Sheet1 (2)"}</definedName>
    <definedName name="RADYO" localSheetId="3" hidden="1">{#N/A,#N/A,FALSE,"Sheet1 (2)"}</definedName>
    <definedName name="RADYO" hidden="1">{#N/A,#N/A,FALSE,"Sheet1 (2)"}</definedName>
    <definedName name="RADYOOOO" localSheetId="0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localSheetId="0" hidden="1">{#N/A,#N/A,FALSE,"Sheet1 (2)"}</definedName>
    <definedName name="referans" hidden="1">{#N/A,#N/A,FALSE,"Sheet1 (2)"}</definedName>
    <definedName name="REFZONE">#REF!</definedName>
    <definedName name="reyhan" localSheetId="0">'Özet Tablo '!reyhan</definedName>
    <definedName name="reyhan">[0]!reyhan</definedName>
    <definedName name="rg" hidden="1">#REF!</definedName>
    <definedName name="RH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localSheetId="0" hidden="1">{#N/A,#N/A,FALSE,"Sheet1 (2)"}</definedName>
    <definedName name="rrr" hidden="1">{#N/A,#N/A,FALSE,"Sheet1 (2)"}</definedName>
    <definedName name="RRRR" localSheetId="0" hidden="1">{#N/A,#N/A,FALSE,"Sheet1 (2)"}</definedName>
    <definedName name="RRRR" localSheetId="3" hidden="1">{#N/A,#N/A,FALSE,"Sheet1 (2)"}</definedName>
    <definedName name="RRRR" hidden="1">{#N/A,#N/A,FALSE,"Sheet1 (2)"}</definedName>
    <definedName name="RRRRRRRR" localSheetId="0" hidden="1">{#N/A,#N/A,FALSE,"Sheet1 (2)"}</definedName>
    <definedName name="RRRRRRRR" localSheetId="3" hidden="1">{#N/A,#N/A,FALSE,"Sheet1 (2)"}</definedName>
    <definedName name="RRRRRRRR" hidden="1">{#N/A,#N/A,FALSE,"Sheet1 (2)"}</definedName>
    <definedName name="rrrrrrrrrr" localSheetId="0" hidden="1">{#N/A,#N/A,FALSE,"Sheet1 (2)"}</definedName>
    <definedName name="rrrrrrrrrr" localSheetId="3" hidden="1">{#N/A,#N/A,FALSE,"Sheet1 (2)"}</definedName>
    <definedName name="rrrrrrrrrr" hidden="1">{#N/A,#N/A,FALSE,"Sheet1 (2)"}</definedName>
    <definedName name="rtethyrthhj" localSheetId="0" hidden="1">{#N/A,#N/A,FALSE,"Sheet1 (2)"}</definedName>
    <definedName name="rtethyrthhj" hidden="1">{#N/A,#N/A,FALSE,"Sheet1 (2)"}</definedName>
    <definedName name="rtqerr" localSheetId="0" hidden="1">{#N/A,#N/A,FALSE,"Sheet1 (2)"}</definedName>
    <definedName name="rtqerr" hidden="1">{#N/A,#N/A,FALSE,"Sheet1 (2)"}</definedName>
    <definedName name="rtrtey" localSheetId="0" hidden="1">{#N/A,#N/A,FALSE,"Sheet1 (2)"}</definedName>
    <definedName name="rtrtey" hidden="1">{#N/A,#N/A,FALSE,"Sheet1 (2)"}</definedName>
    <definedName name="rtsf" localSheetId="0" hidden="1">{#N/A,#N/A,FALSE,"Sheet1 (2)"}</definedName>
    <definedName name="rtsf" hidden="1">{#N/A,#N/A,FALSE,"Sheet1 (2)"}</definedName>
    <definedName name="rtthuetjh" localSheetId="0" hidden="1">{#N/A,#N/A,FALSE,"Sheet1 (2)"}</definedName>
    <definedName name="rtthuetjh" hidden="1">{#N/A,#N/A,FALSE,"Sheet1 (2)"}</definedName>
    <definedName name="rttrwry" localSheetId="0" hidden="1">{#N/A,#N/A,FALSE,"Sheet1 (2)"}</definedName>
    <definedName name="rttrwry" hidden="1">{#N/A,#N/A,FALSE,"Sheet1 (2)"}</definedName>
    <definedName name="rty" localSheetId="0">'Özet Tablo '!rty</definedName>
    <definedName name="rty">[0]!rty</definedName>
    <definedName name="s">#REF!</definedName>
    <definedName name="saa" localSheetId="0" hidden="1">{#N/A,#N/A,FALSE,"Sheet1 (2)"}</definedName>
    <definedName name="saa" hidden="1">{#N/A,#N/A,FALSE,"Sheet1 (2)"}</definedName>
    <definedName name="saaaa" localSheetId="0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localSheetId="0" hidden="1">{#N/A,#N/A,FALSE,"Sheet1 (2)"}</definedName>
    <definedName name="savas" hidden="1">{#N/A,#N/A,FALSE,"Sheet1 (2)"}</definedName>
    <definedName name="sd" hidden="1">#REF!</definedName>
    <definedName name="sda" localSheetId="0" hidden="1">{#N/A,#N/A,FALSE,"Sheet1 (2)"}</definedName>
    <definedName name="sda" hidden="1">{#N/A,#N/A,FALSE,"Sheet1 (2)"}</definedName>
    <definedName name="sdasdadsda">#REF!</definedName>
    <definedName name="sdf">#REF!</definedName>
    <definedName name="SDFASDF" localSheetId="0" hidden="1">{#N/A,#N/A,FALSE,"Sheet1 (2)"}</definedName>
    <definedName name="SDFASDF" hidden="1">{#N/A,#N/A,FALSE,"Sheet1 (2)"}</definedName>
    <definedName name="sdfe" localSheetId="0" hidden="1">{#N/A,#N/A,FALSE,"Sheet1 (2)"}</definedName>
    <definedName name="sdfe" hidden="1">{#N/A,#N/A,FALSE,"Sheet1 (2)"}</definedName>
    <definedName name="sdfgg" localSheetId="0" hidden="1">{#N/A,#N/A,FALSE,"Sheet1 (2)"}</definedName>
    <definedName name="sdfgg" hidden="1">{#N/A,#N/A,FALSE,"Sheet1 (2)"}</definedName>
    <definedName name="SDFRWEFT" localSheetId="0" hidden="1">{#N/A,#N/A,FALSE,"Sheet1 (2)"}</definedName>
    <definedName name="SDFRWEFT" hidden="1">{#N/A,#N/A,FALSE,"Sheet1 (2)"}</definedName>
    <definedName name="sdfsd" localSheetId="0" hidden="1">{#N/A,#N/A,FALSE,"Sheet1 (2)"}</definedName>
    <definedName name="sdfsd" hidden="1">{#N/A,#N/A,FALSE,"Sheet1 (2)"}</definedName>
    <definedName name="sdfsdf" localSheetId="0" hidden="1">{#N/A,#N/A,FALSE,"Sheet1 (2)"}</definedName>
    <definedName name="sdfsdf" hidden="1">{#N/A,#N/A,FALSE,"Sheet1 (2)"}</definedName>
    <definedName name="sdgas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localSheetId="0" hidden="1">{#N/A,#N/A,FALSE,"Sheet1 (2)"}</definedName>
    <definedName name="sdgsegfasdf" hidden="1">{#N/A,#N/A,FALSE,"Sheet1 (2)"}</definedName>
    <definedName name="SD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localSheetId="0" hidden="1">{#N/A,#N/A,FALSE,"Sheet1 (2)"}</definedName>
    <definedName name="ser" hidden="1">{#N/A,#N/A,FALSE,"Sheet1 (2)"}</definedName>
    <definedName name="SES" localSheetId="0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localSheetId="0" hidden="1">{#N/A,#N/A,FALSE,"Sheet1 (2)"}</definedName>
    <definedName name="sfd" hidden="1">{#N/A,#N/A,FALSE,"Sheet1 (2)"}</definedName>
    <definedName name="sfds" localSheetId="0" hidden="1">{#N/A,#N/A,FALSE,"Sheet1 (2)"}</definedName>
    <definedName name="sfds" hidden="1">{#N/A,#N/A,FALSE,"Sheet1 (2)"}</definedName>
    <definedName name="sfgdfgsfg">#REF!</definedName>
    <definedName name="sgsd" localSheetId="0" hidden="1">{#N/A,#N/A,FALSE,"Sheet1 (2)"}</definedName>
    <definedName name="sgsd" hidden="1">{#N/A,#N/A,FALSE,"Sheet1 (2)"}</definedName>
    <definedName name="sgsdgsg">#REF!</definedName>
    <definedName name="sgsfgsfg">#REF!</definedName>
    <definedName name="Sheet2" localSheetId="0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f" localSheetId="0" hidden="1">{#N/A,#N/A,FALSE,"Sheet1 (2)"}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localSheetId="0" hidden="1">{#N/A,#N/A,FALSE,"Sheet1 (2)"}</definedName>
    <definedName name="sky" hidden="1">{#N/A,#N/A,FALSE,"Sheet1 (2)"}</definedName>
    <definedName name="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localSheetId="0" hidden="1">{#N/A,#N/A,FALSE,"Sheet1 (2)"}</definedName>
    <definedName name="SMS" hidden="1">{#N/A,#N/A,FALSE,"Sheet1 (2)"}</definedName>
    <definedName name="SOFT">#REF!</definedName>
    <definedName name="SOFTOD">#REF!</definedName>
    <definedName name="sosyal" localSheetId="0" hidden="1">{#N/A,#N/A,FALSE,"Sheet1 (2)"}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localSheetId="0" hidden="1">{#N/A,#N/A,FALSE,"Sheet1 (2)"}</definedName>
    <definedName name="ss" hidden="1">{#N/A,#N/A,FALSE,"Sheet1 (2)"}</definedName>
    <definedName name="ssfw" localSheetId="0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localSheetId="0" hidden="1">{#N/A,#N/A,FALSE,"Sheet1 (2)"}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 localSheetId="0">'Özet Tablo '!sumru</definedName>
    <definedName name="sumru">[0]!sumru</definedName>
    <definedName name="superback" localSheetId="0" hidden="1">{#N/A,#N/A,FALSE,"Sheet1 (2)"}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localSheetId="0" hidden="1">{#N/A,#N/A,FALSE,"Sheet1 (2)"}</definedName>
    <definedName name="t6yr6uyjuy" hidden="1">{#N/A,#N/A,FALSE,"Sheet1 (2)"}</definedName>
    <definedName name="TA" localSheetId="0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localSheetId="0" hidden="1">{#N/A,#N/A,FALSE,"Sheet1 (2)"}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0" hidden="1">{#N/A,#N/A,FALSE,"Sheet1 (2)"}</definedName>
    <definedName name="tat" localSheetId="3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localSheetId="0" hidden="1">{#N/A,#N/A,FALSE,"Sheet1 (2)"}</definedName>
    <definedName name="TFSAD" hidden="1">{#N/A,#N/A,FALSE,"Sheet1 (2)"}</definedName>
    <definedName name="tgde" localSheetId="0" hidden="1">{#N/A,#N/A,FALSE,"Sheet1 (2)"}</definedName>
    <definedName name="tgde" hidden="1">{#N/A,#N/A,FALSE,"Sheet1 (2)"}</definedName>
    <definedName name="TGDJHGFJ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0" hidden="1">{#N/A,#N/A,FALSE,"Sheet1 (2)"}</definedName>
    <definedName name="thş" localSheetId="3" hidden="1">{#N/A,#N/A,FALSE,"Sheet1 (2)"}</definedName>
    <definedName name="thş" hidden="1">{#N/A,#N/A,FALSE,"Sheet1 (2)"}</definedName>
    <definedName name="thytr" localSheetId="0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localSheetId="0" hidden="1">{#N/A,#N/A,FALSE,"Sheet1 (2)"}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localSheetId="0" hidden="1">{#N/A,#N/A,FALSE,"Sheet1 (2)"}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localSheetId="0" hidden="1">{#N/A,#N/A,FALSE,"Sheet1 (2)"}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0" hidden="1">{#N/A,#N/A,FALSE,"Sheet1 (2)"}</definedName>
    <definedName name="tutku" localSheetId="3" hidden="1">{#N/A,#N/A,FALSE,"Sheet1 (2)"}</definedName>
    <definedName name="tutku" hidden="1">{#N/A,#N/A,FALSE,"Sheet1 (2)"}</definedName>
    <definedName name="TÜR">#REF!</definedName>
    <definedName name="TV">#REF!</definedName>
    <definedName name="tyetywy" localSheetId="0" hidden="1">{#N/A,#N/A,FALSE,"Sheet1 (2)"}</definedName>
    <definedName name="tyetywy" hidden="1">{#N/A,#N/A,FALSE,"Sheet1 (2)"}</definedName>
    <definedName name="Typologies">#REF!</definedName>
    <definedName name="tytey" localSheetId="0" hidden="1">{#N/A,#N/A,FALSE,"Sheet1 (2)"}</definedName>
    <definedName name="tytey" hidden="1">{#N/A,#N/A,FALSE,"Sheet1 (2)"}</definedName>
    <definedName name="ty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0" hidden="1">{#N/A,#N/A,FALSE,"Sheet1 (2)"}</definedName>
    <definedName name="uea" localSheetId="3" hidden="1">{#N/A,#N/A,FALSE,"Sheet1 (2)"}</definedName>
    <definedName name="uea" hidden="1">{#N/A,#N/A,FALSE,"Sheet1 (2)"}</definedName>
    <definedName name="uı" localSheetId="0" hidden="1">{#N/A,#N/A,FALSE,"Sheet1 (2)"}</definedName>
    <definedName name="uı" hidden="1">{#N/A,#N/A,FALSE,"Sheet1 (2)"}</definedName>
    <definedName name="uıop" localSheetId="0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localSheetId="0" hidden="1">{#N/A,#N/A,FALSE,"Sheet1 (2)"}</definedName>
    <definedName name="ur" hidden="1">{#N/A,#N/A,FALSE,"Sheet1 (2)"}</definedName>
    <definedName name="urugua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localSheetId="0" hidden="1">{#N/A,#N/A,FALSE,"MALİTABLOLAR"}</definedName>
    <definedName name="UU" hidden="1">{#N/A,#N/A,FALSE,"MALİTABLOLAR"}</definedName>
    <definedName name="V" localSheetId="0" hidden="1">{#N/A,#N/A,FALSE,"Sheet1 (2)"}</definedName>
    <definedName name="V" hidden="1">{#N/A,#N/A,FALSE,"Sheet1 (2)"}</definedName>
    <definedName name="vcx" localSheetId="0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_xlnm.Database">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0" hidden="1">{#N/A,#N/A,FALSE,"Sheet1 (2)"}</definedName>
    <definedName name="VF" localSheetId="3" hidden="1">{#N/A,#N/A,FALSE,"Sheet1 (2)"}</definedName>
    <definedName name="VF" hidden="1">{#N/A,#N/A,FALSE,"Sheet1 (2)"}</definedName>
    <definedName name="vhgh" localSheetId="0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localSheetId="0" hidden="1">{#N/A,#N/A,FALSE,"Sheet1 (2)"}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localSheetId="0" hidden="1">{#N/A,#N/A,FALSE,"Sheet1 (2)"}</definedName>
    <definedName name="WE" hidden="1">{#N/A,#N/A,FALSE,"Sheet1 (2)"}</definedName>
    <definedName name="WEAEVGFF" localSheetId="0" hidden="1">{#N/A,#N/A,FALSE,"Sheet1 (2)"}</definedName>
    <definedName name="WEAEVGFF" hidden="1">{#N/A,#N/A,FALSE,"Sheet1 (2)"}</definedName>
    <definedName name="WER" localSheetId="0" hidden="1">{#N/A,#N/A,FALSE,"Sheet1 (2)"}</definedName>
    <definedName name="WER" hidden="1">{#N/A,#N/A,FALSE,"Sheet1 (2)"}</definedName>
    <definedName name="WERWE" localSheetId="0" hidden="1">{#N/A,#N/A,FALSE,"Sheet1 (2)"}</definedName>
    <definedName name="WERWE" hidden="1">{#N/A,#N/A,FALSE,"Sheet1 (2)"}</definedName>
    <definedName name="WERWER" localSheetId="0" hidden="1">{#N/A,#N/A,FALSE,"Sheet1 (2)"}</definedName>
    <definedName name="WERWER" hidden="1">{#N/A,#N/A,FALSE,"Sheet1 (2)"}</definedName>
    <definedName name="WERWRWERWER" localSheetId="0" hidden="1">{#N/A,#N/A,FALSE,"Sheet1 (2)"}</definedName>
    <definedName name="WERWRWERWER" hidden="1">{#N/A,#N/A,FALSE,"Sheet1 (2)"}</definedName>
    <definedName name="wesd" localSheetId="0" hidden="1">{#N/A,#N/A,FALSE,"Sheet1 (2)"}</definedName>
    <definedName name="wesd" hidden="1">{#N/A,#N/A,FALSE,"Sheet1 (2)"}</definedName>
    <definedName name="Work">#REF!</definedName>
    <definedName name="wqer" localSheetId="0">'Özet Tablo '!wqer</definedName>
    <definedName name="wqer">[0]!wqer</definedName>
    <definedName name="wrn.a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localSheetId="0" hidden="1">{"ex sum oth brnds",#N/A,FALSE,"Baking - retail"}</definedName>
    <definedName name="wrn.executive._.summary." hidden="1">{"ex sum oth brnds",#N/A,FALSE,"Baking - retail"}</definedName>
    <definedName name="wrn.gt." localSheetId="0" hidden="1">{#N/A,#N/A,FALSE,"MALİTABLOLAR"}</definedName>
    <definedName name="wrn.gt." hidden="1">{#N/A,#N/A,FALSE,"MALİTABLOLAR"}</definedName>
    <definedName name="wrn.Month." localSheetId="0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0" hidden="1">{"payback",#N/A,FALSE,"Wirtschaftlichkeitsberechnung"}</definedName>
    <definedName name="wrn.payback." hidden="1">{"payback",#N/A,FALSE,"Wirtschaftlichkeitsberechnung"}</definedName>
    <definedName name="wrn.payback2." localSheetId="0" hidden="1">{"payback2",#N/A,FALSE,"Wirtschaftlichkeitsberechnung"}</definedName>
    <definedName name="wrn.payback2." hidden="1">{"payback2",#N/A,FALSE,"Wirtschaftlichkeitsberechnung"}</definedName>
    <definedName name="wrn.RADYO._.PRINT.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localSheetId="0" hidden="1">{#N/A,#N/A,FALSE,"Summary"}</definedName>
    <definedName name="wrn.report." hidden="1">{#N/A,#N/A,FALSE,"Summary"}</definedName>
    <definedName name="wrn.Report1." localSheetId="0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localSheetId="0" hidden="1">{#N/A,#N/A,FALSE,"MALİTABLOLAR";#N/A,#N/A,FALSE,"PERS MSRMRZ";#N/A,#N/A,FALSE,"MALİTABLOLAR";#N/A,#N/A,FALSE,"İskonto"}</definedName>
    <definedName name="wrn.Satışların._.Maliyeti." hidden="1">{#N/A,#N/A,FALSE,"MALİTABLOLAR";#N/A,#N/A,FALSE,"PERS MSRMRZ";#N/A,#N/A,FALSE,"MALİTABLOLAR";#N/A,#N/A,FALSE,"İskonto"}</definedName>
    <definedName name="wrn.sse" localSheetId="0" hidden="1">{#N/A,#N/A,FALSE,"Sheet1 (2)"}</definedName>
    <definedName name="wrn.sse" hidden="1">{#N/A,#N/A,FALSE,"Sheet1 (2)"}</definedName>
    <definedName name="wrn.SSS." localSheetId="0" hidden="1">{#N/A,#N/A,FALSE,"Sheet1 (2)"}</definedName>
    <definedName name="wrn.SSS." localSheetId="3" hidden="1">{#N/A,#N/A,FALSE,"Sheet1 (2)"}</definedName>
    <definedName name="wrn.SSS." hidden="1">{#N/A,#N/A,FALSE,"Sheet1 (2)"}</definedName>
    <definedName name="wrn.tobacco_charts." localSheetId="0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thsdfgbsfbg" localSheetId="0" hidden="1">{#N/A,#N/A,FALSE,"Sheet1 (2)"}</definedName>
    <definedName name="wrthsdfgbsfbg" hidden="1">{#N/A,#N/A,FALSE,"Sheet1 (2)"}</definedName>
    <definedName name="wrtrtr" localSheetId="0" hidden="1">{#N/A,#N/A,FALSE,"Sheet1 (2)"}</definedName>
    <definedName name="wrtrtr" hidden="1">{#N/A,#N/A,FALSE,"Sheet1 (2)"}</definedName>
    <definedName name="wrttsgqgq" localSheetId="0" hidden="1">{#N/A,#N/A,FALSE,"Sheet1 (2)"}</definedName>
    <definedName name="wrttsgqgq" hidden="1">{#N/A,#N/A,FALSE,"Sheet1 (2)"}</definedName>
    <definedName name="wvu.steve." localSheetId="0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localSheetId="0" hidden="1">{#N/A,#N/A,FALSE,"Sheet1 (2)"}</definedName>
    <definedName name="www" hidden="1">{#N/A,#N/A,FALSE,"Sheet1 (2)"}</definedName>
    <definedName name="X" localSheetId="0" hidden="1">{#N/A,#N/A,FALSE,"Sheet1 (2)"}</definedName>
    <definedName name="X" localSheetId="3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localSheetId="0" hidden="1">{#N/A,#N/A,FALSE,"Sheet1 (2)"}</definedName>
    <definedName name="XSXASX" hidden="1">{#N/A,#N/A,FALSE,"Sheet1 (2)"}</definedName>
    <definedName name="xx" localSheetId="0" hidden="1">{#N/A,#N/A,FALSE,"Sheet1 (2)"}</definedName>
    <definedName name="xx" hidden="1">{#N/A,#N/A,FALSE,"Sheet1 (2)"}</definedName>
    <definedName name="xxx" localSheetId="0" hidden="1">{#N/A,#N/A,FALSE,"Sheet1 (2)"}</definedName>
    <definedName name="xxx" localSheetId="3" hidden="1">{#N/A,#N/A,FALSE,"Sheet1 (2)"}</definedName>
    <definedName name="xxx" hidden="1">{#N/A,#N/A,FALSE,"Sheet1 (2)"}</definedName>
    <definedName name="xxxxxxxx" localSheetId="0" hidden="1">{#N/A,#N/A,FALSE,"Sheet1 (2)"}</definedName>
    <definedName name="xxxxxxxx" hidden="1">{#N/A,#N/A,FALSE,"Sheet1 (2)"}</definedName>
    <definedName name="xyz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localSheetId="0" hidden="1">{#N/A,#N/A,FALSE,"Sheet1 (2)"}</definedName>
    <definedName name="y6476uywuw" hidden="1">{#N/A,#N/A,FALSE,"Sheet1 (2)"}</definedName>
    <definedName name="y6t6gf" localSheetId="0" hidden="1">{#N/A,#N/A,FALSE,"Sheet1 (2)"}</definedName>
    <definedName name="y6t6gf" hidden="1">{#N/A,#N/A,FALSE,"Sheet1 (2)"}</definedName>
    <definedName name="YAĞ" localSheetId="0" hidden="1">{#N/A,#N/A,FALSE,"MALİTABLOLAR"}</definedName>
    <definedName name="YAĞ" hidden="1">{#N/A,#N/A,FALSE,"MALİTABLOLAR"}</definedName>
    <definedName name="_xlnm.Print_Area">#REF!</definedName>
    <definedName name="_xlnm.Print_Titles">#REF!</definedName>
    <definedName name="yelda" localSheetId="0" hidden="1">{#N/A,#N/A,FALSE,"Sheet1 (2)"}</definedName>
    <definedName name="yelda" hidden="1">{#N/A,#N/A,FALSE,"Sheet1 (2)"}</definedName>
    <definedName name="YENI">#REF!</definedName>
    <definedName name="YENİ" localSheetId="0" hidden="1">{#N/A,#N/A,FALSE,"Sheet1 (2)"}</definedName>
    <definedName name="YENİ" hidden="1">{#N/A,#N/A,FALSE,"Sheet1 (2)"}</definedName>
    <definedName name="YEREL" localSheetId="0" hidden="1">{#N/A,#N/A,FALSE,"Sheet1 (2)"}</definedName>
    <definedName name="YEREL" hidden="1">{#N/A,#N/A,FALSE,"Sheet1 (2)"}</definedName>
    <definedName name="yfg">#REF!</definedName>
    <definedName name="ygbr" localSheetId="0">'Özet Tablo '!ygbr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localSheetId="0" hidden="1">{#N/A,#N/A,FALSE,"MALİTABLOLAR"}</definedName>
    <definedName name="YOK" hidden="1">{#N/A,#N/A,FALSE,"MALİTABLOLAR"}</definedName>
    <definedName name="yuuyjjj" localSheetId="0" hidden="1">{#N/A,#N/A,FALSE,"Sheet1 (2)"}</definedName>
    <definedName name="yuuyjjj" hidden="1">{#N/A,#N/A,FALSE,"Sheet1 (2)"}</definedName>
    <definedName name="yuyuyrjysu" localSheetId="0" hidden="1">{#N/A,#N/A,FALSE,"Sheet1 (2)"}</definedName>
    <definedName name="yuyuyrjysu" hidden="1">{#N/A,#N/A,FALSE,"Sheet1 (2)"}</definedName>
    <definedName name="YY" localSheetId="0" hidden="1">{#N/A,#N/A,FALSE,"MALİTABLOLAR"}</definedName>
    <definedName name="YY" hidden="1">{#N/A,#N/A,FALSE,"MALİTABLOLAR"}</definedName>
    <definedName name="yyy" localSheetId="0" hidden="1">{#N/A,#N/A,FALSE,"Sheet1 (2)"}</definedName>
    <definedName name="yyy" hidden="1">{#N/A,#N/A,FALSE,"Sheet1 (2)"}</definedName>
    <definedName name="z" hidden="1">#REF!</definedName>
    <definedName name="zdfbfa" localSheetId="0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0" hidden="1">{#N/A,#N/A,FALSE,"Sheet1 (2)"}</definedName>
    <definedName name="ZEYNEP" localSheetId="3" hidden="1">{#N/A,#N/A,FALSE,"Sheet1 (2)"}</definedName>
    <definedName name="ZEYNEP" hidden="1">{#N/A,#N/A,FALSE,"Sheet1 (2)"}</definedName>
    <definedName name="zizi" localSheetId="0" hidden="1">{#N/A,#N/A,FALSE,"MALİTABLOLAR"}</definedName>
    <definedName name="zizi" hidden="1">{#N/A,#N/A,FALSE,"MALİTABLOLAR"}</definedName>
    <definedName name="zxc" localSheetId="0" hidden="1">{#N/A,#N/A,FALSE,"Sheet1 (2)"}</definedName>
    <definedName name="zxc" hidden="1">{#N/A,#N/A,FALSE,"Sheet1 (2)"}</definedName>
    <definedName name="zz" localSheetId="0" hidden="1">{#N/A,#N/A,FALSE,"Sheet1 (2)"}</definedName>
    <definedName name="zz" hidden="1">{#N/A,#N/A,FALSE,"Sheet1 (2)"}</definedName>
    <definedName name="ZZZ" localSheetId="0" hidden="1">{#N/A,#N/A,FALSE,"MALİTABLOLAR";#N/A,#N/A,FALSE,"PERS MSRMRZ";#N/A,#N/A,FALSE,"MALİTABLOLAR";#N/A,#N/A,FALSE,"İskonto"}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localSheetId="0" hidden="1">{#N/A,#N/A,FALSE,"Sheet1 (2)"}</definedName>
    <definedName name="zzzzzzzzzzzzzz" hidden="1">{#N/A,#N/A,FALSE,"Sheet1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2" l="1"/>
  <c r="D9" i="15"/>
  <c r="F9" i="15"/>
  <c r="H9" i="15"/>
  <c r="G9" i="15"/>
  <c r="E9" i="15"/>
  <c r="I25" i="12"/>
  <c r="H25" i="12"/>
  <c r="I26" i="12"/>
  <c r="N25" i="12"/>
  <c r="J18" i="12"/>
  <c r="J22" i="12"/>
  <c r="J23" i="12"/>
  <c r="L16" i="12"/>
  <c r="J15" i="12"/>
  <c r="J16" i="12"/>
  <c r="H35" i="12"/>
  <c r="J14" i="12"/>
  <c r="O35" i="12"/>
  <c r="M35" i="12"/>
  <c r="N35" i="12"/>
  <c r="O34" i="12"/>
  <c r="O33" i="12"/>
  <c r="N19" i="12"/>
  <c r="N21" i="12"/>
  <c r="O15" i="12"/>
  <c r="O16" i="12"/>
  <c r="O17" i="12"/>
  <c r="O18" i="12"/>
  <c r="O20" i="12"/>
  <c r="O22" i="12"/>
  <c r="O23" i="12"/>
  <c r="O24" i="12"/>
  <c r="O14" i="12"/>
  <c r="L15" i="12"/>
  <c r="N24" i="12"/>
  <c r="L20" i="12"/>
  <c r="L33" i="12"/>
  <c r="L34" i="12"/>
  <c r="P34" i="12"/>
  <c r="J33" i="12"/>
  <c r="J34" i="12"/>
  <c r="L17" i="12"/>
  <c r="L19" i="12" l="1"/>
  <c r="O19" i="12"/>
  <c r="O21" i="12"/>
  <c r="L21" i="12"/>
  <c r="J17" i="12"/>
  <c r="J19" i="12"/>
  <c r="J20" i="12"/>
  <c r="J21" i="12"/>
  <c r="M25" i="12"/>
  <c r="E8" i="12"/>
  <c r="P15" i="12"/>
  <c r="P16" i="12"/>
  <c r="P25" i="12" s="1"/>
  <c r="P17" i="12"/>
  <c r="P18" i="12"/>
  <c r="P19" i="12"/>
  <c r="P20" i="12"/>
  <c r="P21" i="12"/>
  <c r="P22" i="12"/>
  <c r="P23" i="12"/>
  <c r="H26" i="12"/>
  <c r="U33" i="12"/>
  <c r="P33" i="12"/>
  <c r="P35" i="12" s="1"/>
  <c r="U23" i="12"/>
  <c r="R24" i="12"/>
  <c r="S24" i="12"/>
  <c r="U14" i="12"/>
  <c r="L14" i="12"/>
  <c r="E5" i="12" l="1"/>
  <c r="E9" i="12"/>
  <c r="E7" i="12" s="1"/>
  <c r="E6" i="12" s="1"/>
  <c r="P24" i="12"/>
  <c r="T24" i="12"/>
  <c r="P14" i="12" l="1"/>
  <c r="L4" i="14" l="1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</calcChain>
</file>

<file path=xl/sharedStrings.xml><?xml version="1.0" encoding="utf-8"?>
<sst xmlns="http://schemas.openxmlformats.org/spreadsheetml/2006/main" count="186" uniqueCount="84">
  <si>
    <t>Marka:</t>
  </si>
  <si>
    <t>Uludağ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</si>
  <si>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</si>
  <si>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</si>
  <si>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</si>
  <si>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</si>
  <si>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</si>
  <si>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</si>
  <si>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AHB Bedeli:</t>
  </si>
  <si>
    <t>Objektive</t>
  </si>
  <si>
    <t>Unit Cost</t>
  </si>
  <si>
    <t>Budget</t>
  </si>
  <si>
    <t>Secondary Metrics</t>
  </si>
  <si>
    <t>Platform</t>
  </si>
  <si>
    <t>Mecra</t>
  </si>
  <si>
    <t>Site/Network</t>
  </si>
  <si>
    <t>Kategori / Hedefleme</t>
  </si>
  <si>
    <t>Yayın Türü</t>
  </si>
  <si>
    <t>Planlanan Impression/View</t>
  </si>
  <si>
    <t>Gerçekleşen Impression/View</t>
  </si>
  <si>
    <t>Gerçekleşme Oranı</t>
  </si>
  <si>
    <t>Planlanan Unit Cost       (CPM, CPV, CPC)</t>
  </si>
  <si>
    <t xml:space="preserve"> Planlanan Yayın Bedeli</t>
  </si>
  <si>
    <t>Gerçekleşen Yayın Maliyeti</t>
  </si>
  <si>
    <t>Reach</t>
  </si>
  <si>
    <t>Impression</t>
  </si>
  <si>
    <t>Click</t>
  </si>
  <si>
    <t>CTR %</t>
  </si>
  <si>
    <t>%100 VCR</t>
  </si>
  <si>
    <t>Desktop / Mobile</t>
  </si>
  <si>
    <t xml:space="preserve">Youtube </t>
  </si>
  <si>
    <t>Hedeflemeli Yayın</t>
  </si>
  <si>
    <t>-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</si>
  <si>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</si>
  <si>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</si>
  <si>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</si>
  <si>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</si>
  <si>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</si>
  <si>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</si>
  <si>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</si>
  <si>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</si>
  <si>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</si>
  <si>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</si>
  <si>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</si>
  <si>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</si>
  <si>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</si>
  <si>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</si>
  <si>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</si>
  <si>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</si>
  <si>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</si>
  <si>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</si>
  <si>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Gerçekleşen AHB</t>
  </si>
  <si>
    <t>Gerçekleşen Unit Cost 
(CPM, CPV,  CPC)</t>
  </si>
  <si>
    <t>Youtube</t>
  </si>
  <si>
    <t>Truview</t>
  </si>
  <si>
    <t>Meta</t>
  </si>
  <si>
    <t>Instagram</t>
  </si>
  <si>
    <t>Video Views</t>
  </si>
  <si>
    <t>View</t>
  </si>
  <si>
    <t>_</t>
  </si>
  <si>
    <t>Haziran</t>
  </si>
  <si>
    <t>Uput</t>
  </si>
  <si>
    <t>The Magger</t>
  </si>
  <si>
    <t>Aset</t>
  </si>
  <si>
    <t>Ana Asset</t>
  </si>
  <si>
    <t>Yeni Asset</t>
  </si>
  <si>
    <t>Koşu Grubu (25 sn)</t>
  </si>
  <si>
    <t>Koşu Grubu/Bold</t>
  </si>
  <si>
    <t>Asla Durma</t>
  </si>
  <si>
    <t>Uput Recap</t>
  </si>
  <si>
    <t>Non Skippable</t>
  </si>
  <si>
    <t>Post</t>
  </si>
  <si>
    <t>N/A</t>
  </si>
  <si>
    <t>Uput  Almanya -Dubai</t>
  </si>
  <si>
    <t>Almanya</t>
  </si>
  <si>
    <t>Dubai</t>
  </si>
  <si>
    <t>Haziran Gerçekleşen Yayın Maliyeti</t>
  </si>
  <si>
    <t>Temmuz Kalan</t>
  </si>
  <si>
    <t>UPUT SU</t>
  </si>
  <si>
    <t>Dergi Kullanımı</t>
  </si>
  <si>
    <t>Toplam</t>
  </si>
  <si>
    <t>Haziran Harcanan Bütçe</t>
  </si>
  <si>
    <t>Temmuz Kalan Büteçe</t>
  </si>
  <si>
    <t>Planlannan bütçe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</si>
</sst>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  <numFmt numFmtId="173" formatCode="_-* #,##0_-;\-* #,##0_-;_-* &quot;-&quot;??_-;_-@_-"/>
  </numFmts>
  <fonts count="34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sz val="11"/>
      <name val="Calibri"/>
      <family val="2"/>
      <charset val="162"/>
    </font>
    <font>
      <b/>
      <u/>
      <sz val="14"/>
      <color rgb="FFC00000"/>
      <name val="Poppins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b/>
      <u/>
      <sz val="12"/>
      <color rgb="FFC00000"/>
      <name val="Poppins"/>
      <charset val="162"/>
    </font>
    <font>
      <sz val="18"/>
      <color theme="1"/>
      <name val="Poppins"/>
      <charset val="162"/>
    </font>
    <font>
      <b/>
      <sz val="18"/>
      <color theme="0"/>
      <name val="Poppins"/>
      <charset val="162"/>
    </font>
    <font>
      <sz val="20"/>
      <color theme="1"/>
      <name val="Poppins"/>
      <charset val="162"/>
    </font>
    <font>
      <sz val="20"/>
      <color theme="0"/>
      <name val="Poppins"/>
      <charset val="162"/>
    </font>
    <font>
      <b/>
      <sz val="20"/>
      <color theme="0"/>
      <name val="Poppins"/>
      <charset val="162"/>
    </font>
    <font>
      <sz val="20"/>
      <color rgb="FF000000"/>
      <name val="Poppins"/>
      <charset val="162"/>
    </font>
    <font>
      <b/>
      <u/>
      <sz val="20"/>
      <color rgb="FFC00000"/>
      <name val="Poppins"/>
      <charset val="162"/>
    </font>
    <font>
      <b/>
      <sz val="18"/>
      <color theme="1"/>
      <name val="Poppins"/>
      <charset val="162"/>
    </font>
    <font>
      <b/>
      <sz val="17"/>
      <color theme="0"/>
      <name val="Poppins"/>
      <charset val="162"/>
    </font>
    <font>
      <b/>
      <u/>
      <sz val="13"/>
      <color rgb="FFC00000"/>
      <name val="Poppins"/>
      <charset val="162"/>
    </font>
    <font>
      <b/>
      <u val="singleAccounting"/>
      <sz val="20"/>
      <color rgb="FFFF0000"/>
      <name val="Poppins"/>
      <charset val="162"/>
    </font>
    <font>
      <b/>
      <u val="singleAccounting"/>
      <sz val="20"/>
      <color rgb="FFFF0000"/>
      <name val="Calibri"/>
      <family val="2"/>
      <charset val="162"/>
      <scheme val="minor"/>
    </font>
    <font>
      <b/>
      <sz val="11"/>
      <color theme="0"/>
      <name val="Poppins"/>
      <charset val="16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2" fillId="0" borderId="0"/>
    <xf numFmtId="0" fontId="15" fillId="0" borderId="0"/>
    <xf numFmtId="0" fontId="16" fillId="0" borderId="0"/>
    <xf numFmtId="44" fontId="4" fillId="0" borderId="0" applyFont="0" applyFill="0" applyBorder="0" applyAlignment="0" applyProtection="0"/>
    <xf numFmtId="0" fontId="17" fillId="0" borderId="0"/>
    <xf numFmtId="44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0" fontId="18" fillId="0" borderId="0" xfId="0" applyFont="1"/>
    <xf numFmtId="0" fontId="19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171" fontId="20" fillId="0" borderId="0" xfId="0" applyNumberFormat="1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9" fontId="25" fillId="9" borderId="7" xfId="9" applyFont="1" applyFill="1" applyBorder="1" applyAlignment="1">
      <alignment horizontal="center" vertical="center"/>
    </xf>
    <xf numFmtId="166" fontId="23" fillId="11" borderId="7" xfId="6" applyNumberFormat="1" applyFont="1" applyFill="1" applyBorder="1" applyAlignment="1">
      <alignment horizontal="center" vertical="center"/>
    </xf>
    <xf numFmtId="166" fontId="25" fillId="10" borderId="7" xfId="6" applyNumberFormat="1" applyFont="1" applyFill="1" applyBorder="1" applyAlignment="1">
      <alignment horizontal="center" vertical="center"/>
    </xf>
    <xf numFmtId="172" fontId="26" fillId="0" borderId="7" xfId="1" applyNumberFormat="1" applyFont="1" applyBorder="1" applyAlignment="1">
      <alignment horizontal="center" vertical="center"/>
    </xf>
    <xf numFmtId="170" fontId="26" fillId="0" borderId="7" xfId="1" applyNumberFormat="1" applyFont="1" applyBorder="1" applyAlignment="1">
      <alignment horizontal="center" vertical="center"/>
    </xf>
    <xf numFmtId="10" fontId="26" fillId="0" borderId="7" xfId="1" applyNumberFormat="1" applyFont="1" applyBorder="1" applyAlignment="1">
      <alignment horizontal="center" vertical="center"/>
    </xf>
    <xf numFmtId="9" fontId="26" fillId="0" borderId="7" xfId="1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27" fillId="0" borderId="0" xfId="0" applyNumberFormat="1" applyFont="1" applyAlignment="1">
      <alignment horizontal="center" vertical="center" wrapText="1"/>
    </xf>
    <xf numFmtId="171" fontId="27" fillId="0" borderId="0" xfId="0" applyNumberFormat="1" applyFont="1" applyAlignment="1">
      <alignment horizontal="center" vertical="center" wrapText="1"/>
    </xf>
    <xf numFmtId="172" fontId="27" fillId="0" borderId="0" xfId="0" applyNumberFormat="1" applyFont="1" applyAlignment="1">
      <alignment horizontal="center" vertical="center" wrapText="1"/>
    </xf>
    <xf numFmtId="170" fontId="27" fillId="0" borderId="0" xfId="0" applyNumberFormat="1" applyFont="1" applyAlignment="1">
      <alignment horizontal="center" vertical="center" wrapText="1"/>
    </xf>
    <xf numFmtId="10" fontId="27" fillId="0" borderId="0" xfId="0" applyNumberFormat="1" applyFont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 wrapText="1"/>
    </xf>
    <xf numFmtId="171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9" fontId="22" fillId="9" borderId="9" xfId="1" applyNumberFormat="1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center" vertical="center" wrapText="1"/>
    </xf>
    <xf numFmtId="170" fontId="22" fillId="9" borderId="11" xfId="0" applyNumberFormat="1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top" wrapText="1"/>
    </xf>
    <xf numFmtId="169" fontId="23" fillId="3" borderId="7" xfId="1" applyNumberFormat="1" applyFont="1" applyFill="1" applyBorder="1" applyAlignment="1">
      <alignment horizontal="center" vertical="center"/>
    </xf>
    <xf numFmtId="169" fontId="25" fillId="9" borderId="7" xfId="1" applyNumberFormat="1" applyFont="1" applyFill="1" applyBorder="1" applyAlignment="1">
      <alignment horizontal="center" vertical="center"/>
    </xf>
    <xf numFmtId="171" fontId="23" fillId="3" borderId="7" xfId="1" applyNumberFormat="1" applyFont="1" applyFill="1" applyBorder="1" applyAlignment="1">
      <alignment horizontal="center" vertical="center"/>
    </xf>
    <xf numFmtId="171" fontId="30" fillId="3" borderId="0" xfId="1" applyNumberFormat="1" applyFont="1" applyFill="1" applyAlignment="1">
      <alignment horizontal="center" vertical="center"/>
    </xf>
    <xf numFmtId="169" fontId="30" fillId="3" borderId="0" xfId="1" applyNumberFormat="1" applyFont="1" applyFill="1" applyAlignment="1">
      <alignment horizontal="center" vertical="center"/>
    </xf>
    <xf numFmtId="171" fontId="25" fillId="9" borderId="7" xfId="1" applyNumberFormat="1" applyFont="1" applyFill="1" applyBorder="1" applyAlignment="1">
      <alignment horizontal="center" vertical="center"/>
    </xf>
    <xf numFmtId="0" fontId="23" fillId="11" borderId="7" xfId="6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/>
    </xf>
    <xf numFmtId="166" fontId="32" fillId="3" borderId="0" xfId="0" applyNumberFormat="1" applyFont="1" applyFill="1" applyAlignment="1">
      <alignment horizontal="center" vertical="center" wrapText="1"/>
    </xf>
    <xf numFmtId="169" fontId="22" fillId="9" borderId="9" xfId="1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right" vertical="center"/>
    </xf>
    <xf numFmtId="0" fontId="22" fillId="9" borderId="5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right" vertical="center"/>
    </xf>
    <xf numFmtId="0" fontId="22" fillId="9" borderId="0" xfId="0" applyFont="1" applyFill="1" applyAlignment="1">
      <alignment horizontal="right" vertical="center"/>
    </xf>
    <xf numFmtId="0" fontId="28" fillId="3" borderId="0" xfId="0" applyFont="1" applyFill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17" fontId="21" fillId="3" borderId="0" xfId="0" applyNumberFormat="1" applyFont="1" applyFill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167" fontId="28" fillId="5" borderId="0" xfId="0" applyNumberFormat="1" applyFont="1" applyFill="1" applyAlignment="1">
      <alignment horizontal="center" vertical="center"/>
    </xf>
    <xf numFmtId="167" fontId="28" fillId="5" borderId="4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right" vertical="center"/>
    </xf>
    <xf numFmtId="0" fontId="22" fillId="4" borderId="9" xfId="0" applyFont="1" applyFill="1" applyBorder="1" applyAlignment="1">
      <alignment horizontal="right" vertical="center"/>
    </xf>
    <xf numFmtId="167" fontId="21" fillId="3" borderId="9" xfId="0" applyNumberFormat="1" applyFont="1" applyFill="1" applyBorder="1" applyAlignment="1">
      <alignment horizontal="center" vertical="center"/>
    </xf>
    <xf numFmtId="167" fontId="21" fillId="3" borderId="10" xfId="0" applyNumberFormat="1" applyFont="1" applyFill="1" applyBorder="1" applyAlignment="1">
      <alignment horizontal="center" vertical="center"/>
    </xf>
    <xf numFmtId="167" fontId="14" fillId="5" borderId="0" xfId="0" applyNumberFormat="1" applyFont="1" applyFill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167" fontId="21" fillId="3" borderId="0" xfId="0" applyNumberFormat="1" applyFont="1" applyFill="1" applyAlignment="1">
      <alignment horizontal="center" vertical="center"/>
    </xf>
    <xf numFmtId="167" fontId="21" fillId="3" borderId="4" xfId="0" applyNumberFormat="1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6" fontId="18" fillId="11" borderId="6" xfId="6" applyNumberFormat="1" applyFont="1" applyFill="1" applyBorder="1" applyAlignment="1">
      <alignment horizontal="center" vertical="center"/>
    </xf>
    <xf numFmtId="173" fontId="0" fillId="0" borderId="6" xfId="2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1">
    <cellStyle name="Comma 2" xfId="17" xr:uid="{00000000-0005-0000-0000-000000000000}"/>
    <cellStyle name="Currency 2" xfId="8" xr:uid="{00000000-0005-0000-0000-000001000000}"/>
    <cellStyle name="Currency 3" xfId="14" xr:uid="{00000000-0005-0000-0000-000002000000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8" xfId="15" xr:uid="{00000000-0005-0000-0000-00000C000000}"/>
    <cellStyle name="Normal_Zed_s'nek_UCLA_onlineplan_Feb27" xfId="1" xr:uid="{00000000-0005-0000-0000-00000D000000}"/>
    <cellStyle name="ParaBirimi" xfId="6" builtinId="4"/>
    <cellStyle name="ParaBirimi 2" xfId="16" xr:uid="{00000000-0005-0000-0000-00000F000000}"/>
    <cellStyle name="Percent 2" xfId="3" xr:uid="{00000000-0005-0000-0000-000010000000}"/>
    <cellStyle name="Virgül" xfId="20" builtinId="3"/>
    <cellStyle name="Virgül 2" xfId="18" xr:uid="{00000000-0005-0000-0000-000011000000}"/>
    <cellStyle name="Yüzde" xfId="9" builtinId="5"/>
    <cellStyle name="Yüzde 2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BAŞV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0A6C-2A6D-49CD-A242-31B33446EEA9}">
  <dimension ref="C3:H9"/>
  <sheetViews>
    <sheetView showGridLines="0" tabSelected="1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3" max="4" width="23.6640625" customWidth="1"/>
    <col min="5" max="6" width="33.33203125" customWidth="1"/>
    <col min="7" max="7" width="26.33203125" style="102" customWidth="1"/>
    <col min="8" max="8" width="23.6640625" style="102" customWidth="1"/>
  </cols>
  <sheetData>
    <row r="3" spans="3:8" ht="15" thickBot="1" x14ac:dyDescent="0.35"/>
    <row r="4" spans="3:8" ht="20.399999999999999" x14ac:dyDescent="0.3">
      <c r="C4" s="97" t="s">
        <v>78</v>
      </c>
    </row>
    <row r="5" spans="3:8" ht="57" customHeight="1" x14ac:dyDescent="0.3">
      <c r="C5" s="98" t="s">
        <v>14</v>
      </c>
      <c r="D5" s="98" t="s">
        <v>83</v>
      </c>
      <c r="E5" s="98" t="s">
        <v>81</v>
      </c>
      <c r="F5" s="98" t="s">
        <v>82</v>
      </c>
      <c r="G5" s="98" t="s">
        <v>18</v>
      </c>
      <c r="H5" s="98" t="s">
        <v>19</v>
      </c>
    </row>
    <row r="6" spans="3:8" ht="20.399999999999999" x14ac:dyDescent="0.3">
      <c r="C6" s="99" t="s">
        <v>53</v>
      </c>
      <c r="D6" s="100">
        <v>972000</v>
      </c>
      <c r="E6" s="100">
        <v>699919.32000000007</v>
      </c>
      <c r="F6" s="100">
        <v>272080.68</v>
      </c>
      <c r="G6" s="101">
        <v>7714285.7142857146</v>
      </c>
      <c r="H6" s="101">
        <v>5509033</v>
      </c>
    </row>
    <row r="7" spans="3:8" ht="20.399999999999999" x14ac:dyDescent="0.3">
      <c r="C7" s="99" t="s">
        <v>55</v>
      </c>
      <c r="D7" s="100">
        <v>760000</v>
      </c>
      <c r="E7" s="100">
        <v>538526.22</v>
      </c>
      <c r="F7" s="100">
        <v>221473.78</v>
      </c>
      <c r="G7" s="101">
        <v>14166666.666666666</v>
      </c>
      <c r="H7" s="101">
        <v>5933779</v>
      </c>
    </row>
    <row r="8" spans="3:8" ht="20.399999999999999" x14ac:dyDescent="0.3">
      <c r="C8" s="99" t="s">
        <v>79</v>
      </c>
      <c r="D8" s="100">
        <v>90000</v>
      </c>
      <c r="E8" s="100">
        <v>90000</v>
      </c>
      <c r="F8" s="100">
        <v>0</v>
      </c>
      <c r="G8" s="101" t="s">
        <v>72</v>
      </c>
      <c r="H8" s="101" t="s">
        <v>72</v>
      </c>
    </row>
    <row r="9" spans="3:8" ht="20.399999999999999" x14ac:dyDescent="0.3">
      <c r="C9" s="99" t="s">
        <v>80</v>
      </c>
      <c r="D9" s="100">
        <f>D6+D7+D8</f>
        <v>1822000</v>
      </c>
      <c r="E9" s="100">
        <f>E6+E7+E8</f>
        <v>1328445.54</v>
      </c>
      <c r="F9" s="100">
        <f>F6+F7+F8</f>
        <v>493554.45999999996</v>
      </c>
      <c r="G9" s="101">
        <f>G6+G7</f>
        <v>21880952.380952381</v>
      </c>
      <c r="H9" s="101">
        <f>H6+H7</f>
        <v>11442812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2"/>
  <sheetViews>
    <sheetView showGridLines="0" topLeftCell="A10" zoomScale="30" zoomScaleNormal="40" workbookViewId="0">
      <selection activeCell="P25" sqref="P25"/>
    </sheetView>
  </sheetViews>
  <sheetFormatPr defaultColWidth="9.109375" defaultRowHeight="18" x14ac:dyDescent="0.3"/>
  <cols>
    <col min="1" max="1" width="3" style="1" customWidth="1"/>
    <col min="2" max="2" width="34" style="1" customWidth="1"/>
    <col min="3" max="3" width="38.109375" style="1" customWidth="1"/>
    <col min="4" max="4" width="43.6640625" style="1" customWidth="1"/>
    <col min="5" max="6" width="46.33203125" style="1" customWidth="1"/>
    <col min="7" max="7" width="51.6640625" style="1" customWidth="1"/>
    <col min="8" max="8" width="40.5546875" style="1" customWidth="1"/>
    <col min="9" max="9" width="47.6640625" style="1" customWidth="1"/>
    <col min="10" max="10" width="28.109375" style="1" customWidth="1"/>
    <col min="11" max="11" width="36.33203125" style="1" customWidth="1"/>
    <col min="12" max="12" width="43.44140625" style="1" bestFit="1" customWidth="1"/>
    <col min="13" max="13" width="35" style="1" customWidth="1"/>
    <col min="14" max="14" width="40.88671875" style="2" bestFit="1" customWidth="1"/>
    <col min="15" max="15" width="36.6640625" style="2" customWidth="1"/>
    <col min="16" max="16" width="33.88671875" style="2" customWidth="1"/>
    <col min="17" max="17" width="34.88671875" style="1" hidden="1" customWidth="1"/>
    <col min="18" max="19" width="35.33203125" style="1" hidden="1" customWidth="1"/>
    <col min="20" max="20" width="28.33203125" style="1" hidden="1" customWidth="1"/>
    <col min="21" max="22" width="36.33203125" style="1" hidden="1" customWidth="1"/>
    <col min="23" max="24" width="36.33203125" style="1" customWidth="1"/>
    <col min="25" max="16384" width="9.109375" style="1"/>
  </cols>
  <sheetData>
    <row r="1" spans="2:24" ht="18.600000000000001" thickBot="1" x14ac:dyDescent="0.35"/>
    <row r="2" spans="2:24" ht="23.4" customHeight="1" x14ac:dyDescent="0.3">
      <c r="B2" s="75" t="s">
        <v>0</v>
      </c>
      <c r="C2" s="76"/>
      <c r="D2" s="76"/>
      <c r="E2" s="77" t="s">
        <v>1</v>
      </c>
      <c r="F2" s="77"/>
      <c r="G2" s="78"/>
      <c r="N2" s="1"/>
      <c r="O2" s="1"/>
      <c r="P2" s="1"/>
    </row>
    <row r="3" spans="2:24" ht="36.75" customHeight="1" x14ac:dyDescent="0.3">
      <c r="B3" s="79" t="s">
        <v>2</v>
      </c>
      <c r="C3" s="80"/>
      <c r="D3" s="80"/>
      <c r="E3" s="81" t="s">
        <v>61</v>
      </c>
      <c r="F3" s="81"/>
      <c r="G3" s="82"/>
      <c r="N3" s="1"/>
      <c r="O3" s="1"/>
      <c r="P3" s="1"/>
    </row>
    <row r="4" spans="2:24" ht="36.75" customHeight="1" x14ac:dyDescent="0.3">
      <c r="B4" s="79" t="s">
        <v>3</v>
      </c>
      <c r="C4" s="80"/>
      <c r="D4" s="80"/>
      <c r="E4" s="83" t="s">
        <v>60</v>
      </c>
      <c r="F4" s="83"/>
      <c r="G4" s="84"/>
      <c r="I4" s="30"/>
      <c r="J4" s="30"/>
      <c r="K4" s="30"/>
      <c r="L4" s="30"/>
      <c r="M4" s="30"/>
      <c r="N4" s="30"/>
      <c r="O4" s="30"/>
      <c r="P4" s="30"/>
      <c r="U4" s="30"/>
      <c r="V4" s="30"/>
      <c r="W4" s="30"/>
      <c r="X4" s="30"/>
    </row>
    <row r="5" spans="2:24" ht="36.75" customHeight="1" x14ac:dyDescent="0.3">
      <c r="B5" s="85" t="s">
        <v>4</v>
      </c>
      <c r="C5" s="86"/>
      <c r="D5" s="86"/>
      <c r="E5" s="87">
        <f>M25+P25+P35+M35</f>
        <v>2489873.9072000002</v>
      </c>
      <c r="F5" s="87"/>
      <c r="G5" s="88"/>
      <c r="I5" s="31"/>
      <c r="J5"/>
      <c r="K5"/>
      <c r="L5"/>
      <c r="M5"/>
      <c r="N5"/>
      <c r="O5"/>
      <c r="P5"/>
      <c r="U5"/>
      <c r="V5"/>
      <c r="W5"/>
      <c r="X5"/>
    </row>
    <row r="6" spans="2:24" ht="36.75" customHeight="1" x14ac:dyDescent="0.3">
      <c r="B6" s="85" t="s">
        <v>5</v>
      </c>
      <c r="C6" s="86"/>
      <c r="D6" s="86"/>
      <c r="E6" s="93">
        <f>E5-E7</f>
        <v>493576.16000000015</v>
      </c>
      <c r="F6" s="93"/>
      <c r="G6" s="94"/>
      <c r="H6" s="29"/>
      <c r="N6" s="1"/>
      <c r="O6" s="1"/>
      <c r="P6" s="1"/>
    </row>
    <row r="7" spans="2:24" ht="36.75" customHeight="1" x14ac:dyDescent="0.3">
      <c r="B7" s="85" t="s">
        <v>6</v>
      </c>
      <c r="C7" s="86"/>
      <c r="D7" s="86"/>
      <c r="E7" s="87">
        <f>E8+E9</f>
        <v>1996297.7472000001</v>
      </c>
      <c r="F7" s="87"/>
      <c r="G7" s="88"/>
      <c r="I7" s="29"/>
      <c r="N7" s="1"/>
      <c r="O7" s="1"/>
      <c r="P7" s="1"/>
    </row>
    <row r="8" spans="2:24" ht="34.799999999999997" x14ac:dyDescent="0.3">
      <c r="B8" s="85" t="s">
        <v>7</v>
      </c>
      <c r="C8" s="86"/>
      <c r="D8" s="86"/>
      <c r="E8" s="95">
        <f>N25+N35</f>
        <v>1848423.84</v>
      </c>
      <c r="F8" s="95"/>
      <c r="G8" s="96"/>
      <c r="N8" s="1"/>
      <c r="O8" s="1"/>
      <c r="P8" s="1"/>
      <c r="Q8"/>
      <c r="R8"/>
      <c r="S8"/>
      <c r="T8"/>
    </row>
    <row r="9" spans="2:24" ht="35.4" thickBot="1" x14ac:dyDescent="0.35">
      <c r="B9" s="89" t="s">
        <v>8</v>
      </c>
      <c r="C9" s="90"/>
      <c r="D9" s="90"/>
      <c r="E9" s="91">
        <f>P25+P35</f>
        <v>147873.90720000002</v>
      </c>
      <c r="F9" s="91"/>
      <c r="G9" s="92"/>
      <c r="N9"/>
      <c r="O9"/>
      <c r="P9"/>
      <c r="Q9"/>
      <c r="R9"/>
      <c r="S9"/>
      <c r="T9"/>
    </row>
    <row r="10" spans="2:24" x14ac:dyDescent="0.3">
      <c r="N10"/>
      <c r="O10"/>
      <c r="P10"/>
      <c r="Q10"/>
      <c r="R10"/>
      <c r="S10"/>
      <c r="T10"/>
    </row>
    <row r="11" spans="2:24" ht="33" customHeight="1" thickBot="1" x14ac:dyDescent="0.7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N11" s="32"/>
      <c r="O11" s="32"/>
      <c r="P11" s="32"/>
      <c r="Q11" s="32"/>
      <c r="R11" s="32"/>
      <c r="S11" s="32"/>
      <c r="T11" s="32"/>
    </row>
    <row r="12" spans="2:24" ht="29.25" customHeight="1" thickBot="1" x14ac:dyDescent="0.35">
      <c r="B12" s="33" t="s">
        <v>61</v>
      </c>
      <c r="C12" s="27"/>
      <c r="D12" s="27"/>
      <c r="E12" s="27"/>
      <c r="F12" s="27"/>
      <c r="G12" s="27"/>
      <c r="H12" s="71" t="s">
        <v>9</v>
      </c>
      <c r="I12" s="71"/>
      <c r="J12" s="71"/>
      <c r="K12" s="71" t="s">
        <v>10</v>
      </c>
      <c r="L12" s="71"/>
      <c r="M12" s="71" t="s">
        <v>11</v>
      </c>
      <c r="N12" s="71"/>
      <c r="O12" s="57"/>
      <c r="P12" s="57"/>
      <c r="Q12" s="72" t="s">
        <v>12</v>
      </c>
      <c r="R12" s="73"/>
      <c r="S12" s="73"/>
      <c r="T12" s="73"/>
      <c r="U12" s="73"/>
      <c r="V12" s="74"/>
    </row>
    <row r="13" spans="2:24" s="2" customFormat="1" ht="81.599999999999994" customHeight="1" x14ac:dyDescent="0.3">
      <c r="B13" s="58" t="s">
        <v>13</v>
      </c>
      <c r="C13" s="58" t="s">
        <v>14</v>
      </c>
      <c r="D13" s="58" t="s">
        <v>15</v>
      </c>
      <c r="E13" s="58" t="s">
        <v>16</v>
      </c>
      <c r="F13" s="58" t="s">
        <v>63</v>
      </c>
      <c r="G13" s="58" t="s">
        <v>17</v>
      </c>
      <c r="H13" s="58" t="s">
        <v>18</v>
      </c>
      <c r="I13" s="58" t="s">
        <v>19</v>
      </c>
      <c r="J13" s="58" t="s">
        <v>20</v>
      </c>
      <c r="K13" s="60" t="s">
        <v>21</v>
      </c>
      <c r="L13" s="60" t="s">
        <v>52</v>
      </c>
      <c r="M13" s="58" t="s">
        <v>22</v>
      </c>
      <c r="N13" s="59" t="s">
        <v>76</v>
      </c>
      <c r="O13" s="59" t="s">
        <v>77</v>
      </c>
      <c r="P13" s="59" t="s">
        <v>51</v>
      </c>
      <c r="Q13" s="58" t="s">
        <v>24</v>
      </c>
      <c r="R13" s="58" t="s">
        <v>25</v>
      </c>
      <c r="S13" s="58" t="s">
        <v>58</v>
      </c>
      <c r="T13" s="58" t="s">
        <v>26</v>
      </c>
      <c r="U13" s="58" t="s">
        <v>27</v>
      </c>
      <c r="V13" s="58" t="s">
        <v>28</v>
      </c>
    </row>
    <row r="14" spans="2:24" ht="64.95" customHeight="1" x14ac:dyDescent="0.3">
      <c r="B14" s="37" t="s">
        <v>29</v>
      </c>
      <c r="C14" s="38" t="s">
        <v>53</v>
      </c>
      <c r="D14" s="39" t="s">
        <v>30</v>
      </c>
      <c r="E14" s="40" t="s">
        <v>31</v>
      </c>
      <c r="F14" s="40" t="s">
        <v>64</v>
      </c>
      <c r="G14" s="37" t="s">
        <v>54</v>
      </c>
      <c r="H14" s="62">
        <v>571428.57142857148</v>
      </c>
      <c r="I14" s="61">
        <v>864722</v>
      </c>
      <c r="J14" s="41">
        <f>I14/H14</f>
        <v>1.5132634999999999</v>
      </c>
      <c r="K14" s="42">
        <v>0.35</v>
      </c>
      <c r="L14" s="42">
        <f>N14/I14</f>
        <v>0.23122389623485931</v>
      </c>
      <c r="M14" s="43">
        <v>216000</v>
      </c>
      <c r="N14" s="43">
        <v>199944.39</v>
      </c>
      <c r="O14" s="43">
        <f>M14-N14</f>
        <v>16055.609999999986</v>
      </c>
      <c r="P14" s="43">
        <f>N14*0.08</f>
        <v>15995.551200000002</v>
      </c>
      <c r="Q14" s="44"/>
      <c r="R14" s="61" t="s">
        <v>59</v>
      </c>
      <c r="S14" s="61"/>
      <c r="T14" s="45"/>
      <c r="U14" s="46" t="e">
        <f>T14/S14</f>
        <v>#DIV/0!</v>
      </c>
      <c r="V14" s="47"/>
    </row>
    <row r="15" spans="2:24" ht="64.95" customHeight="1" x14ac:dyDescent="0.3">
      <c r="B15" s="37" t="s">
        <v>29</v>
      </c>
      <c r="C15" s="38" t="s">
        <v>53</v>
      </c>
      <c r="D15" s="39" t="s">
        <v>30</v>
      </c>
      <c r="E15" s="40" t="s">
        <v>31</v>
      </c>
      <c r="F15" s="40" t="s">
        <v>64</v>
      </c>
      <c r="G15" s="37" t="s">
        <v>70</v>
      </c>
      <c r="H15" s="66">
        <v>7142857.1428571427</v>
      </c>
      <c r="I15" s="63">
        <v>4644311</v>
      </c>
      <c r="J15" s="41">
        <f>I15/H15</f>
        <v>0.65020354000000002</v>
      </c>
      <c r="K15" s="42">
        <v>70</v>
      </c>
      <c r="L15" s="42">
        <f>N15/I15*1000</f>
        <v>107.65319764331028</v>
      </c>
      <c r="M15" s="43">
        <v>540000</v>
      </c>
      <c r="N15" s="43">
        <v>499974.93</v>
      </c>
      <c r="O15" s="43">
        <f t="shared" ref="O15:O24" si="0">M15-N15</f>
        <v>40025.070000000007</v>
      </c>
      <c r="P15" s="43">
        <f t="shared" ref="P15:P24" si="1">N15*0.08</f>
        <v>39997.994400000003</v>
      </c>
      <c r="Q15" s="44"/>
      <c r="R15" s="61"/>
      <c r="S15" s="61"/>
      <c r="T15" s="45"/>
      <c r="U15" s="46"/>
      <c r="V15" s="47"/>
    </row>
    <row r="16" spans="2:24" ht="64.95" customHeight="1" x14ac:dyDescent="0.3">
      <c r="B16" s="37" t="s">
        <v>29</v>
      </c>
      <c r="C16" s="38" t="s">
        <v>53</v>
      </c>
      <c r="D16" s="39" t="s">
        <v>30</v>
      </c>
      <c r="E16" s="40" t="s">
        <v>31</v>
      </c>
      <c r="F16" s="40" t="s">
        <v>65</v>
      </c>
      <c r="G16" s="37" t="s">
        <v>54</v>
      </c>
      <c r="H16" s="62">
        <v>571428.57142857148</v>
      </c>
      <c r="I16" s="61">
        <v>0</v>
      </c>
      <c r="J16" s="41">
        <f t="shared" ref="J16:J23" si="2">I16/H16</f>
        <v>0</v>
      </c>
      <c r="K16" s="42">
        <v>0.35</v>
      </c>
      <c r="L16" s="42" t="e">
        <f>N16/I16*1000</f>
        <v>#DIV/0!</v>
      </c>
      <c r="M16" s="43">
        <v>216000</v>
      </c>
      <c r="N16" s="43">
        <v>0</v>
      </c>
      <c r="O16" s="43">
        <f t="shared" si="0"/>
        <v>216000</v>
      </c>
      <c r="P16" s="43">
        <f t="shared" si="1"/>
        <v>0</v>
      </c>
      <c r="Q16" s="44"/>
      <c r="R16" s="61"/>
      <c r="S16" s="61"/>
      <c r="T16" s="45"/>
      <c r="U16" s="46"/>
      <c r="V16" s="47"/>
    </row>
    <row r="17" spans="2:24" ht="64.95" customHeight="1" x14ac:dyDescent="0.3">
      <c r="B17" s="37" t="s">
        <v>29</v>
      </c>
      <c r="C17" s="38" t="s">
        <v>55</v>
      </c>
      <c r="D17" s="39" t="s">
        <v>56</v>
      </c>
      <c r="E17" s="40" t="s">
        <v>31</v>
      </c>
      <c r="F17" s="40" t="s">
        <v>64</v>
      </c>
      <c r="G17" s="37" t="s">
        <v>57</v>
      </c>
      <c r="H17" s="66">
        <v>9000000</v>
      </c>
      <c r="I17" s="63">
        <v>4263536</v>
      </c>
      <c r="J17" s="41">
        <f t="shared" si="2"/>
        <v>0.47372622222222222</v>
      </c>
      <c r="K17" s="42">
        <v>50</v>
      </c>
      <c r="L17" s="42">
        <f>N17/I17*1000</f>
        <v>105.54619452022922</v>
      </c>
      <c r="M17" s="43">
        <v>450000</v>
      </c>
      <c r="N17" s="43">
        <v>450000</v>
      </c>
      <c r="O17" s="43">
        <f t="shared" si="0"/>
        <v>0</v>
      </c>
      <c r="P17" s="43">
        <f t="shared" si="1"/>
        <v>36000</v>
      </c>
      <c r="Q17" s="44"/>
      <c r="R17" s="61"/>
      <c r="S17" s="61"/>
      <c r="T17" s="45"/>
      <c r="U17" s="46"/>
      <c r="V17" s="47"/>
    </row>
    <row r="18" spans="2:24" ht="64.95" customHeight="1" x14ac:dyDescent="0.3">
      <c r="B18" s="37" t="s">
        <v>29</v>
      </c>
      <c r="C18" s="38" t="s">
        <v>55</v>
      </c>
      <c r="D18" s="39" t="s">
        <v>56</v>
      </c>
      <c r="E18" s="40" t="s">
        <v>31</v>
      </c>
      <c r="F18" s="40" t="s">
        <v>65</v>
      </c>
      <c r="G18" s="37" t="s">
        <v>57</v>
      </c>
      <c r="H18" s="66">
        <v>2666666.6666666665</v>
      </c>
      <c r="I18" s="63">
        <v>0</v>
      </c>
      <c r="J18" s="41">
        <f t="shared" si="2"/>
        <v>0</v>
      </c>
      <c r="K18" s="42">
        <v>60</v>
      </c>
      <c r="L18" s="42" t="s">
        <v>59</v>
      </c>
      <c r="M18" s="43">
        <v>160000</v>
      </c>
      <c r="N18" s="43">
        <v>0</v>
      </c>
      <c r="O18" s="43">
        <f t="shared" si="0"/>
        <v>160000</v>
      </c>
      <c r="P18" s="43">
        <f t="shared" si="1"/>
        <v>0</v>
      </c>
      <c r="Q18" s="44"/>
      <c r="R18" s="61"/>
      <c r="S18" s="61"/>
      <c r="T18" s="45"/>
      <c r="U18" s="46"/>
      <c r="V18" s="47"/>
    </row>
    <row r="19" spans="2:24" ht="64.95" customHeight="1" x14ac:dyDescent="0.3">
      <c r="B19" s="37" t="s">
        <v>29</v>
      </c>
      <c r="C19" s="38" t="s">
        <v>55</v>
      </c>
      <c r="D19" s="39" t="s">
        <v>56</v>
      </c>
      <c r="E19" s="40" t="s">
        <v>31</v>
      </c>
      <c r="F19" s="40" t="s">
        <v>66</v>
      </c>
      <c r="G19" s="37" t="s">
        <v>57</v>
      </c>
      <c r="H19" s="66">
        <v>500000</v>
      </c>
      <c r="I19" s="63">
        <v>475437</v>
      </c>
      <c r="J19" s="41">
        <f t="shared" si="2"/>
        <v>0.950874</v>
      </c>
      <c r="K19" s="42">
        <v>60</v>
      </c>
      <c r="L19" s="42">
        <f>N19/I19*1000</f>
        <v>60.000000000000007</v>
      </c>
      <c r="M19" s="43">
        <v>30000</v>
      </c>
      <c r="N19" s="43">
        <f>K19*I19/1000</f>
        <v>28526.22</v>
      </c>
      <c r="O19" s="43">
        <f t="shared" si="0"/>
        <v>1473.7799999999988</v>
      </c>
      <c r="P19" s="43">
        <f t="shared" si="1"/>
        <v>2282.0976000000001</v>
      </c>
      <c r="Q19" s="44"/>
      <c r="R19" s="61"/>
      <c r="S19" s="61"/>
      <c r="T19" s="45"/>
      <c r="U19" s="46"/>
      <c r="V19" s="47"/>
    </row>
    <row r="20" spans="2:24" ht="64.95" customHeight="1" x14ac:dyDescent="0.3">
      <c r="B20" s="37" t="s">
        <v>29</v>
      </c>
      <c r="C20" s="38" t="s">
        <v>55</v>
      </c>
      <c r="D20" s="39" t="s">
        <v>56</v>
      </c>
      <c r="E20" s="40" t="s">
        <v>31</v>
      </c>
      <c r="F20" s="40" t="s">
        <v>67</v>
      </c>
      <c r="G20" s="37" t="s">
        <v>57</v>
      </c>
      <c r="H20" s="66">
        <v>500000</v>
      </c>
      <c r="I20" s="63">
        <v>615378</v>
      </c>
      <c r="J20" s="41">
        <f t="shared" si="2"/>
        <v>1.230756</v>
      </c>
      <c r="K20" s="42">
        <v>60</v>
      </c>
      <c r="L20" s="42">
        <f>N20/I20*1000</f>
        <v>48.750524068133728</v>
      </c>
      <c r="M20" s="43">
        <v>30000</v>
      </c>
      <c r="N20" s="43">
        <v>30000</v>
      </c>
      <c r="O20" s="43">
        <f t="shared" si="0"/>
        <v>0</v>
      </c>
      <c r="P20" s="43">
        <f t="shared" si="1"/>
        <v>2400</v>
      </c>
      <c r="Q20" s="44"/>
      <c r="R20" s="61"/>
      <c r="S20" s="61"/>
      <c r="T20" s="45"/>
      <c r="U20" s="46"/>
      <c r="V20" s="47"/>
    </row>
    <row r="21" spans="2:24" ht="64.95" customHeight="1" x14ac:dyDescent="0.3">
      <c r="B21" s="37" t="s">
        <v>29</v>
      </c>
      <c r="C21" s="38" t="s">
        <v>55</v>
      </c>
      <c r="D21" s="39" t="s">
        <v>56</v>
      </c>
      <c r="E21" s="40" t="s">
        <v>31</v>
      </c>
      <c r="F21" s="40" t="s">
        <v>66</v>
      </c>
      <c r="G21" s="37" t="s">
        <v>57</v>
      </c>
      <c r="H21" s="66">
        <v>500000</v>
      </c>
      <c r="I21" s="63">
        <v>579428</v>
      </c>
      <c r="J21" s="41">
        <f t="shared" si="2"/>
        <v>1.1588560000000001</v>
      </c>
      <c r="K21" s="42">
        <v>60</v>
      </c>
      <c r="L21" s="42">
        <f>N21/I21*1000</f>
        <v>51.775198989348119</v>
      </c>
      <c r="M21" s="43">
        <v>30000</v>
      </c>
      <c r="N21" s="43">
        <f>M21</f>
        <v>30000</v>
      </c>
      <c r="O21" s="43">
        <f t="shared" si="0"/>
        <v>0</v>
      </c>
      <c r="P21" s="43">
        <f t="shared" si="1"/>
        <v>2400</v>
      </c>
      <c r="Q21" s="44"/>
      <c r="R21" s="61"/>
      <c r="S21" s="61"/>
      <c r="T21" s="45"/>
      <c r="U21" s="46"/>
      <c r="V21" s="47"/>
    </row>
    <row r="22" spans="2:24" ht="64.95" customHeight="1" x14ac:dyDescent="0.3">
      <c r="B22" s="37" t="s">
        <v>29</v>
      </c>
      <c r="C22" s="38" t="s">
        <v>55</v>
      </c>
      <c r="D22" s="39" t="s">
        <v>56</v>
      </c>
      <c r="E22" s="40" t="s">
        <v>31</v>
      </c>
      <c r="F22" s="40" t="s">
        <v>68</v>
      </c>
      <c r="G22" s="37" t="s">
        <v>57</v>
      </c>
      <c r="H22" s="66">
        <v>500000</v>
      </c>
      <c r="I22" s="63">
        <v>0</v>
      </c>
      <c r="J22" s="41">
        <f t="shared" si="2"/>
        <v>0</v>
      </c>
      <c r="K22" s="42">
        <v>60</v>
      </c>
      <c r="L22" s="42" t="s">
        <v>32</v>
      </c>
      <c r="M22" s="43">
        <v>30000</v>
      </c>
      <c r="N22" s="43">
        <v>0</v>
      </c>
      <c r="O22" s="43">
        <f t="shared" si="0"/>
        <v>30000</v>
      </c>
      <c r="P22" s="43">
        <f t="shared" si="1"/>
        <v>0</v>
      </c>
      <c r="Q22" s="44"/>
      <c r="R22" s="61"/>
      <c r="S22" s="61"/>
      <c r="T22" s="45"/>
      <c r="U22" s="46"/>
      <c r="V22" s="47"/>
    </row>
    <row r="23" spans="2:24" ht="64.95" customHeight="1" x14ac:dyDescent="0.3">
      <c r="B23" s="37" t="s">
        <v>29</v>
      </c>
      <c r="C23" s="38" t="s">
        <v>55</v>
      </c>
      <c r="D23" s="39" t="s">
        <v>56</v>
      </c>
      <c r="E23" s="40" t="s">
        <v>31</v>
      </c>
      <c r="F23" s="40" t="s">
        <v>69</v>
      </c>
      <c r="G23" s="37" t="s">
        <v>57</v>
      </c>
      <c r="H23" s="66">
        <v>500000</v>
      </c>
      <c r="I23" s="63">
        <v>0</v>
      </c>
      <c r="J23" s="41">
        <f t="shared" si="2"/>
        <v>0</v>
      </c>
      <c r="K23" s="42">
        <v>60</v>
      </c>
      <c r="L23" s="67" t="s">
        <v>32</v>
      </c>
      <c r="M23" s="43">
        <v>30000</v>
      </c>
      <c r="N23" s="43">
        <v>0</v>
      </c>
      <c r="O23" s="43">
        <f t="shared" si="0"/>
        <v>30000</v>
      </c>
      <c r="P23" s="43">
        <f t="shared" si="1"/>
        <v>0</v>
      </c>
      <c r="Q23" s="44"/>
      <c r="R23" s="63"/>
      <c r="S23" s="63"/>
      <c r="T23" s="45"/>
      <c r="U23" s="46" t="e">
        <f>T23/S23</f>
        <v>#DIV/0!</v>
      </c>
      <c r="V23" s="47"/>
    </row>
    <row r="24" spans="2:24" ht="91.8" customHeight="1" x14ac:dyDescent="0.3">
      <c r="B24" s="37" t="s">
        <v>29</v>
      </c>
      <c r="C24" s="38" t="s">
        <v>62</v>
      </c>
      <c r="D24" s="39" t="s">
        <v>56</v>
      </c>
      <c r="E24" s="40" t="s">
        <v>31</v>
      </c>
      <c r="F24" s="40" t="s">
        <v>64</v>
      </c>
      <c r="G24" s="37" t="s">
        <v>71</v>
      </c>
      <c r="H24" s="66" t="s">
        <v>72</v>
      </c>
      <c r="I24" s="63" t="s">
        <v>72</v>
      </c>
      <c r="J24" s="41">
        <v>1</v>
      </c>
      <c r="K24" s="42" t="s">
        <v>72</v>
      </c>
      <c r="L24" s="63" t="s">
        <v>72</v>
      </c>
      <c r="M24" s="43">
        <v>90000</v>
      </c>
      <c r="N24" s="43">
        <f>M24</f>
        <v>90000</v>
      </c>
      <c r="O24" s="43">
        <f t="shared" si="0"/>
        <v>0</v>
      </c>
      <c r="P24" s="43">
        <f t="shared" si="1"/>
        <v>7200</v>
      </c>
      <c r="Q24" s="51"/>
      <c r="R24" s="50">
        <f>SUM(R14:R23)</f>
        <v>0</v>
      </c>
      <c r="S24" s="49">
        <f>SUM(S14:S23)</f>
        <v>0</v>
      </c>
      <c r="T24" s="52">
        <f>SUM(T14:T23)</f>
        <v>0</v>
      </c>
      <c r="U24" s="53"/>
      <c r="V24" s="54"/>
      <c r="W24" s="28"/>
      <c r="X24" s="35"/>
    </row>
    <row r="25" spans="2:24" ht="41.4" x14ac:dyDescent="0.3">
      <c r="B25" s="48"/>
      <c r="C25" s="48"/>
      <c r="D25" s="48"/>
      <c r="E25" s="48"/>
      <c r="F25" s="48"/>
      <c r="G25" s="48"/>
      <c r="H25" s="64">
        <f>SUM(H17:H24)</f>
        <v>14166666.666666666</v>
      </c>
      <c r="I25" s="64">
        <f>SUM(I17:I24)</f>
        <v>5933779</v>
      </c>
      <c r="J25" s="55"/>
      <c r="K25" s="56"/>
      <c r="L25" s="56"/>
      <c r="M25" s="69">
        <f>M14+M15+M16+M17+M18+M19+M204+M20+M21+M22+M23+M24</f>
        <v>1822000</v>
      </c>
      <c r="N25" s="69">
        <f>N16+N17+N18+N19+N204+N20+N21+N22+N2+N14+N15+N24</f>
        <v>1328445.54</v>
      </c>
      <c r="O25" s="69">
        <f>O14+O15+O16+O17+O18+O19+O204+O20+O21+O22+O23+O24</f>
        <v>493554.45999999996</v>
      </c>
      <c r="P25" s="69">
        <f>P14+P15+P16+P17+P18+P19+P204+P20+P21+P22+P23+P24</f>
        <v>106275.64320000001</v>
      </c>
      <c r="Q25" s="48"/>
      <c r="R25" s="50"/>
      <c r="S25" s="50"/>
      <c r="T25" s="48"/>
      <c r="U25" s="56"/>
      <c r="V25" s="56"/>
      <c r="W25" s="34"/>
      <c r="X25" s="34"/>
    </row>
    <row r="26" spans="2:24" ht="26.4" x14ac:dyDescent="0.3">
      <c r="B26" s="27"/>
      <c r="C26" s="27"/>
      <c r="D26" s="27"/>
      <c r="E26" s="27"/>
      <c r="F26" s="27"/>
      <c r="G26" s="27"/>
      <c r="H26" s="65">
        <f>SUM(H16,H14)</f>
        <v>1142857.142857143</v>
      </c>
      <c r="I26" s="65">
        <f>SUM(I16,I14)</f>
        <v>864722</v>
      </c>
      <c r="J26" s="34"/>
      <c r="K26" s="34"/>
      <c r="L26" s="34"/>
      <c r="M26" s="34"/>
      <c r="N26" s="27"/>
      <c r="O26" s="27"/>
      <c r="P26" s="27"/>
      <c r="Q26" s="27"/>
      <c r="R26" s="27"/>
      <c r="S26" s="27"/>
      <c r="T26" s="27"/>
      <c r="U26" s="34"/>
      <c r="V26" s="34"/>
      <c r="W26" s="34"/>
      <c r="X26" s="34"/>
    </row>
    <row r="27" spans="2:24" ht="24" x14ac:dyDescent="0.3">
      <c r="H27" s="36"/>
      <c r="I27" s="36"/>
    </row>
    <row r="28" spans="2:24" hidden="1" x14ac:dyDescent="0.3"/>
    <row r="29" spans="2:24" hidden="1" x14ac:dyDescent="0.3"/>
    <row r="30" spans="2:24" ht="18.600000000000001" hidden="1" thickBot="1" x14ac:dyDescent="0.35"/>
    <row r="31" spans="2:24" ht="60" hidden="1" customHeight="1" thickBot="1" x14ac:dyDescent="0.35">
      <c r="B31" s="68" t="s">
        <v>73</v>
      </c>
      <c r="C31" s="27"/>
      <c r="D31" s="27"/>
      <c r="E31" s="27"/>
      <c r="F31" s="27"/>
      <c r="G31" s="27"/>
      <c r="H31" s="71" t="s">
        <v>9</v>
      </c>
      <c r="I31" s="71"/>
      <c r="J31" s="71"/>
      <c r="K31" s="71" t="s">
        <v>10</v>
      </c>
      <c r="L31" s="71"/>
      <c r="M31" s="71" t="s">
        <v>11</v>
      </c>
      <c r="N31" s="71"/>
      <c r="O31" s="57"/>
      <c r="P31" s="57"/>
      <c r="Q31" s="72" t="s">
        <v>12</v>
      </c>
      <c r="R31" s="73"/>
      <c r="S31" s="73"/>
      <c r="T31" s="73"/>
      <c r="U31" s="73"/>
      <c r="V31" s="74"/>
    </row>
    <row r="32" spans="2:24" s="2" customFormat="1" ht="81.599999999999994" hidden="1" customHeight="1" x14ac:dyDescent="0.3">
      <c r="B32" s="58" t="s">
        <v>13</v>
      </c>
      <c r="C32" s="58" t="s">
        <v>14</v>
      </c>
      <c r="D32" s="58" t="s">
        <v>15</v>
      </c>
      <c r="E32" s="58" t="s">
        <v>16</v>
      </c>
      <c r="F32" s="58" t="s">
        <v>63</v>
      </c>
      <c r="G32" s="58" t="s">
        <v>17</v>
      </c>
      <c r="H32" s="58" t="s">
        <v>18</v>
      </c>
      <c r="I32" s="58" t="s">
        <v>19</v>
      </c>
      <c r="J32" s="58" t="s">
        <v>20</v>
      </c>
      <c r="K32" s="60" t="s">
        <v>21</v>
      </c>
      <c r="L32" s="60" t="s">
        <v>52</v>
      </c>
      <c r="M32" s="58" t="s">
        <v>22</v>
      </c>
      <c r="N32" s="59" t="s">
        <v>23</v>
      </c>
      <c r="O32" s="59" t="s">
        <v>77</v>
      </c>
      <c r="P32" s="59" t="s">
        <v>51</v>
      </c>
      <c r="Q32" s="58" t="s">
        <v>24</v>
      </c>
      <c r="R32" s="58" t="s">
        <v>25</v>
      </c>
      <c r="S32" s="58" t="s">
        <v>58</v>
      </c>
      <c r="T32" s="58" t="s">
        <v>26</v>
      </c>
      <c r="U32" s="58" t="s">
        <v>27</v>
      </c>
      <c r="V32" s="58" t="s">
        <v>28</v>
      </c>
    </row>
    <row r="33" spans="2:22" ht="64.95" hidden="1" customHeight="1" x14ac:dyDescent="0.3">
      <c r="B33" s="37" t="s">
        <v>29</v>
      </c>
      <c r="C33" s="38" t="s">
        <v>55</v>
      </c>
      <c r="D33" s="39" t="s">
        <v>56</v>
      </c>
      <c r="E33" s="40" t="s">
        <v>74</v>
      </c>
      <c r="F33" s="40" t="s">
        <v>64</v>
      </c>
      <c r="G33" s="37" t="s">
        <v>57</v>
      </c>
      <c r="H33" s="66">
        <v>1300000</v>
      </c>
      <c r="I33" s="63">
        <v>490162</v>
      </c>
      <c r="J33" s="41">
        <f>I33/H33</f>
        <v>0.37704769230769231</v>
      </c>
      <c r="K33" s="42">
        <v>200</v>
      </c>
      <c r="L33" s="42">
        <f>N33/I33*1000</f>
        <v>530.39260489389221</v>
      </c>
      <c r="M33" s="43">
        <v>260000</v>
      </c>
      <c r="N33" s="43">
        <v>259978.3</v>
      </c>
      <c r="O33" s="43">
        <f>M33-N33</f>
        <v>21.700000000011642</v>
      </c>
      <c r="P33" s="43">
        <f>N33*0.08</f>
        <v>20798.263999999999</v>
      </c>
      <c r="Q33" s="44"/>
      <c r="R33" s="61" t="s">
        <v>59</v>
      </c>
      <c r="S33" s="61"/>
      <c r="T33" s="45"/>
      <c r="U33" s="46" t="e">
        <f>T33/S33</f>
        <v>#DIV/0!</v>
      </c>
      <c r="V33" s="47"/>
    </row>
    <row r="34" spans="2:22" ht="64.95" hidden="1" customHeight="1" x14ac:dyDescent="0.3">
      <c r="B34" s="37" t="s">
        <v>29</v>
      </c>
      <c r="C34" s="38" t="s">
        <v>55</v>
      </c>
      <c r="D34" s="39" t="s">
        <v>56</v>
      </c>
      <c r="E34" s="40" t="s">
        <v>75</v>
      </c>
      <c r="F34" s="40" t="s">
        <v>64</v>
      </c>
      <c r="G34" s="37" t="s">
        <v>57</v>
      </c>
      <c r="H34" s="66">
        <v>1300000</v>
      </c>
      <c r="I34" s="63">
        <v>1914388</v>
      </c>
      <c r="J34" s="41">
        <f>I34/H34</f>
        <v>1.4726061538461539</v>
      </c>
      <c r="K34" s="42">
        <v>200</v>
      </c>
      <c r="L34" s="42">
        <f>N34/I34*1000</f>
        <v>135.81363861453374</v>
      </c>
      <c r="M34" s="43">
        <v>260000</v>
      </c>
      <c r="N34" s="43">
        <v>260000</v>
      </c>
      <c r="O34" s="43">
        <f>M34-N34</f>
        <v>0</v>
      </c>
      <c r="P34" s="43">
        <f>N34*0.08</f>
        <v>20800</v>
      </c>
      <c r="Q34" s="44"/>
      <c r="R34" s="61"/>
      <c r="S34" s="61"/>
      <c r="T34" s="45"/>
      <c r="U34" s="46"/>
      <c r="V34" s="47"/>
    </row>
    <row r="35" spans="2:22" ht="29.4" hidden="1" x14ac:dyDescent="0.3">
      <c r="H35" s="64">
        <f>SUM(H33:H34)</f>
        <v>2600000</v>
      </c>
      <c r="M35" s="70">
        <f>M33+M34</f>
        <v>520000</v>
      </c>
      <c r="N35" s="70">
        <f>N33+N34</f>
        <v>519978.3</v>
      </c>
      <c r="O35" s="70">
        <f>O33+O34</f>
        <v>21.700000000011642</v>
      </c>
      <c r="P35" s="70">
        <f>P33+P34</f>
        <v>41598.263999999996</v>
      </c>
    </row>
    <row r="36" spans="2:22" hidden="1" x14ac:dyDescent="0.3"/>
    <row r="37" spans="2:22" hidden="1" x14ac:dyDescent="0.3"/>
    <row r="38" spans="2:22" hidden="1" x14ac:dyDescent="0.3"/>
    <row r="39" spans="2:22" hidden="1" x14ac:dyDescent="0.3"/>
    <row r="40" spans="2:22" x14ac:dyDescent="0.3">
      <c r="N40" s="1"/>
      <c r="O40" s="1"/>
      <c r="P40" s="1"/>
    </row>
    <row r="41" spans="2:22" x14ac:dyDescent="0.3">
      <c r="N41" s="1"/>
      <c r="O41" s="1"/>
      <c r="P41" s="1"/>
    </row>
    <row r="42" spans="2:22" x14ac:dyDescent="0.3">
      <c r="N42" s="1"/>
      <c r="O42" s="1"/>
      <c r="P42" s="1"/>
    </row>
    <row r="43" spans="2:22" x14ac:dyDescent="0.3">
      <c r="N43" s="1"/>
      <c r="O43" s="1"/>
      <c r="P43" s="1"/>
    </row>
    <row r="44" spans="2:22" x14ac:dyDescent="0.3">
      <c r="N44" s="1"/>
      <c r="O44" s="1"/>
      <c r="P44" s="1"/>
    </row>
    <row r="45" spans="2:22" x14ac:dyDescent="0.3">
      <c r="N45" s="1"/>
      <c r="O45" s="1"/>
      <c r="P45" s="1"/>
    </row>
    <row r="46" spans="2:22" x14ac:dyDescent="0.3">
      <c r="N46" s="1"/>
      <c r="O46" s="1"/>
      <c r="P46" s="1"/>
    </row>
    <row r="47" spans="2:22" x14ac:dyDescent="0.3">
      <c r="N47" s="1"/>
      <c r="O47" s="1"/>
      <c r="P47" s="1"/>
    </row>
    <row r="48" spans="2:22" x14ac:dyDescent="0.3">
      <c r="N48" s="1"/>
      <c r="O48" s="1"/>
      <c r="P48" s="1"/>
    </row>
    <row r="49" spans="14:16" x14ac:dyDescent="0.3">
      <c r="N49" s="1"/>
      <c r="O49" s="1"/>
      <c r="P49" s="1"/>
    </row>
    <row r="50" spans="14:16" x14ac:dyDescent="0.3">
      <c r="N50" s="1"/>
      <c r="O50" s="1"/>
      <c r="P50" s="1"/>
    </row>
    <row r="51" spans="14:16" x14ac:dyDescent="0.3">
      <c r="N51" s="1"/>
      <c r="O51" s="1"/>
      <c r="P51" s="1"/>
    </row>
    <row r="52" spans="14:16" x14ac:dyDescent="0.3">
      <c r="N52" s="1"/>
      <c r="O52" s="1"/>
      <c r="P52" s="1"/>
    </row>
  </sheetData>
  <mergeCells count="24">
    <mergeCell ref="B9:D9"/>
    <mergeCell ref="E9:G9"/>
    <mergeCell ref="B6:D6"/>
    <mergeCell ref="E6:G6"/>
    <mergeCell ref="B7:D7"/>
    <mergeCell ref="E7:G7"/>
    <mergeCell ref="B8:D8"/>
    <mergeCell ref="E8:G8"/>
    <mergeCell ref="H31:J31"/>
    <mergeCell ref="K31:L31"/>
    <mergeCell ref="M31:N31"/>
    <mergeCell ref="Q31:V31"/>
    <mergeCell ref="B2:D2"/>
    <mergeCell ref="E2:G2"/>
    <mergeCell ref="B3:D3"/>
    <mergeCell ref="E3:G3"/>
    <mergeCell ref="B4:D4"/>
    <mergeCell ref="E4:G4"/>
    <mergeCell ref="B5:D5"/>
    <mergeCell ref="E5:G5"/>
    <mergeCell ref="Q12:V12"/>
    <mergeCell ref="H12:J12"/>
    <mergeCell ref="M12:N12"/>
    <mergeCell ref="K12:L12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33</v>
      </c>
      <c r="D2" s="8" t="s">
        <v>34</v>
      </c>
      <c r="E2" s="9" t="s">
        <v>35</v>
      </c>
      <c r="F2" s="7" t="s">
        <v>36</v>
      </c>
      <c r="G2" s="7" t="s">
        <v>37</v>
      </c>
    </row>
    <row r="3" spans="3:8" x14ac:dyDescent="0.55000000000000004">
      <c r="C3" s="3" t="s">
        <v>38</v>
      </c>
      <c r="D3" s="6">
        <v>87000</v>
      </c>
    </row>
    <row r="4" spans="3:8" x14ac:dyDescent="0.55000000000000004">
      <c r="C4" s="3" t="s">
        <v>39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40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41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42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43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37</v>
      </c>
      <c r="L2" s="15" t="s">
        <v>44</v>
      </c>
      <c r="M2" s="16" t="s">
        <v>45</v>
      </c>
      <c r="N2" s="15" t="s">
        <v>46</v>
      </c>
    </row>
    <row r="3" spans="11:18" hidden="1" x14ac:dyDescent="0.3">
      <c r="K3" s="12" t="s">
        <v>38</v>
      </c>
      <c r="L3" s="11">
        <f>N9/N3</f>
        <v>96502.057613168712</v>
      </c>
      <c r="M3" s="13" t="s">
        <v>32</v>
      </c>
      <c r="N3" s="17">
        <v>4.8600000000000003</v>
      </c>
    </row>
    <row r="4" spans="11:18" x14ac:dyDescent="0.3">
      <c r="K4" s="24" t="s">
        <v>47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40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48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42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49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50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Özet Tablo </vt:lpstr>
      <vt:lpstr>Dijital Medya Raporu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Melek Kaya (growity)</cp:lastModifiedBy>
  <cp:revision/>
  <dcterms:created xsi:type="dcterms:W3CDTF">2018-12-05T15:00:15Z</dcterms:created>
  <dcterms:modified xsi:type="dcterms:W3CDTF">2026-07-06T12:57:21Z</dcterms:modified>
  <cp:category/>
  <cp:contentStatus/>
</cp:coreProperties>
</file>