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.z.k/Desktop/"/>
    </mc:Choice>
  </mc:AlternateContent>
  <xr:revisionPtr revIDLastSave="0" documentId="13_ncr:1_{23777D4D-A3AF-DD44-99F9-29E66C9087D0}" xr6:coauthVersionLast="47" xr6:coauthVersionMax="47" xr10:uidLastSave="{00000000-0000-0000-0000-000000000000}"/>
  <bookViews>
    <workbookView xWindow="0" yWindow="660" windowWidth="30240" windowHeight="18980" tabRatio="944" xr2:uid="{A72A2A60-117D-471A-B524-4999FE18A37A}"/>
  </bookViews>
  <sheets>
    <sheet name="Haziran Gerçekleşen Plan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</externalReferences>
  <definedNames>
    <definedName name="________________________________________________________________piv3">#REF!</definedName>
    <definedName name="______________________________________________________________piv3">#REF!</definedName>
    <definedName name="_____________________________________________________________piv3">#REF!</definedName>
    <definedName name="____________________________________________________________piv3">#REF!</definedName>
    <definedName name="___________________________________________________________der1">#REF!</definedName>
    <definedName name="___________________________________________________________der2">#REF!</definedName>
    <definedName name="___________________________________________________________KAN7">[1]Kategoriler!$A$227:$B$260</definedName>
    <definedName name="___________________________________________________________per3">#REF!</definedName>
    <definedName name="___________________________________________________________piv3">#REF!</definedName>
    <definedName name="___________________________________________________________TOZ2">#REF!</definedName>
    <definedName name="___________________________________________________________TRT1">#REF!</definedName>
    <definedName name="___________________________________________________________TV8">#REF!</definedName>
    <definedName name="__________________________________________________________piv3">#REF!</definedName>
    <definedName name="_________________________________________________________der1">#REF!</definedName>
    <definedName name="_________________________________________________________der2">#REF!</definedName>
    <definedName name="_________________________________________________________KAN7">#REF!</definedName>
    <definedName name="_________________________________________________________per3">#REF!</definedName>
    <definedName name="_________________________________________________________piv3">#REF!</definedName>
    <definedName name="_________________________________________________________TOZ2">#REF!</definedName>
    <definedName name="_________________________________________________________TRT1">#REF!</definedName>
    <definedName name="_________________________________________________________TV8">#REF!</definedName>
    <definedName name="________________________________________________________der1">#REF!</definedName>
    <definedName name="________________________________________________________der2">#REF!</definedName>
    <definedName name="________________________________________________________KAN7">#REF!</definedName>
    <definedName name="________________________________________________________per3">#REF!</definedName>
    <definedName name="________________________________________________________piv3">#REF!</definedName>
    <definedName name="________________________________________________________TOZ2">#REF!</definedName>
    <definedName name="________________________________________________________TRT1">#REF!</definedName>
    <definedName name="________________________________________________________TV8">#REF!</definedName>
    <definedName name="_______________________________________________________der1">#REF!</definedName>
    <definedName name="_______________________________________________________der2">#REF!</definedName>
    <definedName name="_______________________________________________________KAN7">#REF!</definedName>
    <definedName name="_______________________________________________________per3">#REF!</definedName>
    <definedName name="_______________________________________________________piv3">#REF!</definedName>
    <definedName name="_______________________________________________________TOZ2">#REF!</definedName>
    <definedName name="_______________________________________________________TRT1">#REF!</definedName>
    <definedName name="_______________________________________________________TV8">#REF!</definedName>
    <definedName name="______________________________________________________der1">#REF!</definedName>
    <definedName name="______________________________________________________der2">#REF!</definedName>
    <definedName name="______________________________________________________KAN7">#REF!</definedName>
    <definedName name="______________________________________________________per3">#REF!</definedName>
    <definedName name="______________________________________________________piv3">#REF!</definedName>
    <definedName name="______________________________________________________TOZ2">#REF!</definedName>
    <definedName name="______________________________________________________TRT1">#REF!</definedName>
    <definedName name="______________________________________________________TV8">#REF!</definedName>
    <definedName name="_____________________________________________________der1">#REF!</definedName>
    <definedName name="_____________________________________________________der2">#REF!</definedName>
    <definedName name="_____________________________________________________IV90000">[2]TUBORG!#REF!</definedName>
    <definedName name="_____________________________________________________KAN7">[1]Kategoriler!$A$227:$B$260</definedName>
    <definedName name="_____________________________________________________per3">#REF!</definedName>
    <definedName name="_____________________________________________________piv3">#REF!</definedName>
    <definedName name="_____________________________________________________TOP2000">#REF!</definedName>
    <definedName name="_____________________________________________________TOP97">#REF!</definedName>
    <definedName name="_____________________________________________________TOP98">#REF!</definedName>
    <definedName name="_____________________________________________________TOP99">#REF!</definedName>
    <definedName name="_____________________________________________________TOZ2">#REF!</definedName>
    <definedName name="_____________________________________________________TRT1">#REF!</definedName>
    <definedName name="_____________________________________________________TV8">#REF!</definedName>
    <definedName name="____________________________________________________der1">#REF!</definedName>
    <definedName name="____________________________________________________der2">#REF!</definedName>
    <definedName name="____________________________________________________IV90000">[2]TUBORG!#REF!</definedName>
    <definedName name="____________________________________________________KAN7">[1]Kategoriler!$A$227:$B$260</definedName>
    <definedName name="____________________________________________________per3">#REF!</definedName>
    <definedName name="____________________________________________________piv3">#REF!</definedName>
    <definedName name="____________________________________________________TOP2000">#REF!</definedName>
    <definedName name="____________________________________________________TOP97">#REF!</definedName>
    <definedName name="____________________________________________________TOP98">#REF!</definedName>
    <definedName name="____________________________________________________TOP99">#REF!</definedName>
    <definedName name="____________________________________________________TOZ2">#REF!</definedName>
    <definedName name="____________________________________________________TRT1">#REF!</definedName>
    <definedName name="____________________________________________________TV8">#REF!</definedName>
    <definedName name="___________________________________________________der1">#REF!</definedName>
    <definedName name="___________________________________________________der2">#REF!</definedName>
    <definedName name="___________________________________________________IV90000">[2]TUBORG!#REF!</definedName>
    <definedName name="___________________________________________________KAN7">[1]Kategoriler!$A$227:$B$260</definedName>
    <definedName name="___________________________________________________per3">#REF!</definedName>
    <definedName name="___________________________________________________piv3">#REF!</definedName>
    <definedName name="___________________________________________________TOP2000">#REF!</definedName>
    <definedName name="___________________________________________________TOP97">#REF!</definedName>
    <definedName name="___________________________________________________TOP98">#REF!</definedName>
    <definedName name="___________________________________________________TOP99">#REF!</definedName>
    <definedName name="___________________________________________________TOZ2">#REF!</definedName>
    <definedName name="___________________________________________________TRT1">#REF!</definedName>
    <definedName name="___________________________________________________TV8">#REF!</definedName>
    <definedName name="__________________________________________________der1">#REF!</definedName>
    <definedName name="__________________________________________________der2">#REF!</definedName>
    <definedName name="__________________________________________________IV90000">[2]TUBORG!#REF!</definedName>
    <definedName name="__________________________________________________KAN7">#REF!</definedName>
    <definedName name="__________________________________________________per3">#REF!</definedName>
    <definedName name="__________________________________________________piv3">#REF!</definedName>
    <definedName name="__________________________________________________TOP2000">#REF!</definedName>
    <definedName name="__________________________________________________TOP97">#REF!</definedName>
    <definedName name="__________________________________________________TOP98">#REF!</definedName>
    <definedName name="__________________________________________________TOP99">#REF!</definedName>
    <definedName name="__________________________________________________TOZ2">#REF!</definedName>
    <definedName name="__________________________________________________TRT1">#REF!</definedName>
    <definedName name="__________________________________________________TV8">#REF!</definedName>
    <definedName name="_________________________________________________all1">#REF!</definedName>
    <definedName name="_________________________________________________der1">#REF!</definedName>
    <definedName name="_________________________________________________der2">#REF!</definedName>
    <definedName name="_________________________________________________IV90000">[2]TUBORG!#REF!</definedName>
    <definedName name="_________________________________________________KAN7">[1]Kategoriler!$A$227:$B$260</definedName>
    <definedName name="_________________________________________________KUR2">#REF!</definedName>
    <definedName name="_________________________________________________ME1">#REF!</definedName>
    <definedName name="_________________________________________________ME2">#REF!</definedName>
    <definedName name="_________________________________________________ME3">#REF!</definedName>
    <definedName name="_________________________________________________ME4">#REF!</definedName>
    <definedName name="_________________________________________________ME5">#REF!</definedName>
    <definedName name="_________________________________________________ME6">#REF!</definedName>
    <definedName name="_________________________________________________ME7">#REF!</definedName>
    <definedName name="_________________________________________________ME8">#REF!</definedName>
    <definedName name="_________________________________________________per3">#REF!</definedName>
    <definedName name="_________________________________________________piv3">#REF!</definedName>
    <definedName name="_________________________________________________TOP2000">#REF!</definedName>
    <definedName name="_________________________________________________TOP97">#REF!</definedName>
    <definedName name="_________________________________________________TOP98">#REF!</definedName>
    <definedName name="_________________________________________________TOP99">#REF!</definedName>
    <definedName name="_________________________________________________TOZ2">#REF!</definedName>
    <definedName name="_________________________________________________TRT1">#REF!</definedName>
    <definedName name="_________________________________________________TV8">#REF!</definedName>
    <definedName name="________________________________________________der1">#REF!</definedName>
    <definedName name="________________________________________________der2">#REF!</definedName>
    <definedName name="________________________________________________IV90000">[3]TUBORG!#REF!</definedName>
    <definedName name="________________________________________________KAN7">[1]Kategoriler!$A$227:$B$260</definedName>
    <definedName name="________________________________________________per3">#REF!</definedName>
    <definedName name="________________________________________________piv3">#REF!</definedName>
    <definedName name="________________________________________________TOP2000">#REF!</definedName>
    <definedName name="________________________________________________TOP97">#REF!</definedName>
    <definedName name="________________________________________________TOP98">#REF!</definedName>
    <definedName name="________________________________________________TOP99">#REF!</definedName>
    <definedName name="________________________________________________TOZ2">#REF!</definedName>
    <definedName name="________________________________________________TRT1">#REF!</definedName>
    <definedName name="________________________________________________TV8">#REF!</definedName>
    <definedName name="_______________________________________________all1">#REF!</definedName>
    <definedName name="_______________________________________________der1">#REF!</definedName>
    <definedName name="_______________________________________________der2">#REF!</definedName>
    <definedName name="_______________________________________________IV90000">[2]TUBORG!#REF!</definedName>
    <definedName name="_______________________________________________KAN7">[1]Kategoriler!$A$227:$B$260</definedName>
    <definedName name="_______________________________________________KR11">[4]Foglio1!#REF!</definedName>
    <definedName name="_______________________________________________KR12">[4]Foglio1!#REF!</definedName>
    <definedName name="_______________________________________________KR13">[4]Foglio1!#REF!</definedName>
    <definedName name="_______________________________________________KR14">[4]Foglio1!#REF!</definedName>
    <definedName name="_______________________________________________KR15">[4]Foglio1!#REF!</definedName>
    <definedName name="_______________________________________________KR16">[4]Foglio1!#REF!</definedName>
    <definedName name="_______________________________________________KR17">[4]Foglio1!#REF!</definedName>
    <definedName name="_______________________________________________KR18">[4]Foglio1!#REF!</definedName>
    <definedName name="_______________________________________________KR19">[4]Foglio1!#REF!</definedName>
    <definedName name="_______________________________________________KRF10">[4]Foglio1!#REF!</definedName>
    <definedName name="_______________________________________________KRF6">[4]Foglio1!#REF!</definedName>
    <definedName name="_______________________________________________KRF7">[4]Foglio1!#REF!</definedName>
    <definedName name="_______________________________________________KRF8">[4]Foglio1!#REF!</definedName>
    <definedName name="_______________________________________________KRF9">[4]Foglio1!#REF!</definedName>
    <definedName name="_______________________________________________KUR2">#REF!</definedName>
    <definedName name="_______________________________________________ME1">#REF!</definedName>
    <definedName name="_______________________________________________ME2">#REF!</definedName>
    <definedName name="_______________________________________________ME3">#REF!</definedName>
    <definedName name="_______________________________________________ME4">#REF!</definedName>
    <definedName name="_______________________________________________ME5">#REF!</definedName>
    <definedName name="_______________________________________________ME6">#REF!</definedName>
    <definedName name="_______________________________________________ME7">#REF!</definedName>
    <definedName name="_______________________________________________ME8">#REF!</definedName>
    <definedName name="_______________________________________________per3">#REF!</definedName>
    <definedName name="_______________________________________________piv3">#REF!</definedName>
    <definedName name="_______________________________________________TOP2000">#REF!</definedName>
    <definedName name="_______________________________________________TOP97">#REF!</definedName>
    <definedName name="_______________________________________________TOP98">#REF!</definedName>
    <definedName name="_______________________________________________TOP99">#REF!</definedName>
    <definedName name="_______________________________________________TOZ2">#REF!</definedName>
    <definedName name="_______________________________________________TRT1">#REF!</definedName>
    <definedName name="_______________________________________________TV8">#REF!</definedName>
    <definedName name="______________________________________________all1">#REF!</definedName>
    <definedName name="______________________________________________der1">#REF!</definedName>
    <definedName name="______________________________________________der2">#REF!</definedName>
    <definedName name="______________________________________________IV90000">[2]TUBORG!#REF!</definedName>
    <definedName name="______________________________________________KAN7">[1]Kategoriler!$A$227:$B$260</definedName>
    <definedName name="______________________________________________KR11">[4]Foglio1!#REF!</definedName>
    <definedName name="______________________________________________KR12">[4]Foglio1!#REF!</definedName>
    <definedName name="______________________________________________KR13">[4]Foglio1!#REF!</definedName>
    <definedName name="______________________________________________KR14">[4]Foglio1!#REF!</definedName>
    <definedName name="______________________________________________KR15">[4]Foglio1!#REF!</definedName>
    <definedName name="______________________________________________KR16">[4]Foglio1!#REF!</definedName>
    <definedName name="______________________________________________KR17">[4]Foglio1!#REF!</definedName>
    <definedName name="______________________________________________KR18">[4]Foglio1!#REF!</definedName>
    <definedName name="______________________________________________KR19">[4]Foglio1!#REF!</definedName>
    <definedName name="______________________________________________KRF10">[4]Foglio1!#REF!</definedName>
    <definedName name="______________________________________________KRF6">[4]Foglio1!#REF!</definedName>
    <definedName name="______________________________________________KRF7">[4]Foglio1!#REF!</definedName>
    <definedName name="______________________________________________KRF8">[4]Foglio1!#REF!</definedName>
    <definedName name="______________________________________________KRF9">[4]Foglio1!#REF!</definedName>
    <definedName name="______________________________________________KUR2">#REF!</definedName>
    <definedName name="______________________________________________ME1">#REF!</definedName>
    <definedName name="______________________________________________ME2">#REF!</definedName>
    <definedName name="______________________________________________ME3">#REF!</definedName>
    <definedName name="______________________________________________ME4">#REF!</definedName>
    <definedName name="______________________________________________ME5">#REF!</definedName>
    <definedName name="______________________________________________ME6">#REF!</definedName>
    <definedName name="______________________________________________ME7">#REF!</definedName>
    <definedName name="______________________________________________ME8">#REF!</definedName>
    <definedName name="______________________________________________per3">#REF!</definedName>
    <definedName name="______________________________________________piv3">#REF!</definedName>
    <definedName name="______________________________________________TOP2000">#REF!</definedName>
    <definedName name="______________________________________________TOP97">#REF!</definedName>
    <definedName name="______________________________________________TOP98">#REF!</definedName>
    <definedName name="______________________________________________TOP99">#REF!</definedName>
    <definedName name="______________________________________________TOZ2">#REF!</definedName>
    <definedName name="______________________________________________TRT1">#REF!</definedName>
    <definedName name="______________________________________________TV8">#REF!</definedName>
    <definedName name="_____________________________________________all1">#REF!</definedName>
    <definedName name="_____________________________________________der1">#REF!</definedName>
    <definedName name="_____________________________________________der2">#REF!</definedName>
    <definedName name="_____________________________________________IV90000">[2]TUBORG!#REF!</definedName>
    <definedName name="_____________________________________________KAN7">[1]Kategoriler!$A$227:$B$260</definedName>
    <definedName name="_____________________________________________KR11">[4]Foglio1!#REF!</definedName>
    <definedName name="_____________________________________________KR12">[4]Foglio1!#REF!</definedName>
    <definedName name="_____________________________________________KR13">[4]Foglio1!#REF!</definedName>
    <definedName name="_____________________________________________KR14">[4]Foglio1!#REF!</definedName>
    <definedName name="_____________________________________________KR15">[4]Foglio1!#REF!</definedName>
    <definedName name="_____________________________________________KR16">[4]Foglio1!#REF!</definedName>
    <definedName name="_____________________________________________KR17">[4]Foglio1!#REF!</definedName>
    <definedName name="_____________________________________________KR18">[4]Foglio1!#REF!</definedName>
    <definedName name="_____________________________________________KR19">[4]Foglio1!#REF!</definedName>
    <definedName name="_____________________________________________KRF10">[4]Foglio1!#REF!</definedName>
    <definedName name="_____________________________________________KRF6">[4]Foglio1!#REF!</definedName>
    <definedName name="_____________________________________________KRF7">[4]Foglio1!#REF!</definedName>
    <definedName name="_____________________________________________KRF8">[4]Foglio1!#REF!</definedName>
    <definedName name="_____________________________________________KRF9">[4]Foglio1!#REF!</definedName>
    <definedName name="_____________________________________________KUR2">#REF!</definedName>
    <definedName name="_____________________________________________ME1">#REF!</definedName>
    <definedName name="_____________________________________________ME2">#REF!</definedName>
    <definedName name="_____________________________________________ME3">#REF!</definedName>
    <definedName name="_____________________________________________ME4">#REF!</definedName>
    <definedName name="_____________________________________________ME5">#REF!</definedName>
    <definedName name="_____________________________________________ME6">#REF!</definedName>
    <definedName name="_____________________________________________ME7">#REF!</definedName>
    <definedName name="_____________________________________________ME8">#REF!</definedName>
    <definedName name="_____________________________________________per3">#REF!</definedName>
    <definedName name="_____________________________________________piv3">#REF!</definedName>
    <definedName name="_____________________________________________TOP2000">#REF!</definedName>
    <definedName name="_____________________________________________TOP97">#REF!</definedName>
    <definedName name="_____________________________________________TOP98">#REF!</definedName>
    <definedName name="_____________________________________________TOP99">#REF!</definedName>
    <definedName name="_____________________________________________TOZ2">#REF!</definedName>
    <definedName name="_____________________________________________TRT1">#REF!</definedName>
    <definedName name="_____________________________________________TV8">#REF!</definedName>
    <definedName name="____________________________________________all1">#REF!</definedName>
    <definedName name="____________________________________________der1">#REF!</definedName>
    <definedName name="____________________________________________der2">#REF!</definedName>
    <definedName name="____________________________________________IV90000">[2]TUBORG!#REF!</definedName>
    <definedName name="____________________________________________KAN7">[1]Kategoriler!$A$227:$B$260</definedName>
    <definedName name="____________________________________________KR11">[4]Foglio1!#REF!</definedName>
    <definedName name="____________________________________________KR12">[4]Foglio1!#REF!</definedName>
    <definedName name="____________________________________________KR13">[4]Foglio1!#REF!</definedName>
    <definedName name="____________________________________________KR14">[4]Foglio1!#REF!</definedName>
    <definedName name="____________________________________________KR15">[4]Foglio1!#REF!</definedName>
    <definedName name="____________________________________________KR16">[4]Foglio1!#REF!</definedName>
    <definedName name="____________________________________________KR17">[4]Foglio1!#REF!</definedName>
    <definedName name="____________________________________________KR18">[4]Foglio1!#REF!</definedName>
    <definedName name="____________________________________________KR19">[4]Foglio1!#REF!</definedName>
    <definedName name="____________________________________________KRF10">[4]Foglio1!#REF!</definedName>
    <definedName name="____________________________________________KRF6">[4]Foglio1!#REF!</definedName>
    <definedName name="____________________________________________KRF7">[4]Foglio1!#REF!</definedName>
    <definedName name="____________________________________________KRF8">[4]Foglio1!#REF!</definedName>
    <definedName name="____________________________________________KRF9">[4]Foglio1!#REF!</definedName>
    <definedName name="____________________________________________KUR2">#REF!</definedName>
    <definedName name="____________________________________________ME1">#REF!</definedName>
    <definedName name="____________________________________________ME2">#REF!</definedName>
    <definedName name="____________________________________________ME3">#REF!</definedName>
    <definedName name="____________________________________________ME4">#REF!</definedName>
    <definedName name="____________________________________________ME5">#REF!</definedName>
    <definedName name="____________________________________________ME6">#REF!</definedName>
    <definedName name="____________________________________________ME7">#REF!</definedName>
    <definedName name="____________________________________________ME8">#REF!</definedName>
    <definedName name="____________________________________________ooh2" localSheetId="0" hidden="1">{#N/A,#N/A,FALSE,"Sheet1 (2)"}</definedName>
    <definedName name="____________________________________________ooh2" hidden="1">{#N/A,#N/A,FALSE,"Sheet1 (2)"}</definedName>
    <definedName name="____________________________________________ooh2_1" localSheetId="0" hidden="1">{#N/A,#N/A,FALSE,"Sheet1 (2)"}</definedName>
    <definedName name="____________________________________________ooh2_1" hidden="1">{#N/A,#N/A,FALSE,"Sheet1 (2)"}</definedName>
    <definedName name="____________________________________________ooh2_1_1" localSheetId="0" hidden="1">{#N/A,#N/A,FALSE,"Sheet1 (2)"}</definedName>
    <definedName name="____________________________________________ooh2_1_1" hidden="1">{#N/A,#N/A,FALSE,"Sheet1 (2)"}</definedName>
    <definedName name="____________________________________________ooh2_1_2" localSheetId="0" hidden="1">{#N/A,#N/A,FALSE,"Sheet1 (2)"}</definedName>
    <definedName name="____________________________________________ooh2_1_2" hidden="1">{#N/A,#N/A,FALSE,"Sheet1 (2)"}</definedName>
    <definedName name="____________________________________________ooh2_1_3" localSheetId="0" hidden="1">{#N/A,#N/A,FALSE,"Sheet1 (2)"}</definedName>
    <definedName name="____________________________________________ooh2_1_3" hidden="1">{#N/A,#N/A,FALSE,"Sheet1 (2)"}</definedName>
    <definedName name="____________________________________________ooh2_2" localSheetId="0" hidden="1">{#N/A,#N/A,FALSE,"Sheet1 (2)"}</definedName>
    <definedName name="____________________________________________ooh2_2" hidden="1">{#N/A,#N/A,FALSE,"Sheet1 (2)"}</definedName>
    <definedName name="____________________________________________ooh2_2_1" localSheetId="0" hidden="1">{#N/A,#N/A,FALSE,"Sheet1 (2)"}</definedName>
    <definedName name="____________________________________________ooh2_2_1" hidden="1">{#N/A,#N/A,FALSE,"Sheet1 (2)"}</definedName>
    <definedName name="____________________________________________ooh2_2_2" localSheetId="0" hidden="1">{#N/A,#N/A,FALSE,"Sheet1 (2)"}</definedName>
    <definedName name="____________________________________________ooh2_2_2" hidden="1">{#N/A,#N/A,FALSE,"Sheet1 (2)"}</definedName>
    <definedName name="____________________________________________ooh2_3" localSheetId="0" hidden="1">{#N/A,#N/A,FALSE,"Sheet1 (2)"}</definedName>
    <definedName name="____________________________________________ooh2_3" hidden="1">{#N/A,#N/A,FALSE,"Sheet1 (2)"}</definedName>
    <definedName name="____________________________________________ooh2_4" localSheetId="0" hidden="1">{#N/A,#N/A,FALSE,"Sheet1 (2)"}</definedName>
    <definedName name="____________________________________________ooh2_4" hidden="1">{#N/A,#N/A,FALSE,"Sheet1 (2)"}</definedName>
    <definedName name="____________________________________________per3">#REF!</definedName>
    <definedName name="____________________________________________piv3">#REF!</definedName>
    <definedName name="____________________________________________TOP2000">#REF!</definedName>
    <definedName name="____________________________________________TOP97">#REF!</definedName>
    <definedName name="____________________________________________TOP98">#REF!</definedName>
    <definedName name="____________________________________________TOP99">#REF!</definedName>
    <definedName name="____________________________________________TOZ2">#REF!</definedName>
    <definedName name="____________________________________________TRT1">#REF!</definedName>
    <definedName name="____________________________________________TV8">#REF!</definedName>
    <definedName name="___________________________________________all1">#REF!</definedName>
    <definedName name="___________________________________________der1">#REF!</definedName>
    <definedName name="___________________________________________der2">#REF!</definedName>
    <definedName name="___________________________________________IV90000">[2]TUBORG!#REF!</definedName>
    <definedName name="___________________________________________KAN7">[1]Kategoriler!$A$227:$B$260</definedName>
    <definedName name="___________________________________________KR11">[4]Foglio1!#REF!</definedName>
    <definedName name="___________________________________________KR12">[4]Foglio1!#REF!</definedName>
    <definedName name="___________________________________________KR13">[4]Foglio1!#REF!</definedName>
    <definedName name="___________________________________________KR14">[4]Foglio1!#REF!</definedName>
    <definedName name="___________________________________________KR15">[4]Foglio1!#REF!</definedName>
    <definedName name="___________________________________________KR16">[4]Foglio1!#REF!</definedName>
    <definedName name="___________________________________________KR17">[4]Foglio1!#REF!</definedName>
    <definedName name="___________________________________________KR18">[4]Foglio1!#REF!</definedName>
    <definedName name="___________________________________________KR19">[4]Foglio1!#REF!</definedName>
    <definedName name="___________________________________________KRF10">[4]Foglio1!#REF!</definedName>
    <definedName name="___________________________________________KRF6">[4]Foglio1!#REF!</definedName>
    <definedName name="___________________________________________KRF7">[4]Foglio1!#REF!</definedName>
    <definedName name="___________________________________________KRF8">[4]Foglio1!#REF!</definedName>
    <definedName name="___________________________________________KRF9">[4]Foglio1!#REF!</definedName>
    <definedName name="___________________________________________KUR2">#REF!</definedName>
    <definedName name="___________________________________________ME1">#REF!</definedName>
    <definedName name="___________________________________________ME2">#REF!</definedName>
    <definedName name="___________________________________________ME3">#REF!</definedName>
    <definedName name="___________________________________________ME4">#REF!</definedName>
    <definedName name="___________________________________________ME5">#REF!</definedName>
    <definedName name="___________________________________________ME6">#REF!</definedName>
    <definedName name="___________________________________________ME7">#REF!</definedName>
    <definedName name="___________________________________________ME8">#REF!</definedName>
    <definedName name="___________________________________________ooh2" localSheetId="0" hidden="1">{#N/A,#N/A,FALSE,"Sheet1 (2)"}</definedName>
    <definedName name="___________________________________________ooh2" hidden="1">{#N/A,#N/A,FALSE,"Sheet1 (2)"}</definedName>
    <definedName name="___________________________________________ooh2_1" localSheetId="0" hidden="1">{#N/A,#N/A,FALSE,"Sheet1 (2)"}</definedName>
    <definedName name="___________________________________________ooh2_1" hidden="1">{#N/A,#N/A,FALSE,"Sheet1 (2)"}</definedName>
    <definedName name="___________________________________________ooh2_1_1" localSheetId="0" hidden="1">{#N/A,#N/A,FALSE,"Sheet1 (2)"}</definedName>
    <definedName name="___________________________________________ooh2_1_1" hidden="1">{#N/A,#N/A,FALSE,"Sheet1 (2)"}</definedName>
    <definedName name="___________________________________________ooh2_1_2" localSheetId="0" hidden="1">{#N/A,#N/A,FALSE,"Sheet1 (2)"}</definedName>
    <definedName name="___________________________________________ooh2_1_2" hidden="1">{#N/A,#N/A,FALSE,"Sheet1 (2)"}</definedName>
    <definedName name="___________________________________________ooh2_1_3" localSheetId="0" hidden="1">{#N/A,#N/A,FALSE,"Sheet1 (2)"}</definedName>
    <definedName name="___________________________________________ooh2_1_3" hidden="1">{#N/A,#N/A,FALSE,"Sheet1 (2)"}</definedName>
    <definedName name="___________________________________________ooh2_2" localSheetId="0" hidden="1">{#N/A,#N/A,FALSE,"Sheet1 (2)"}</definedName>
    <definedName name="___________________________________________ooh2_2" hidden="1">{#N/A,#N/A,FALSE,"Sheet1 (2)"}</definedName>
    <definedName name="___________________________________________ooh2_2_1" localSheetId="0" hidden="1">{#N/A,#N/A,FALSE,"Sheet1 (2)"}</definedName>
    <definedName name="___________________________________________ooh2_2_1" hidden="1">{#N/A,#N/A,FALSE,"Sheet1 (2)"}</definedName>
    <definedName name="___________________________________________ooh2_2_2" localSheetId="0" hidden="1">{#N/A,#N/A,FALSE,"Sheet1 (2)"}</definedName>
    <definedName name="___________________________________________ooh2_2_2" hidden="1">{#N/A,#N/A,FALSE,"Sheet1 (2)"}</definedName>
    <definedName name="___________________________________________ooh2_3" localSheetId="0" hidden="1">{#N/A,#N/A,FALSE,"Sheet1 (2)"}</definedName>
    <definedName name="___________________________________________ooh2_3" hidden="1">{#N/A,#N/A,FALSE,"Sheet1 (2)"}</definedName>
    <definedName name="___________________________________________ooh2_4" localSheetId="0" hidden="1">{#N/A,#N/A,FALSE,"Sheet1 (2)"}</definedName>
    <definedName name="___________________________________________ooh2_4" hidden="1">{#N/A,#N/A,FALSE,"Sheet1 (2)"}</definedName>
    <definedName name="___________________________________________per3">#REF!</definedName>
    <definedName name="___________________________________________piv3">#REF!</definedName>
    <definedName name="___________________________________________TOP2000">#REF!</definedName>
    <definedName name="___________________________________________TOP97">#REF!</definedName>
    <definedName name="___________________________________________TOP98">#REF!</definedName>
    <definedName name="___________________________________________TOP99">#REF!</definedName>
    <definedName name="___________________________________________TOZ2">#REF!</definedName>
    <definedName name="___________________________________________TRT1">#REF!</definedName>
    <definedName name="___________________________________________TV8">#REF!</definedName>
    <definedName name="__________________________________________all1">#REF!</definedName>
    <definedName name="__________________________________________der1">#REF!</definedName>
    <definedName name="__________________________________________der2">#REF!</definedName>
    <definedName name="__________________________________________IV90000">[2]TUBORG!#REF!</definedName>
    <definedName name="__________________________________________KAN7">[1]Kategoriler!$A$227:$B$260</definedName>
    <definedName name="__________________________________________KR11">[4]Foglio1!#REF!</definedName>
    <definedName name="__________________________________________KR12">[4]Foglio1!#REF!</definedName>
    <definedName name="__________________________________________KR13">[4]Foglio1!#REF!</definedName>
    <definedName name="__________________________________________KR14">[4]Foglio1!#REF!</definedName>
    <definedName name="__________________________________________KR15">[4]Foglio1!#REF!</definedName>
    <definedName name="__________________________________________KR16">[4]Foglio1!#REF!</definedName>
    <definedName name="__________________________________________KR17">[4]Foglio1!#REF!</definedName>
    <definedName name="__________________________________________KR18">[4]Foglio1!#REF!</definedName>
    <definedName name="__________________________________________KR19">[4]Foglio1!#REF!</definedName>
    <definedName name="__________________________________________KRF10">[4]Foglio1!#REF!</definedName>
    <definedName name="__________________________________________KRF6">[4]Foglio1!#REF!</definedName>
    <definedName name="__________________________________________KRF7">[4]Foglio1!#REF!</definedName>
    <definedName name="__________________________________________KRF8">[4]Foglio1!#REF!</definedName>
    <definedName name="__________________________________________KRF9">[4]Foglio1!#REF!</definedName>
    <definedName name="__________________________________________KUR2">#REF!</definedName>
    <definedName name="__________________________________________ME1">#REF!</definedName>
    <definedName name="__________________________________________ME2">#REF!</definedName>
    <definedName name="__________________________________________ME3">#REF!</definedName>
    <definedName name="__________________________________________ME4">#REF!</definedName>
    <definedName name="__________________________________________ME5">#REF!</definedName>
    <definedName name="__________________________________________ME6">#REF!</definedName>
    <definedName name="__________________________________________ME7">#REF!</definedName>
    <definedName name="__________________________________________ME8">#REF!</definedName>
    <definedName name="__________________________________________ooh2" localSheetId="0" hidden="1">{#N/A,#N/A,FALSE,"Sheet1 (2)"}</definedName>
    <definedName name="__________________________________________ooh2" hidden="1">{#N/A,#N/A,FALSE,"Sheet1 (2)"}</definedName>
    <definedName name="__________________________________________ooh2_1" localSheetId="0" hidden="1">{#N/A,#N/A,FALSE,"Sheet1 (2)"}</definedName>
    <definedName name="__________________________________________ooh2_1" hidden="1">{#N/A,#N/A,FALSE,"Sheet1 (2)"}</definedName>
    <definedName name="__________________________________________ooh2_1_1" localSheetId="0" hidden="1">{#N/A,#N/A,FALSE,"Sheet1 (2)"}</definedName>
    <definedName name="__________________________________________ooh2_1_1" hidden="1">{#N/A,#N/A,FALSE,"Sheet1 (2)"}</definedName>
    <definedName name="__________________________________________ooh2_1_2" localSheetId="0" hidden="1">{#N/A,#N/A,FALSE,"Sheet1 (2)"}</definedName>
    <definedName name="__________________________________________ooh2_1_2" hidden="1">{#N/A,#N/A,FALSE,"Sheet1 (2)"}</definedName>
    <definedName name="__________________________________________ooh2_1_3" localSheetId="0" hidden="1">{#N/A,#N/A,FALSE,"Sheet1 (2)"}</definedName>
    <definedName name="__________________________________________ooh2_1_3" hidden="1">{#N/A,#N/A,FALSE,"Sheet1 (2)"}</definedName>
    <definedName name="__________________________________________ooh2_2" localSheetId="0" hidden="1">{#N/A,#N/A,FALSE,"Sheet1 (2)"}</definedName>
    <definedName name="__________________________________________ooh2_2" hidden="1">{#N/A,#N/A,FALSE,"Sheet1 (2)"}</definedName>
    <definedName name="__________________________________________ooh2_2_1" localSheetId="0" hidden="1">{#N/A,#N/A,FALSE,"Sheet1 (2)"}</definedName>
    <definedName name="__________________________________________ooh2_2_1" hidden="1">{#N/A,#N/A,FALSE,"Sheet1 (2)"}</definedName>
    <definedName name="__________________________________________ooh2_2_2" localSheetId="0" hidden="1">{#N/A,#N/A,FALSE,"Sheet1 (2)"}</definedName>
    <definedName name="__________________________________________ooh2_2_2" hidden="1">{#N/A,#N/A,FALSE,"Sheet1 (2)"}</definedName>
    <definedName name="__________________________________________ooh2_3" localSheetId="0" hidden="1">{#N/A,#N/A,FALSE,"Sheet1 (2)"}</definedName>
    <definedName name="__________________________________________ooh2_3" hidden="1">{#N/A,#N/A,FALSE,"Sheet1 (2)"}</definedName>
    <definedName name="__________________________________________ooh2_4" localSheetId="0" hidden="1">{#N/A,#N/A,FALSE,"Sheet1 (2)"}</definedName>
    <definedName name="__________________________________________ooh2_4" hidden="1">{#N/A,#N/A,FALSE,"Sheet1 (2)"}</definedName>
    <definedName name="__________________________________________per3">#REF!</definedName>
    <definedName name="__________________________________________piv3">#REF!</definedName>
    <definedName name="__________________________________________TOP2000">#REF!</definedName>
    <definedName name="__________________________________________TOP97">#REF!</definedName>
    <definedName name="__________________________________________TOP98">#REF!</definedName>
    <definedName name="__________________________________________TOP99">#REF!</definedName>
    <definedName name="__________________________________________TOZ2">#REF!</definedName>
    <definedName name="__________________________________________TRT1">#REF!</definedName>
    <definedName name="__________________________________________TV8">#REF!</definedName>
    <definedName name="_________________________________________all1">#REF!</definedName>
    <definedName name="_________________________________________der1">#REF!</definedName>
    <definedName name="_________________________________________der2">#REF!</definedName>
    <definedName name="_________________________________________IV90000">[2]TUBORG!#REF!</definedName>
    <definedName name="_________________________________________KAN7">[1]Kategoriler!$A$227:$B$260</definedName>
    <definedName name="_________________________________________KR11">[4]Foglio1!#REF!</definedName>
    <definedName name="_________________________________________KR12">[4]Foglio1!#REF!</definedName>
    <definedName name="_________________________________________KR13">[4]Foglio1!#REF!</definedName>
    <definedName name="_________________________________________KR14">[4]Foglio1!#REF!</definedName>
    <definedName name="_________________________________________KR15">[4]Foglio1!#REF!</definedName>
    <definedName name="_________________________________________KR16">[4]Foglio1!#REF!</definedName>
    <definedName name="_________________________________________KR17">[4]Foglio1!#REF!</definedName>
    <definedName name="_________________________________________KR18">[4]Foglio1!#REF!</definedName>
    <definedName name="_________________________________________KR19">[4]Foglio1!#REF!</definedName>
    <definedName name="_________________________________________KRF10">[4]Foglio1!#REF!</definedName>
    <definedName name="_________________________________________KRF6">[4]Foglio1!#REF!</definedName>
    <definedName name="_________________________________________KRF7">[4]Foglio1!#REF!</definedName>
    <definedName name="_________________________________________KRF8">[4]Foglio1!#REF!</definedName>
    <definedName name="_________________________________________KRF9">[4]Foglio1!#REF!</definedName>
    <definedName name="_________________________________________KUR2">#REF!</definedName>
    <definedName name="_________________________________________ME1">#REF!</definedName>
    <definedName name="_________________________________________ME2">#REF!</definedName>
    <definedName name="_________________________________________ME3">#REF!</definedName>
    <definedName name="_________________________________________ME4">#REF!</definedName>
    <definedName name="_________________________________________ME5">#REF!</definedName>
    <definedName name="_________________________________________ME6">#REF!</definedName>
    <definedName name="_________________________________________ME7">#REF!</definedName>
    <definedName name="_________________________________________ME8">#REF!</definedName>
    <definedName name="_________________________________________ooh2" localSheetId="0" hidden="1">{#N/A,#N/A,FALSE,"Sheet1 (2)"}</definedName>
    <definedName name="_________________________________________ooh2" hidden="1">{#N/A,#N/A,FALSE,"Sheet1 (2)"}</definedName>
    <definedName name="_________________________________________ooh2_1" localSheetId="0" hidden="1">{#N/A,#N/A,FALSE,"Sheet1 (2)"}</definedName>
    <definedName name="_________________________________________ooh2_1" hidden="1">{#N/A,#N/A,FALSE,"Sheet1 (2)"}</definedName>
    <definedName name="_________________________________________ooh2_1_1" localSheetId="0" hidden="1">{#N/A,#N/A,FALSE,"Sheet1 (2)"}</definedName>
    <definedName name="_________________________________________ooh2_1_1" hidden="1">{#N/A,#N/A,FALSE,"Sheet1 (2)"}</definedName>
    <definedName name="_________________________________________ooh2_1_2" localSheetId="0" hidden="1">{#N/A,#N/A,FALSE,"Sheet1 (2)"}</definedName>
    <definedName name="_________________________________________ooh2_1_2" hidden="1">{#N/A,#N/A,FALSE,"Sheet1 (2)"}</definedName>
    <definedName name="_________________________________________ooh2_1_3" localSheetId="0" hidden="1">{#N/A,#N/A,FALSE,"Sheet1 (2)"}</definedName>
    <definedName name="_________________________________________ooh2_1_3" hidden="1">{#N/A,#N/A,FALSE,"Sheet1 (2)"}</definedName>
    <definedName name="_________________________________________ooh2_2" localSheetId="0" hidden="1">{#N/A,#N/A,FALSE,"Sheet1 (2)"}</definedName>
    <definedName name="_________________________________________ooh2_2" hidden="1">{#N/A,#N/A,FALSE,"Sheet1 (2)"}</definedName>
    <definedName name="_________________________________________ooh2_2_1" localSheetId="0" hidden="1">{#N/A,#N/A,FALSE,"Sheet1 (2)"}</definedName>
    <definedName name="_________________________________________ooh2_2_1" hidden="1">{#N/A,#N/A,FALSE,"Sheet1 (2)"}</definedName>
    <definedName name="_________________________________________ooh2_2_2" localSheetId="0" hidden="1">{#N/A,#N/A,FALSE,"Sheet1 (2)"}</definedName>
    <definedName name="_________________________________________ooh2_2_2" hidden="1">{#N/A,#N/A,FALSE,"Sheet1 (2)"}</definedName>
    <definedName name="_________________________________________ooh2_3" localSheetId="0" hidden="1">{#N/A,#N/A,FALSE,"Sheet1 (2)"}</definedName>
    <definedName name="_________________________________________ooh2_3" hidden="1">{#N/A,#N/A,FALSE,"Sheet1 (2)"}</definedName>
    <definedName name="_________________________________________ooh2_4" localSheetId="0" hidden="1">{#N/A,#N/A,FALSE,"Sheet1 (2)"}</definedName>
    <definedName name="_________________________________________ooh2_4" hidden="1">{#N/A,#N/A,FALSE,"Sheet1 (2)"}</definedName>
    <definedName name="_________________________________________per3">#REF!</definedName>
    <definedName name="_________________________________________piv3">#REF!</definedName>
    <definedName name="_________________________________________TOP2000">#REF!</definedName>
    <definedName name="_________________________________________TOP97">#REF!</definedName>
    <definedName name="_________________________________________TOP98">#REF!</definedName>
    <definedName name="_________________________________________TOP99">#REF!</definedName>
    <definedName name="_________________________________________TOZ2">#REF!</definedName>
    <definedName name="_________________________________________TRT1">#REF!</definedName>
    <definedName name="_________________________________________TV8">#REF!</definedName>
    <definedName name="________________________________________all1">#REF!</definedName>
    <definedName name="________________________________________der1">#REF!</definedName>
    <definedName name="________________________________________der2">#REF!</definedName>
    <definedName name="________________________________________IV90000">[2]TUBORG!#REF!</definedName>
    <definedName name="________________________________________KAN7">[5]Kategoriler!$A$227:$B$260</definedName>
    <definedName name="________________________________________KR11">[4]Foglio1!#REF!</definedName>
    <definedName name="________________________________________KR12">[4]Foglio1!#REF!</definedName>
    <definedName name="________________________________________KR13">[4]Foglio1!#REF!</definedName>
    <definedName name="________________________________________KR14">[4]Foglio1!#REF!</definedName>
    <definedName name="________________________________________KR15">[4]Foglio1!#REF!</definedName>
    <definedName name="________________________________________KR16">[4]Foglio1!#REF!</definedName>
    <definedName name="________________________________________KR17">[4]Foglio1!#REF!</definedName>
    <definedName name="________________________________________KR18">[4]Foglio1!#REF!</definedName>
    <definedName name="________________________________________KR19">[4]Foglio1!#REF!</definedName>
    <definedName name="________________________________________KRF10">[4]Foglio1!#REF!</definedName>
    <definedName name="________________________________________KRF6">[4]Foglio1!#REF!</definedName>
    <definedName name="________________________________________KRF7">[4]Foglio1!#REF!</definedName>
    <definedName name="________________________________________KRF8">[4]Foglio1!#REF!</definedName>
    <definedName name="________________________________________KRF9">[4]Foglio1!#REF!</definedName>
    <definedName name="________________________________________KUR2">#REF!</definedName>
    <definedName name="________________________________________ME1">#REF!</definedName>
    <definedName name="________________________________________ME2">#REF!</definedName>
    <definedName name="________________________________________ME3">#REF!</definedName>
    <definedName name="________________________________________ME4">#REF!</definedName>
    <definedName name="________________________________________ME5">#REF!</definedName>
    <definedName name="________________________________________ME6">#REF!</definedName>
    <definedName name="________________________________________ME7">#REF!</definedName>
    <definedName name="________________________________________ME8">#REF!</definedName>
    <definedName name="________________________________________ooh2" localSheetId="0" hidden="1">{#N/A,#N/A,FALSE,"Sheet1 (2)"}</definedName>
    <definedName name="________________________________________ooh2" hidden="1">{#N/A,#N/A,FALSE,"Sheet1 (2)"}</definedName>
    <definedName name="________________________________________ooh2_1" localSheetId="0" hidden="1">{#N/A,#N/A,FALSE,"Sheet1 (2)"}</definedName>
    <definedName name="________________________________________ooh2_1" hidden="1">{#N/A,#N/A,FALSE,"Sheet1 (2)"}</definedName>
    <definedName name="________________________________________ooh2_1_1" localSheetId="0" hidden="1">{#N/A,#N/A,FALSE,"Sheet1 (2)"}</definedName>
    <definedName name="________________________________________ooh2_1_1" hidden="1">{#N/A,#N/A,FALSE,"Sheet1 (2)"}</definedName>
    <definedName name="________________________________________ooh2_1_2" localSheetId="0" hidden="1">{#N/A,#N/A,FALSE,"Sheet1 (2)"}</definedName>
    <definedName name="________________________________________ooh2_1_2" hidden="1">{#N/A,#N/A,FALSE,"Sheet1 (2)"}</definedName>
    <definedName name="________________________________________ooh2_1_3" localSheetId="0" hidden="1">{#N/A,#N/A,FALSE,"Sheet1 (2)"}</definedName>
    <definedName name="________________________________________ooh2_1_3" hidden="1">{#N/A,#N/A,FALSE,"Sheet1 (2)"}</definedName>
    <definedName name="________________________________________ooh2_2" localSheetId="0" hidden="1">{#N/A,#N/A,FALSE,"Sheet1 (2)"}</definedName>
    <definedName name="________________________________________ooh2_2" hidden="1">{#N/A,#N/A,FALSE,"Sheet1 (2)"}</definedName>
    <definedName name="________________________________________ooh2_2_1" localSheetId="0" hidden="1">{#N/A,#N/A,FALSE,"Sheet1 (2)"}</definedName>
    <definedName name="________________________________________ooh2_2_1" hidden="1">{#N/A,#N/A,FALSE,"Sheet1 (2)"}</definedName>
    <definedName name="________________________________________ooh2_2_2" localSheetId="0" hidden="1">{#N/A,#N/A,FALSE,"Sheet1 (2)"}</definedName>
    <definedName name="________________________________________ooh2_2_2" hidden="1">{#N/A,#N/A,FALSE,"Sheet1 (2)"}</definedName>
    <definedName name="________________________________________ooh2_3" localSheetId="0" hidden="1">{#N/A,#N/A,FALSE,"Sheet1 (2)"}</definedName>
    <definedName name="________________________________________ooh2_3" hidden="1">{#N/A,#N/A,FALSE,"Sheet1 (2)"}</definedName>
    <definedName name="________________________________________ooh2_4" localSheetId="0" hidden="1">{#N/A,#N/A,FALSE,"Sheet1 (2)"}</definedName>
    <definedName name="________________________________________ooh2_4" hidden="1">{#N/A,#N/A,FALSE,"Sheet1 (2)"}</definedName>
    <definedName name="________________________________________per3">#REF!</definedName>
    <definedName name="________________________________________piv3">#REF!</definedName>
    <definedName name="________________________________________TOP2000">#REF!</definedName>
    <definedName name="________________________________________TOP97">#REF!</definedName>
    <definedName name="________________________________________TOP98">#REF!</definedName>
    <definedName name="________________________________________TOP99">#REF!</definedName>
    <definedName name="________________________________________TOZ2">#REF!</definedName>
    <definedName name="________________________________________TRT1">#REF!</definedName>
    <definedName name="________________________________________TV8">#REF!</definedName>
    <definedName name="_______________________________________all1">#REF!</definedName>
    <definedName name="_______________________________________der1">#REF!</definedName>
    <definedName name="_______________________________________der2">#REF!</definedName>
    <definedName name="_______________________________________IV90000">[2]TUBORG!#REF!</definedName>
    <definedName name="_______________________________________ka7">#REF!</definedName>
    <definedName name="_______________________________________KAN7">[1]Kategoriler!$A$227:$B$260</definedName>
    <definedName name="_______________________________________KR11">[4]Foglio1!#REF!</definedName>
    <definedName name="_______________________________________KR12">[4]Foglio1!#REF!</definedName>
    <definedName name="_______________________________________KR13">[4]Foglio1!#REF!</definedName>
    <definedName name="_______________________________________KR14">[4]Foglio1!#REF!</definedName>
    <definedName name="_______________________________________KR15">[4]Foglio1!#REF!</definedName>
    <definedName name="_______________________________________KR16">[4]Foglio1!#REF!</definedName>
    <definedName name="_______________________________________KR17">[4]Foglio1!#REF!</definedName>
    <definedName name="_______________________________________KR18">[4]Foglio1!#REF!</definedName>
    <definedName name="_______________________________________KR19">[4]Foglio1!#REF!</definedName>
    <definedName name="_______________________________________KRF10">[4]Foglio1!#REF!</definedName>
    <definedName name="_______________________________________KRF6">[4]Foglio1!#REF!</definedName>
    <definedName name="_______________________________________KRF7">[4]Foglio1!#REF!</definedName>
    <definedName name="_______________________________________KRF8">[4]Foglio1!#REF!</definedName>
    <definedName name="_______________________________________KRF9">[4]Foglio1!#REF!</definedName>
    <definedName name="_______________________________________KUR2">#REF!</definedName>
    <definedName name="_______________________________________ME1">#REF!</definedName>
    <definedName name="_______________________________________ME2">#REF!</definedName>
    <definedName name="_______________________________________ME3">#REF!</definedName>
    <definedName name="_______________________________________ME4">#REF!</definedName>
    <definedName name="_______________________________________ME5">#REF!</definedName>
    <definedName name="_______________________________________ME6">#REF!</definedName>
    <definedName name="_______________________________________ME7">#REF!</definedName>
    <definedName name="_______________________________________ME8">#REF!</definedName>
    <definedName name="_______________________________________ooh2" localSheetId="0" hidden="1">{#N/A,#N/A,FALSE,"Sheet1 (2)"}</definedName>
    <definedName name="_______________________________________ooh2" hidden="1">{#N/A,#N/A,FALSE,"Sheet1 (2)"}</definedName>
    <definedName name="_______________________________________ooh2_1" localSheetId="0" hidden="1">{#N/A,#N/A,FALSE,"Sheet1 (2)"}</definedName>
    <definedName name="_______________________________________ooh2_1" hidden="1">{#N/A,#N/A,FALSE,"Sheet1 (2)"}</definedName>
    <definedName name="_______________________________________ooh2_1_1" localSheetId="0" hidden="1">{#N/A,#N/A,FALSE,"Sheet1 (2)"}</definedName>
    <definedName name="_______________________________________ooh2_1_1" hidden="1">{#N/A,#N/A,FALSE,"Sheet1 (2)"}</definedName>
    <definedName name="_______________________________________ooh2_1_2" localSheetId="0" hidden="1">{#N/A,#N/A,FALSE,"Sheet1 (2)"}</definedName>
    <definedName name="_______________________________________ooh2_1_2" hidden="1">{#N/A,#N/A,FALSE,"Sheet1 (2)"}</definedName>
    <definedName name="_______________________________________ooh2_1_3" localSheetId="0" hidden="1">{#N/A,#N/A,FALSE,"Sheet1 (2)"}</definedName>
    <definedName name="_______________________________________ooh2_1_3" hidden="1">{#N/A,#N/A,FALSE,"Sheet1 (2)"}</definedName>
    <definedName name="_______________________________________ooh2_2" localSheetId="0" hidden="1">{#N/A,#N/A,FALSE,"Sheet1 (2)"}</definedName>
    <definedName name="_______________________________________ooh2_2" hidden="1">{#N/A,#N/A,FALSE,"Sheet1 (2)"}</definedName>
    <definedName name="_______________________________________ooh2_2_1" localSheetId="0" hidden="1">{#N/A,#N/A,FALSE,"Sheet1 (2)"}</definedName>
    <definedName name="_______________________________________ooh2_2_1" hidden="1">{#N/A,#N/A,FALSE,"Sheet1 (2)"}</definedName>
    <definedName name="_______________________________________ooh2_2_2" localSheetId="0" hidden="1">{#N/A,#N/A,FALSE,"Sheet1 (2)"}</definedName>
    <definedName name="_______________________________________ooh2_2_2" hidden="1">{#N/A,#N/A,FALSE,"Sheet1 (2)"}</definedName>
    <definedName name="_______________________________________ooh2_3" localSheetId="0" hidden="1">{#N/A,#N/A,FALSE,"Sheet1 (2)"}</definedName>
    <definedName name="_______________________________________ooh2_3" hidden="1">{#N/A,#N/A,FALSE,"Sheet1 (2)"}</definedName>
    <definedName name="_______________________________________ooh2_4" localSheetId="0" hidden="1">{#N/A,#N/A,FALSE,"Sheet1 (2)"}</definedName>
    <definedName name="_______________________________________ooh2_4" hidden="1">{#N/A,#N/A,FALSE,"Sheet1 (2)"}</definedName>
    <definedName name="_______________________________________per3">#REF!</definedName>
    <definedName name="_______________________________________piv3">#REF!</definedName>
    <definedName name="_______________________________________TOP2000">#REF!</definedName>
    <definedName name="_______________________________________TOP97">#REF!</definedName>
    <definedName name="_______________________________________TOP98">#REF!</definedName>
    <definedName name="_______________________________________TOP99">#REF!</definedName>
    <definedName name="_______________________________________TOZ2">#REF!</definedName>
    <definedName name="_______________________________________TRT1">#REF!</definedName>
    <definedName name="_______________________________________TV8">#REF!</definedName>
    <definedName name="______________________________________all1">#REF!</definedName>
    <definedName name="______________________________________der1">#REF!</definedName>
    <definedName name="______________________________________der2">#REF!</definedName>
    <definedName name="______________________________________IV90000">[6]TUBORG!#REF!</definedName>
    <definedName name="______________________________________ka7">#REF!</definedName>
    <definedName name="______________________________________KAN7">[5]Kategoriler!$A$227:$B$260</definedName>
    <definedName name="______________________________________KR11">[4]Foglio1!#REF!</definedName>
    <definedName name="______________________________________KR12">[4]Foglio1!#REF!</definedName>
    <definedName name="______________________________________KR13">[4]Foglio1!#REF!</definedName>
    <definedName name="______________________________________KR14">[4]Foglio1!#REF!</definedName>
    <definedName name="______________________________________KR15">[4]Foglio1!#REF!</definedName>
    <definedName name="______________________________________KR16">[4]Foglio1!#REF!</definedName>
    <definedName name="______________________________________KR17">[4]Foglio1!#REF!</definedName>
    <definedName name="______________________________________KR18">[4]Foglio1!#REF!</definedName>
    <definedName name="______________________________________KR19">[4]Foglio1!#REF!</definedName>
    <definedName name="______________________________________KRF10">[4]Foglio1!#REF!</definedName>
    <definedName name="______________________________________KRF6">[4]Foglio1!#REF!</definedName>
    <definedName name="______________________________________KRF7">[4]Foglio1!#REF!</definedName>
    <definedName name="______________________________________KRF8">[4]Foglio1!#REF!</definedName>
    <definedName name="______________________________________KRF9">[4]Foglio1!#REF!</definedName>
    <definedName name="______________________________________KUR2">#REF!</definedName>
    <definedName name="______________________________________ME1">#REF!</definedName>
    <definedName name="______________________________________ME2">#REF!</definedName>
    <definedName name="______________________________________ME3">#REF!</definedName>
    <definedName name="______________________________________ME4">#REF!</definedName>
    <definedName name="______________________________________ME5">#REF!</definedName>
    <definedName name="______________________________________ME6">#REF!</definedName>
    <definedName name="______________________________________ME7">#REF!</definedName>
    <definedName name="______________________________________ME8">#REF!</definedName>
    <definedName name="______________________________________ooh2" localSheetId="0" hidden="1">{#N/A,#N/A,FALSE,"Sheet1 (2)"}</definedName>
    <definedName name="______________________________________ooh2" hidden="1">{#N/A,#N/A,FALSE,"Sheet1 (2)"}</definedName>
    <definedName name="______________________________________ooh2_1" localSheetId="0" hidden="1">{#N/A,#N/A,FALSE,"Sheet1 (2)"}</definedName>
    <definedName name="______________________________________ooh2_1" hidden="1">{#N/A,#N/A,FALSE,"Sheet1 (2)"}</definedName>
    <definedName name="______________________________________ooh2_1_1" localSheetId="0" hidden="1">{#N/A,#N/A,FALSE,"Sheet1 (2)"}</definedName>
    <definedName name="______________________________________ooh2_1_1" hidden="1">{#N/A,#N/A,FALSE,"Sheet1 (2)"}</definedName>
    <definedName name="______________________________________ooh2_1_2" localSheetId="0" hidden="1">{#N/A,#N/A,FALSE,"Sheet1 (2)"}</definedName>
    <definedName name="______________________________________ooh2_1_2" hidden="1">{#N/A,#N/A,FALSE,"Sheet1 (2)"}</definedName>
    <definedName name="______________________________________ooh2_1_3" localSheetId="0" hidden="1">{#N/A,#N/A,FALSE,"Sheet1 (2)"}</definedName>
    <definedName name="______________________________________ooh2_1_3" hidden="1">{#N/A,#N/A,FALSE,"Sheet1 (2)"}</definedName>
    <definedName name="______________________________________ooh2_2" localSheetId="0" hidden="1">{#N/A,#N/A,FALSE,"Sheet1 (2)"}</definedName>
    <definedName name="______________________________________ooh2_2" hidden="1">{#N/A,#N/A,FALSE,"Sheet1 (2)"}</definedName>
    <definedName name="______________________________________ooh2_2_1" localSheetId="0" hidden="1">{#N/A,#N/A,FALSE,"Sheet1 (2)"}</definedName>
    <definedName name="______________________________________ooh2_2_1" hidden="1">{#N/A,#N/A,FALSE,"Sheet1 (2)"}</definedName>
    <definedName name="______________________________________ooh2_2_2" localSheetId="0" hidden="1">{#N/A,#N/A,FALSE,"Sheet1 (2)"}</definedName>
    <definedName name="______________________________________ooh2_2_2" hidden="1">{#N/A,#N/A,FALSE,"Sheet1 (2)"}</definedName>
    <definedName name="______________________________________ooh2_3" localSheetId="0" hidden="1">{#N/A,#N/A,FALSE,"Sheet1 (2)"}</definedName>
    <definedName name="______________________________________ooh2_3" hidden="1">{#N/A,#N/A,FALSE,"Sheet1 (2)"}</definedName>
    <definedName name="______________________________________ooh2_4" localSheetId="0" hidden="1">{#N/A,#N/A,FALSE,"Sheet1 (2)"}</definedName>
    <definedName name="______________________________________ooh2_4" hidden="1">{#N/A,#N/A,FALSE,"Sheet1 (2)"}</definedName>
    <definedName name="______________________________________per3">#REF!</definedName>
    <definedName name="______________________________________piv3">#REF!</definedName>
    <definedName name="______________________________________TOP2000">#REF!</definedName>
    <definedName name="______________________________________TOP97">#REF!</definedName>
    <definedName name="______________________________________TOP98">#REF!</definedName>
    <definedName name="______________________________________TOP99">#REF!</definedName>
    <definedName name="______________________________________TOZ2">#REF!</definedName>
    <definedName name="______________________________________TRT1">#REF!</definedName>
    <definedName name="______________________________________TV8">#REF!</definedName>
    <definedName name="_____________________________________all1">#REF!</definedName>
    <definedName name="_____________________________________der1">#REF!</definedName>
    <definedName name="_____________________________________der2">#REF!</definedName>
    <definedName name="_____________________________________IV90000">[2]TUBORG!#REF!</definedName>
    <definedName name="_____________________________________ka7">#REF!</definedName>
    <definedName name="_____________________________________KAN7">[1]Kategoriler!$A$227:$B$260</definedName>
    <definedName name="_____________________________________KR11">[4]Foglio1!#REF!</definedName>
    <definedName name="_____________________________________KR12">[4]Foglio1!#REF!</definedName>
    <definedName name="_____________________________________KR13">[4]Foglio1!#REF!</definedName>
    <definedName name="_____________________________________KR14">[4]Foglio1!#REF!</definedName>
    <definedName name="_____________________________________KR15">[4]Foglio1!#REF!</definedName>
    <definedName name="_____________________________________KR16">[4]Foglio1!#REF!</definedName>
    <definedName name="_____________________________________KR17">[4]Foglio1!#REF!</definedName>
    <definedName name="_____________________________________KR18">[4]Foglio1!#REF!</definedName>
    <definedName name="_____________________________________KR19">[4]Foglio1!#REF!</definedName>
    <definedName name="_____________________________________KRF10">[4]Foglio1!#REF!</definedName>
    <definedName name="_____________________________________KRF6">[4]Foglio1!#REF!</definedName>
    <definedName name="_____________________________________KRF7">[4]Foglio1!#REF!</definedName>
    <definedName name="_____________________________________KRF8">[4]Foglio1!#REF!</definedName>
    <definedName name="_____________________________________KRF9">[4]Foglio1!#REF!</definedName>
    <definedName name="_____________________________________KUR2">#REF!</definedName>
    <definedName name="_____________________________________ME1">#REF!</definedName>
    <definedName name="_____________________________________ME2">#REF!</definedName>
    <definedName name="_____________________________________ME3">#REF!</definedName>
    <definedName name="_____________________________________ME4">#REF!</definedName>
    <definedName name="_____________________________________ME5">#REF!</definedName>
    <definedName name="_____________________________________ME6">#REF!</definedName>
    <definedName name="_____________________________________ME7">#REF!</definedName>
    <definedName name="_____________________________________ME8">#REF!</definedName>
    <definedName name="_____________________________________ooh2" localSheetId="0" hidden="1">{#N/A,#N/A,FALSE,"Sheet1 (2)"}</definedName>
    <definedName name="_____________________________________ooh2" hidden="1">{#N/A,#N/A,FALSE,"Sheet1 (2)"}</definedName>
    <definedName name="_____________________________________ooh2_1" localSheetId="0" hidden="1">{#N/A,#N/A,FALSE,"Sheet1 (2)"}</definedName>
    <definedName name="_____________________________________ooh2_1" hidden="1">{#N/A,#N/A,FALSE,"Sheet1 (2)"}</definedName>
    <definedName name="_____________________________________ooh2_1_1" localSheetId="0" hidden="1">{#N/A,#N/A,FALSE,"Sheet1 (2)"}</definedName>
    <definedName name="_____________________________________ooh2_1_1" hidden="1">{#N/A,#N/A,FALSE,"Sheet1 (2)"}</definedName>
    <definedName name="_____________________________________ooh2_1_2" localSheetId="0" hidden="1">{#N/A,#N/A,FALSE,"Sheet1 (2)"}</definedName>
    <definedName name="_____________________________________ooh2_1_2" hidden="1">{#N/A,#N/A,FALSE,"Sheet1 (2)"}</definedName>
    <definedName name="_____________________________________ooh2_1_3" localSheetId="0" hidden="1">{#N/A,#N/A,FALSE,"Sheet1 (2)"}</definedName>
    <definedName name="_____________________________________ooh2_1_3" hidden="1">{#N/A,#N/A,FALSE,"Sheet1 (2)"}</definedName>
    <definedName name="_____________________________________ooh2_2" localSheetId="0" hidden="1">{#N/A,#N/A,FALSE,"Sheet1 (2)"}</definedName>
    <definedName name="_____________________________________ooh2_2" hidden="1">{#N/A,#N/A,FALSE,"Sheet1 (2)"}</definedName>
    <definedName name="_____________________________________ooh2_2_1" localSheetId="0" hidden="1">{#N/A,#N/A,FALSE,"Sheet1 (2)"}</definedName>
    <definedName name="_____________________________________ooh2_2_1" hidden="1">{#N/A,#N/A,FALSE,"Sheet1 (2)"}</definedName>
    <definedName name="_____________________________________ooh2_2_2" localSheetId="0" hidden="1">{#N/A,#N/A,FALSE,"Sheet1 (2)"}</definedName>
    <definedName name="_____________________________________ooh2_2_2" hidden="1">{#N/A,#N/A,FALSE,"Sheet1 (2)"}</definedName>
    <definedName name="_____________________________________ooh2_3" localSheetId="0" hidden="1">{#N/A,#N/A,FALSE,"Sheet1 (2)"}</definedName>
    <definedName name="_____________________________________ooh2_3" hidden="1">{#N/A,#N/A,FALSE,"Sheet1 (2)"}</definedName>
    <definedName name="_____________________________________ooh2_4" localSheetId="0" hidden="1">{#N/A,#N/A,FALSE,"Sheet1 (2)"}</definedName>
    <definedName name="_____________________________________ooh2_4" hidden="1">{#N/A,#N/A,FALSE,"Sheet1 (2)"}</definedName>
    <definedName name="_____________________________________per3">#REF!</definedName>
    <definedName name="_____________________________________piv3">#REF!</definedName>
    <definedName name="_____________________________________TOP2000">#REF!</definedName>
    <definedName name="_____________________________________TOP97">#REF!</definedName>
    <definedName name="_____________________________________TOP98">#REF!</definedName>
    <definedName name="_____________________________________TOP99">#REF!</definedName>
    <definedName name="_____________________________________TOZ2">#REF!</definedName>
    <definedName name="_____________________________________TRT1">#REF!</definedName>
    <definedName name="_____________________________________TV8">#REF!</definedName>
    <definedName name="____________________________________all1">#REF!</definedName>
    <definedName name="____________________________________der1">#REF!</definedName>
    <definedName name="____________________________________der2">#REF!</definedName>
    <definedName name="____________________________________IV90000">[6]TUBORG!#REF!</definedName>
    <definedName name="____________________________________ka7">#REF!</definedName>
    <definedName name="____________________________________KAN7">[5]Kategoriler!$A$227:$B$260</definedName>
    <definedName name="____________________________________KR11">[4]Foglio1!#REF!</definedName>
    <definedName name="____________________________________KR12">[4]Foglio1!#REF!</definedName>
    <definedName name="____________________________________KR13">[4]Foglio1!#REF!</definedName>
    <definedName name="____________________________________KR14">[4]Foglio1!#REF!</definedName>
    <definedName name="____________________________________KR15">[4]Foglio1!#REF!</definedName>
    <definedName name="____________________________________KR16">[4]Foglio1!#REF!</definedName>
    <definedName name="____________________________________KR17">[4]Foglio1!#REF!</definedName>
    <definedName name="____________________________________KR18">[4]Foglio1!#REF!</definedName>
    <definedName name="____________________________________KR19">[4]Foglio1!#REF!</definedName>
    <definedName name="____________________________________KRF10">[4]Foglio1!#REF!</definedName>
    <definedName name="____________________________________KRF6">[4]Foglio1!#REF!</definedName>
    <definedName name="____________________________________KRF7">[4]Foglio1!#REF!</definedName>
    <definedName name="____________________________________KRF8">[4]Foglio1!#REF!</definedName>
    <definedName name="____________________________________KRF9">[4]Foglio1!#REF!</definedName>
    <definedName name="____________________________________KUR2">#REF!</definedName>
    <definedName name="____________________________________ME1">#REF!</definedName>
    <definedName name="____________________________________ME2">#REF!</definedName>
    <definedName name="____________________________________ME3">#REF!</definedName>
    <definedName name="____________________________________ME4">#REF!</definedName>
    <definedName name="____________________________________ME5">#REF!</definedName>
    <definedName name="____________________________________ME6">#REF!</definedName>
    <definedName name="____________________________________ME7">#REF!</definedName>
    <definedName name="____________________________________ME8">#REF!</definedName>
    <definedName name="____________________________________ooh2" localSheetId="0" hidden="1">{#N/A,#N/A,FALSE,"Sheet1 (2)"}</definedName>
    <definedName name="____________________________________ooh2" hidden="1">{#N/A,#N/A,FALSE,"Sheet1 (2)"}</definedName>
    <definedName name="____________________________________ooh2_1" localSheetId="0" hidden="1">{#N/A,#N/A,FALSE,"Sheet1 (2)"}</definedName>
    <definedName name="____________________________________ooh2_1" hidden="1">{#N/A,#N/A,FALSE,"Sheet1 (2)"}</definedName>
    <definedName name="____________________________________ooh2_1_1" localSheetId="0" hidden="1">{#N/A,#N/A,FALSE,"Sheet1 (2)"}</definedName>
    <definedName name="____________________________________ooh2_1_1" hidden="1">{#N/A,#N/A,FALSE,"Sheet1 (2)"}</definedName>
    <definedName name="____________________________________ooh2_1_2" localSheetId="0" hidden="1">{#N/A,#N/A,FALSE,"Sheet1 (2)"}</definedName>
    <definedName name="____________________________________ooh2_1_2" hidden="1">{#N/A,#N/A,FALSE,"Sheet1 (2)"}</definedName>
    <definedName name="____________________________________ooh2_1_3" localSheetId="0" hidden="1">{#N/A,#N/A,FALSE,"Sheet1 (2)"}</definedName>
    <definedName name="____________________________________ooh2_1_3" hidden="1">{#N/A,#N/A,FALSE,"Sheet1 (2)"}</definedName>
    <definedName name="____________________________________ooh2_2" localSheetId="0" hidden="1">{#N/A,#N/A,FALSE,"Sheet1 (2)"}</definedName>
    <definedName name="____________________________________ooh2_2" hidden="1">{#N/A,#N/A,FALSE,"Sheet1 (2)"}</definedName>
    <definedName name="____________________________________ooh2_2_1" localSheetId="0" hidden="1">{#N/A,#N/A,FALSE,"Sheet1 (2)"}</definedName>
    <definedName name="____________________________________ooh2_2_1" hidden="1">{#N/A,#N/A,FALSE,"Sheet1 (2)"}</definedName>
    <definedName name="____________________________________ooh2_2_2" localSheetId="0" hidden="1">{#N/A,#N/A,FALSE,"Sheet1 (2)"}</definedName>
    <definedName name="____________________________________ooh2_2_2" hidden="1">{#N/A,#N/A,FALSE,"Sheet1 (2)"}</definedName>
    <definedName name="____________________________________ooh2_3" localSheetId="0" hidden="1">{#N/A,#N/A,FALSE,"Sheet1 (2)"}</definedName>
    <definedName name="____________________________________ooh2_3" hidden="1">{#N/A,#N/A,FALSE,"Sheet1 (2)"}</definedName>
    <definedName name="____________________________________ooh2_4" localSheetId="0" hidden="1">{#N/A,#N/A,FALSE,"Sheet1 (2)"}</definedName>
    <definedName name="____________________________________ooh2_4" hidden="1">{#N/A,#N/A,FALSE,"Sheet1 (2)"}</definedName>
    <definedName name="____________________________________per3">#REF!</definedName>
    <definedName name="____________________________________piv3">#REF!</definedName>
    <definedName name="____________________________________TOP2000">#REF!</definedName>
    <definedName name="____________________________________TOP97">#REF!</definedName>
    <definedName name="____________________________________TOP98">#REF!</definedName>
    <definedName name="____________________________________TOP99">#REF!</definedName>
    <definedName name="____________________________________TOZ2">#REF!</definedName>
    <definedName name="____________________________________TRT1">#REF!</definedName>
    <definedName name="____________________________________TV8">#REF!</definedName>
    <definedName name="___________________________________all1">#REF!</definedName>
    <definedName name="___________________________________der1">#REF!</definedName>
    <definedName name="___________________________________der2">#REF!</definedName>
    <definedName name="___________________________________IV90000">[2]TUBORG!#REF!</definedName>
    <definedName name="___________________________________ka7">#REF!</definedName>
    <definedName name="___________________________________KAN7">[5]Kategoriler!$A$227:$B$260</definedName>
    <definedName name="___________________________________KR11">[4]Foglio1!#REF!</definedName>
    <definedName name="___________________________________KR12">[4]Foglio1!#REF!</definedName>
    <definedName name="___________________________________KR13">[4]Foglio1!#REF!</definedName>
    <definedName name="___________________________________KR14">[4]Foglio1!#REF!</definedName>
    <definedName name="___________________________________KR15">[4]Foglio1!#REF!</definedName>
    <definedName name="___________________________________KR16">[4]Foglio1!#REF!</definedName>
    <definedName name="___________________________________KR17">[4]Foglio1!#REF!</definedName>
    <definedName name="___________________________________KR18">[4]Foglio1!#REF!</definedName>
    <definedName name="___________________________________KR19">[4]Foglio1!#REF!</definedName>
    <definedName name="___________________________________KRF10">[4]Foglio1!#REF!</definedName>
    <definedName name="___________________________________KRF6">[4]Foglio1!#REF!</definedName>
    <definedName name="___________________________________KRF7">[4]Foglio1!#REF!</definedName>
    <definedName name="___________________________________KRF8">[4]Foglio1!#REF!</definedName>
    <definedName name="___________________________________KRF9">[4]Foglio1!#REF!</definedName>
    <definedName name="___________________________________KUR2">#REF!</definedName>
    <definedName name="___________________________________ME1">#REF!</definedName>
    <definedName name="___________________________________ME2">#REF!</definedName>
    <definedName name="___________________________________ME3">#REF!</definedName>
    <definedName name="___________________________________ME4">#REF!</definedName>
    <definedName name="___________________________________ME5">#REF!</definedName>
    <definedName name="___________________________________ME6">#REF!</definedName>
    <definedName name="___________________________________ME7">#REF!</definedName>
    <definedName name="___________________________________ME8">#REF!</definedName>
    <definedName name="___________________________________ooh2" localSheetId="0" hidden="1">{#N/A,#N/A,FALSE,"Sheet1 (2)"}</definedName>
    <definedName name="___________________________________ooh2" hidden="1">{#N/A,#N/A,FALSE,"Sheet1 (2)"}</definedName>
    <definedName name="___________________________________ooh2_1" localSheetId="0" hidden="1">{#N/A,#N/A,FALSE,"Sheet1 (2)"}</definedName>
    <definedName name="___________________________________ooh2_1" hidden="1">{#N/A,#N/A,FALSE,"Sheet1 (2)"}</definedName>
    <definedName name="___________________________________ooh2_1_1" localSheetId="0" hidden="1">{#N/A,#N/A,FALSE,"Sheet1 (2)"}</definedName>
    <definedName name="___________________________________ooh2_1_1" hidden="1">{#N/A,#N/A,FALSE,"Sheet1 (2)"}</definedName>
    <definedName name="___________________________________ooh2_1_2" localSheetId="0" hidden="1">{#N/A,#N/A,FALSE,"Sheet1 (2)"}</definedName>
    <definedName name="___________________________________ooh2_1_2" hidden="1">{#N/A,#N/A,FALSE,"Sheet1 (2)"}</definedName>
    <definedName name="___________________________________ooh2_1_3" localSheetId="0" hidden="1">{#N/A,#N/A,FALSE,"Sheet1 (2)"}</definedName>
    <definedName name="___________________________________ooh2_1_3" hidden="1">{#N/A,#N/A,FALSE,"Sheet1 (2)"}</definedName>
    <definedName name="___________________________________ooh2_2" localSheetId="0" hidden="1">{#N/A,#N/A,FALSE,"Sheet1 (2)"}</definedName>
    <definedName name="___________________________________ooh2_2" hidden="1">{#N/A,#N/A,FALSE,"Sheet1 (2)"}</definedName>
    <definedName name="___________________________________ooh2_2_1" localSheetId="0" hidden="1">{#N/A,#N/A,FALSE,"Sheet1 (2)"}</definedName>
    <definedName name="___________________________________ooh2_2_1" hidden="1">{#N/A,#N/A,FALSE,"Sheet1 (2)"}</definedName>
    <definedName name="___________________________________ooh2_2_2" localSheetId="0" hidden="1">{#N/A,#N/A,FALSE,"Sheet1 (2)"}</definedName>
    <definedName name="___________________________________ooh2_2_2" hidden="1">{#N/A,#N/A,FALSE,"Sheet1 (2)"}</definedName>
    <definedName name="___________________________________ooh2_3" localSheetId="0" hidden="1">{#N/A,#N/A,FALSE,"Sheet1 (2)"}</definedName>
    <definedName name="___________________________________ooh2_3" hidden="1">{#N/A,#N/A,FALSE,"Sheet1 (2)"}</definedName>
    <definedName name="___________________________________ooh2_4" localSheetId="0" hidden="1">{#N/A,#N/A,FALSE,"Sheet1 (2)"}</definedName>
    <definedName name="___________________________________ooh2_4" hidden="1">{#N/A,#N/A,FALSE,"Sheet1 (2)"}</definedName>
    <definedName name="___________________________________per3">#REF!</definedName>
    <definedName name="___________________________________piv3">#REF!</definedName>
    <definedName name="___________________________________TOP2000">#REF!</definedName>
    <definedName name="___________________________________TOP97">#REF!</definedName>
    <definedName name="___________________________________TOP98">#REF!</definedName>
    <definedName name="___________________________________TOP99">#REF!</definedName>
    <definedName name="___________________________________TOZ2">#REF!</definedName>
    <definedName name="___________________________________TRT1">#REF!</definedName>
    <definedName name="___________________________________TV8">#REF!</definedName>
    <definedName name="__________________________________all1">#REF!</definedName>
    <definedName name="__________________________________der1">#REF!</definedName>
    <definedName name="__________________________________der2">#REF!</definedName>
    <definedName name="__________________________________IV90000">[6]TUBORG!#REF!</definedName>
    <definedName name="__________________________________ka7">#REF!</definedName>
    <definedName name="__________________________________KAN7">[1]Kategoriler!$A$227:$B$260</definedName>
    <definedName name="__________________________________KR11">[4]Foglio1!#REF!</definedName>
    <definedName name="__________________________________KR12">[4]Foglio1!#REF!</definedName>
    <definedName name="__________________________________KR13">[4]Foglio1!#REF!</definedName>
    <definedName name="__________________________________KR14">[4]Foglio1!#REF!</definedName>
    <definedName name="__________________________________KR15">[4]Foglio1!#REF!</definedName>
    <definedName name="__________________________________KR16">[4]Foglio1!#REF!</definedName>
    <definedName name="__________________________________KR17">[4]Foglio1!#REF!</definedName>
    <definedName name="__________________________________KR18">[4]Foglio1!#REF!</definedName>
    <definedName name="__________________________________KR19">[4]Foglio1!#REF!</definedName>
    <definedName name="__________________________________KRF10">[4]Foglio1!#REF!</definedName>
    <definedName name="__________________________________KRF6">[4]Foglio1!#REF!</definedName>
    <definedName name="__________________________________KRF7">[4]Foglio1!#REF!</definedName>
    <definedName name="__________________________________KRF8">[4]Foglio1!#REF!</definedName>
    <definedName name="__________________________________KRF9">[4]Foglio1!#REF!</definedName>
    <definedName name="__________________________________KUR2">#REF!</definedName>
    <definedName name="__________________________________ME1">#REF!</definedName>
    <definedName name="__________________________________ME2">#REF!</definedName>
    <definedName name="__________________________________ME3">#REF!</definedName>
    <definedName name="__________________________________ME4">#REF!</definedName>
    <definedName name="__________________________________ME5">#REF!</definedName>
    <definedName name="__________________________________ME6">#REF!</definedName>
    <definedName name="__________________________________ME7">#REF!</definedName>
    <definedName name="__________________________________ME8">#REF!</definedName>
    <definedName name="__________________________________ooh2" localSheetId="0" hidden="1">{#N/A,#N/A,FALSE,"Sheet1 (2)"}</definedName>
    <definedName name="__________________________________ooh2" hidden="1">{#N/A,#N/A,FALSE,"Sheet1 (2)"}</definedName>
    <definedName name="__________________________________ooh2_1" localSheetId="0" hidden="1">{#N/A,#N/A,FALSE,"Sheet1 (2)"}</definedName>
    <definedName name="__________________________________ooh2_1" hidden="1">{#N/A,#N/A,FALSE,"Sheet1 (2)"}</definedName>
    <definedName name="__________________________________ooh2_1_1" localSheetId="0" hidden="1">{#N/A,#N/A,FALSE,"Sheet1 (2)"}</definedName>
    <definedName name="__________________________________ooh2_1_1" hidden="1">{#N/A,#N/A,FALSE,"Sheet1 (2)"}</definedName>
    <definedName name="__________________________________ooh2_1_2" localSheetId="0" hidden="1">{#N/A,#N/A,FALSE,"Sheet1 (2)"}</definedName>
    <definedName name="__________________________________ooh2_1_2" hidden="1">{#N/A,#N/A,FALSE,"Sheet1 (2)"}</definedName>
    <definedName name="__________________________________ooh2_1_3" localSheetId="0" hidden="1">{#N/A,#N/A,FALSE,"Sheet1 (2)"}</definedName>
    <definedName name="__________________________________ooh2_1_3" hidden="1">{#N/A,#N/A,FALSE,"Sheet1 (2)"}</definedName>
    <definedName name="__________________________________ooh2_2" localSheetId="0" hidden="1">{#N/A,#N/A,FALSE,"Sheet1 (2)"}</definedName>
    <definedName name="__________________________________ooh2_2" hidden="1">{#N/A,#N/A,FALSE,"Sheet1 (2)"}</definedName>
    <definedName name="__________________________________ooh2_2_1" localSheetId="0" hidden="1">{#N/A,#N/A,FALSE,"Sheet1 (2)"}</definedName>
    <definedName name="__________________________________ooh2_2_1" hidden="1">{#N/A,#N/A,FALSE,"Sheet1 (2)"}</definedName>
    <definedName name="__________________________________ooh2_2_2" localSheetId="0" hidden="1">{#N/A,#N/A,FALSE,"Sheet1 (2)"}</definedName>
    <definedName name="__________________________________ooh2_2_2" hidden="1">{#N/A,#N/A,FALSE,"Sheet1 (2)"}</definedName>
    <definedName name="__________________________________ooh2_3" localSheetId="0" hidden="1">{#N/A,#N/A,FALSE,"Sheet1 (2)"}</definedName>
    <definedName name="__________________________________ooh2_3" hidden="1">{#N/A,#N/A,FALSE,"Sheet1 (2)"}</definedName>
    <definedName name="__________________________________ooh2_4" localSheetId="0" hidden="1">{#N/A,#N/A,FALSE,"Sheet1 (2)"}</definedName>
    <definedName name="__________________________________ooh2_4" hidden="1">{#N/A,#N/A,FALSE,"Sheet1 (2)"}</definedName>
    <definedName name="__________________________________per3">#REF!</definedName>
    <definedName name="__________________________________piv3">#REF!</definedName>
    <definedName name="__________________________________TOP2000">#REF!</definedName>
    <definedName name="__________________________________TOP97">#REF!</definedName>
    <definedName name="__________________________________TOP98">#REF!</definedName>
    <definedName name="__________________________________TOP99">#REF!</definedName>
    <definedName name="__________________________________TOZ2">#REF!</definedName>
    <definedName name="__________________________________TRT1">#REF!</definedName>
    <definedName name="__________________________________TV8">#REF!</definedName>
    <definedName name="_________________________________all1">#REF!</definedName>
    <definedName name="_________________________________der1">#REF!</definedName>
    <definedName name="_________________________________der2">#REF!</definedName>
    <definedName name="_________________________________IV90000">[2]TUBORG!#REF!</definedName>
    <definedName name="_________________________________ka7">#REF!</definedName>
    <definedName name="_________________________________KAN7">[5]Kategoriler!$A$227:$B$260</definedName>
    <definedName name="_________________________________KR11">[4]Foglio1!#REF!</definedName>
    <definedName name="_________________________________KR12">[4]Foglio1!#REF!</definedName>
    <definedName name="_________________________________KR13">[4]Foglio1!#REF!</definedName>
    <definedName name="_________________________________KR14">[4]Foglio1!#REF!</definedName>
    <definedName name="_________________________________KR15">[4]Foglio1!#REF!</definedName>
    <definedName name="_________________________________KR16">[4]Foglio1!#REF!</definedName>
    <definedName name="_________________________________KR17">[4]Foglio1!#REF!</definedName>
    <definedName name="_________________________________KR18">[4]Foglio1!#REF!</definedName>
    <definedName name="_________________________________KR19">[4]Foglio1!#REF!</definedName>
    <definedName name="_________________________________KRF10">[4]Foglio1!#REF!</definedName>
    <definedName name="_________________________________KRF6">[4]Foglio1!#REF!</definedName>
    <definedName name="_________________________________KRF7">[4]Foglio1!#REF!</definedName>
    <definedName name="_________________________________KRF8">[4]Foglio1!#REF!</definedName>
    <definedName name="_________________________________KRF9">[4]Foglio1!#REF!</definedName>
    <definedName name="_________________________________KUR2">#REF!</definedName>
    <definedName name="_________________________________ME1">#REF!</definedName>
    <definedName name="_________________________________ME2">#REF!</definedName>
    <definedName name="_________________________________ME3">#REF!</definedName>
    <definedName name="_________________________________ME4">#REF!</definedName>
    <definedName name="_________________________________ME5">#REF!</definedName>
    <definedName name="_________________________________ME6">#REF!</definedName>
    <definedName name="_________________________________ME7">#REF!</definedName>
    <definedName name="_________________________________ME8">#REF!</definedName>
    <definedName name="_________________________________ooh2" localSheetId="0" hidden="1">{#N/A,#N/A,FALSE,"Sheet1 (2)"}</definedName>
    <definedName name="_________________________________ooh2" hidden="1">{#N/A,#N/A,FALSE,"Sheet1 (2)"}</definedName>
    <definedName name="_________________________________ooh2_1" localSheetId="0" hidden="1">{#N/A,#N/A,FALSE,"Sheet1 (2)"}</definedName>
    <definedName name="_________________________________ooh2_1" hidden="1">{#N/A,#N/A,FALSE,"Sheet1 (2)"}</definedName>
    <definedName name="_________________________________ooh2_1_1" localSheetId="0" hidden="1">{#N/A,#N/A,FALSE,"Sheet1 (2)"}</definedName>
    <definedName name="_________________________________ooh2_1_1" hidden="1">{#N/A,#N/A,FALSE,"Sheet1 (2)"}</definedName>
    <definedName name="_________________________________ooh2_1_2" localSheetId="0" hidden="1">{#N/A,#N/A,FALSE,"Sheet1 (2)"}</definedName>
    <definedName name="_________________________________ooh2_1_2" hidden="1">{#N/A,#N/A,FALSE,"Sheet1 (2)"}</definedName>
    <definedName name="_________________________________ooh2_1_3" localSheetId="0" hidden="1">{#N/A,#N/A,FALSE,"Sheet1 (2)"}</definedName>
    <definedName name="_________________________________ooh2_1_3" hidden="1">{#N/A,#N/A,FALSE,"Sheet1 (2)"}</definedName>
    <definedName name="_________________________________ooh2_2" localSheetId="0" hidden="1">{#N/A,#N/A,FALSE,"Sheet1 (2)"}</definedName>
    <definedName name="_________________________________ooh2_2" hidden="1">{#N/A,#N/A,FALSE,"Sheet1 (2)"}</definedName>
    <definedName name="_________________________________ooh2_2_1" localSheetId="0" hidden="1">{#N/A,#N/A,FALSE,"Sheet1 (2)"}</definedName>
    <definedName name="_________________________________ooh2_2_1" hidden="1">{#N/A,#N/A,FALSE,"Sheet1 (2)"}</definedName>
    <definedName name="_________________________________ooh2_2_2" localSheetId="0" hidden="1">{#N/A,#N/A,FALSE,"Sheet1 (2)"}</definedName>
    <definedName name="_________________________________ooh2_2_2" hidden="1">{#N/A,#N/A,FALSE,"Sheet1 (2)"}</definedName>
    <definedName name="_________________________________ooh2_3" localSheetId="0" hidden="1">{#N/A,#N/A,FALSE,"Sheet1 (2)"}</definedName>
    <definedName name="_________________________________ooh2_3" hidden="1">{#N/A,#N/A,FALSE,"Sheet1 (2)"}</definedName>
    <definedName name="_________________________________ooh2_4" localSheetId="0" hidden="1">{#N/A,#N/A,FALSE,"Sheet1 (2)"}</definedName>
    <definedName name="_________________________________ooh2_4" hidden="1">{#N/A,#N/A,FALSE,"Sheet1 (2)"}</definedName>
    <definedName name="_________________________________per3">#REF!</definedName>
    <definedName name="_________________________________piv3">#REF!</definedName>
    <definedName name="_________________________________TOP2000">#REF!</definedName>
    <definedName name="_________________________________TOP97">#REF!</definedName>
    <definedName name="_________________________________TOP98">#REF!</definedName>
    <definedName name="_________________________________TOP99">#REF!</definedName>
    <definedName name="_________________________________TOZ2">#REF!</definedName>
    <definedName name="_________________________________TRT1">#REF!</definedName>
    <definedName name="_________________________________TV8">#REF!</definedName>
    <definedName name="________________________________all1">#REF!</definedName>
    <definedName name="________________________________der1">#REF!</definedName>
    <definedName name="________________________________der2">#REF!</definedName>
    <definedName name="________________________________IV90000">[2]TUBORG!#REF!</definedName>
    <definedName name="________________________________ka7">#REF!</definedName>
    <definedName name="________________________________KAN7">[5]Kategoriler!$A$227:$B$260</definedName>
    <definedName name="________________________________KR11">[4]Foglio1!#REF!</definedName>
    <definedName name="________________________________KR12">[4]Foglio1!#REF!</definedName>
    <definedName name="________________________________KR13">[4]Foglio1!#REF!</definedName>
    <definedName name="________________________________KR14">[4]Foglio1!#REF!</definedName>
    <definedName name="________________________________KR15">[4]Foglio1!#REF!</definedName>
    <definedName name="________________________________KR16">[4]Foglio1!#REF!</definedName>
    <definedName name="________________________________KR17">[4]Foglio1!#REF!</definedName>
    <definedName name="________________________________KR18">[4]Foglio1!#REF!</definedName>
    <definedName name="________________________________KR19">[4]Foglio1!#REF!</definedName>
    <definedName name="________________________________KRF10">[4]Foglio1!#REF!</definedName>
    <definedName name="________________________________KRF6">[4]Foglio1!#REF!</definedName>
    <definedName name="________________________________KRF7">[4]Foglio1!#REF!</definedName>
    <definedName name="________________________________KRF8">[4]Foglio1!#REF!</definedName>
    <definedName name="________________________________KRF9">[4]Foglio1!#REF!</definedName>
    <definedName name="________________________________KUR2">#REF!</definedName>
    <definedName name="________________________________ME1">#REF!</definedName>
    <definedName name="________________________________ME2">#REF!</definedName>
    <definedName name="________________________________ME3">#REF!</definedName>
    <definedName name="________________________________ME4">#REF!</definedName>
    <definedName name="________________________________ME5">#REF!</definedName>
    <definedName name="________________________________ME6">#REF!</definedName>
    <definedName name="________________________________ME7">#REF!</definedName>
    <definedName name="________________________________ME8">#REF!</definedName>
    <definedName name="________________________________ooh2" localSheetId="0" hidden="1">{#N/A,#N/A,FALSE,"Sheet1 (2)"}</definedName>
    <definedName name="________________________________ooh2" hidden="1">{#N/A,#N/A,FALSE,"Sheet1 (2)"}</definedName>
    <definedName name="________________________________ooh2_1" localSheetId="0" hidden="1">{#N/A,#N/A,FALSE,"Sheet1 (2)"}</definedName>
    <definedName name="________________________________ooh2_1" hidden="1">{#N/A,#N/A,FALSE,"Sheet1 (2)"}</definedName>
    <definedName name="________________________________ooh2_1_1" localSheetId="0" hidden="1">{#N/A,#N/A,FALSE,"Sheet1 (2)"}</definedName>
    <definedName name="________________________________ooh2_1_1" hidden="1">{#N/A,#N/A,FALSE,"Sheet1 (2)"}</definedName>
    <definedName name="________________________________ooh2_1_2" localSheetId="0" hidden="1">{#N/A,#N/A,FALSE,"Sheet1 (2)"}</definedName>
    <definedName name="________________________________ooh2_1_2" hidden="1">{#N/A,#N/A,FALSE,"Sheet1 (2)"}</definedName>
    <definedName name="________________________________ooh2_1_3" localSheetId="0" hidden="1">{#N/A,#N/A,FALSE,"Sheet1 (2)"}</definedName>
    <definedName name="________________________________ooh2_1_3" hidden="1">{#N/A,#N/A,FALSE,"Sheet1 (2)"}</definedName>
    <definedName name="________________________________ooh2_2" localSheetId="0" hidden="1">{#N/A,#N/A,FALSE,"Sheet1 (2)"}</definedName>
    <definedName name="________________________________ooh2_2" hidden="1">{#N/A,#N/A,FALSE,"Sheet1 (2)"}</definedName>
    <definedName name="________________________________ooh2_2_1" localSheetId="0" hidden="1">{#N/A,#N/A,FALSE,"Sheet1 (2)"}</definedName>
    <definedName name="________________________________ooh2_2_1" hidden="1">{#N/A,#N/A,FALSE,"Sheet1 (2)"}</definedName>
    <definedName name="________________________________ooh2_2_2" localSheetId="0" hidden="1">{#N/A,#N/A,FALSE,"Sheet1 (2)"}</definedName>
    <definedName name="________________________________ooh2_2_2" hidden="1">{#N/A,#N/A,FALSE,"Sheet1 (2)"}</definedName>
    <definedName name="________________________________ooh2_3" localSheetId="0" hidden="1">{#N/A,#N/A,FALSE,"Sheet1 (2)"}</definedName>
    <definedName name="________________________________ooh2_3" hidden="1">{#N/A,#N/A,FALSE,"Sheet1 (2)"}</definedName>
    <definedName name="________________________________ooh2_4" localSheetId="0" hidden="1">{#N/A,#N/A,FALSE,"Sheet1 (2)"}</definedName>
    <definedName name="________________________________ooh2_4" hidden="1">{#N/A,#N/A,FALSE,"Sheet1 (2)"}</definedName>
    <definedName name="________________________________per3">#REF!</definedName>
    <definedName name="________________________________piv3">#REF!</definedName>
    <definedName name="________________________________TOP2000">#REF!</definedName>
    <definedName name="________________________________TOP97">#REF!</definedName>
    <definedName name="________________________________TOP98">#REF!</definedName>
    <definedName name="________________________________TOP99">#REF!</definedName>
    <definedName name="________________________________TOZ2">#REF!</definedName>
    <definedName name="________________________________TRT1">#REF!</definedName>
    <definedName name="________________________________TV8">#REF!</definedName>
    <definedName name="_______________________________all1">#REF!</definedName>
    <definedName name="_______________________________der1">#REF!</definedName>
    <definedName name="_______________________________der2">#REF!</definedName>
    <definedName name="_______________________________IV90000">[6]TUBORG!#REF!</definedName>
    <definedName name="_______________________________ka7">#REF!</definedName>
    <definedName name="_______________________________KAN7">[1]Kategoriler!$A$227:$B$260</definedName>
    <definedName name="_______________________________KR11">[4]Foglio1!#REF!</definedName>
    <definedName name="_______________________________KR12">[4]Foglio1!#REF!</definedName>
    <definedName name="_______________________________KR13">[4]Foglio1!#REF!</definedName>
    <definedName name="_______________________________KR14">[4]Foglio1!#REF!</definedName>
    <definedName name="_______________________________KR15">[4]Foglio1!#REF!</definedName>
    <definedName name="_______________________________KR16">[4]Foglio1!#REF!</definedName>
    <definedName name="_______________________________KR17">[4]Foglio1!#REF!</definedName>
    <definedName name="_______________________________KR18">[4]Foglio1!#REF!</definedName>
    <definedName name="_______________________________KR19">[4]Foglio1!#REF!</definedName>
    <definedName name="_______________________________KRF10">[4]Foglio1!#REF!</definedName>
    <definedName name="_______________________________KRF6">[4]Foglio1!#REF!</definedName>
    <definedName name="_______________________________KRF7">[4]Foglio1!#REF!</definedName>
    <definedName name="_______________________________KRF8">[4]Foglio1!#REF!</definedName>
    <definedName name="_______________________________KRF9">[4]Foglio1!#REF!</definedName>
    <definedName name="_______________________________KUR2">#REF!</definedName>
    <definedName name="_______________________________ME1">#REF!</definedName>
    <definedName name="_______________________________ME2">#REF!</definedName>
    <definedName name="_______________________________ME3">#REF!</definedName>
    <definedName name="_______________________________ME4">#REF!</definedName>
    <definedName name="_______________________________ME5">#REF!</definedName>
    <definedName name="_______________________________ME6">#REF!</definedName>
    <definedName name="_______________________________ME7">#REF!</definedName>
    <definedName name="_______________________________ME8">#REF!</definedName>
    <definedName name="_______________________________ooh2" localSheetId="0" hidden="1">{#N/A,#N/A,FALSE,"Sheet1 (2)"}</definedName>
    <definedName name="_______________________________ooh2" hidden="1">{#N/A,#N/A,FALSE,"Sheet1 (2)"}</definedName>
    <definedName name="_______________________________ooh2_1" localSheetId="0" hidden="1">{#N/A,#N/A,FALSE,"Sheet1 (2)"}</definedName>
    <definedName name="_______________________________ooh2_1" hidden="1">{#N/A,#N/A,FALSE,"Sheet1 (2)"}</definedName>
    <definedName name="_______________________________ooh2_1_1" localSheetId="0" hidden="1">{#N/A,#N/A,FALSE,"Sheet1 (2)"}</definedName>
    <definedName name="_______________________________ooh2_1_1" hidden="1">{#N/A,#N/A,FALSE,"Sheet1 (2)"}</definedName>
    <definedName name="_______________________________ooh2_1_2" localSheetId="0" hidden="1">{#N/A,#N/A,FALSE,"Sheet1 (2)"}</definedName>
    <definedName name="_______________________________ooh2_1_2" hidden="1">{#N/A,#N/A,FALSE,"Sheet1 (2)"}</definedName>
    <definedName name="_______________________________ooh2_1_3" localSheetId="0" hidden="1">{#N/A,#N/A,FALSE,"Sheet1 (2)"}</definedName>
    <definedName name="_______________________________ooh2_1_3" hidden="1">{#N/A,#N/A,FALSE,"Sheet1 (2)"}</definedName>
    <definedName name="_______________________________ooh2_2" localSheetId="0" hidden="1">{#N/A,#N/A,FALSE,"Sheet1 (2)"}</definedName>
    <definedName name="_______________________________ooh2_2" hidden="1">{#N/A,#N/A,FALSE,"Sheet1 (2)"}</definedName>
    <definedName name="_______________________________ooh2_2_1" localSheetId="0" hidden="1">{#N/A,#N/A,FALSE,"Sheet1 (2)"}</definedName>
    <definedName name="_______________________________ooh2_2_1" hidden="1">{#N/A,#N/A,FALSE,"Sheet1 (2)"}</definedName>
    <definedName name="_______________________________ooh2_2_2" localSheetId="0" hidden="1">{#N/A,#N/A,FALSE,"Sheet1 (2)"}</definedName>
    <definedName name="_______________________________ooh2_2_2" hidden="1">{#N/A,#N/A,FALSE,"Sheet1 (2)"}</definedName>
    <definedName name="_______________________________ooh2_3" localSheetId="0" hidden="1">{#N/A,#N/A,FALSE,"Sheet1 (2)"}</definedName>
    <definedName name="_______________________________ooh2_3" hidden="1">{#N/A,#N/A,FALSE,"Sheet1 (2)"}</definedName>
    <definedName name="_______________________________ooh2_4" localSheetId="0" hidden="1">{#N/A,#N/A,FALSE,"Sheet1 (2)"}</definedName>
    <definedName name="_______________________________ooh2_4" hidden="1">{#N/A,#N/A,FALSE,"Sheet1 (2)"}</definedName>
    <definedName name="_______________________________per3">#REF!</definedName>
    <definedName name="_______________________________piv3">#REF!</definedName>
    <definedName name="_______________________________TOP2000">#REF!</definedName>
    <definedName name="_______________________________TOP97">#REF!</definedName>
    <definedName name="_______________________________TOP98">#REF!</definedName>
    <definedName name="_______________________________TOP99">#REF!</definedName>
    <definedName name="_______________________________TOZ2">#REF!</definedName>
    <definedName name="_______________________________TRT1">#REF!</definedName>
    <definedName name="_______________________________TV8">#REF!</definedName>
    <definedName name="______________________________all1">#REF!</definedName>
    <definedName name="______________________________der1">#REF!</definedName>
    <definedName name="______________________________der2">#REF!</definedName>
    <definedName name="______________________________IV90000">[6]TUBORG!#REF!</definedName>
    <definedName name="______________________________ka7">#REF!</definedName>
    <definedName name="______________________________KAN7">[5]Kategoriler!$A$227:$B$260</definedName>
    <definedName name="______________________________KR11">[4]Foglio1!#REF!</definedName>
    <definedName name="______________________________KR12">[4]Foglio1!#REF!</definedName>
    <definedName name="______________________________KR13">[4]Foglio1!#REF!</definedName>
    <definedName name="______________________________KR14">[4]Foglio1!#REF!</definedName>
    <definedName name="______________________________KR15">[4]Foglio1!#REF!</definedName>
    <definedName name="______________________________KR16">[4]Foglio1!#REF!</definedName>
    <definedName name="______________________________KR17">[4]Foglio1!#REF!</definedName>
    <definedName name="______________________________KR18">[4]Foglio1!#REF!</definedName>
    <definedName name="______________________________KR19">[4]Foglio1!#REF!</definedName>
    <definedName name="______________________________KRF10">[4]Foglio1!#REF!</definedName>
    <definedName name="______________________________KRF6">[4]Foglio1!#REF!</definedName>
    <definedName name="______________________________KRF7">[4]Foglio1!#REF!</definedName>
    <definedName name="______________________________KRF8">[4]Foglio1!#REF!</definedName>
    <definedName name="______________________________KRF9">[4]Foglio1!#REF!</definedName>
    <definedName name="______________________________KUR2">#REF!</definedName>
    <definedName name="______________________________ME1">#REF!</definedName>
    <definedName name="______________________________ME2">#REF!</definedName>
    <definedName name="______________________________ME3">#REF!</definedName>
    <definedName name="______________________________ME4">#REF!</definedName>
    <definedName name="______________________________ME5">#REF!</definedName>
    <definedName name="______________________________ME6">#REF!</definedName>
    <definedName name="______________________________ME7">#REF!</definedName>
    <definedName name="______________________________ME8">#REF!</definedName>
    <definedName name="______________________________ooh2" localSheetId="0" hidden="1">{#N/A,#N/A,FALSE,"Sheet1 (2)"}</definedName>
    <definedName name="______________________________ooh2" hidden="1">{#N/A,#N/A,FALSE,"Sheet1 (2)"}</definedName>
    <definedName name="______________________________ooh2_1" localSheetId="0" hidden="1">{#N/A,#N/A,FALSE,"Sheet1 (2)"}</definedName>
    <definedName name="______________________________ooh2_1" hidden="1">{#N/A,#N/A,FALSE,"Sheet1 (2)"}</definedName>
    <definedName name="______________________________ooh2_1_1" localSheetId="0" hidden="1">{#N/A,#N/A,FALSE,"Sheet1 (2)"}</definedName>
    <definedName name="______________________________ooh2_1_1" hidden="1">{#N/A,#N/A,FALSE,"Sheet1 (2)"}</definedName>
    <definedName name="______________________________ooh2_1_2" localSheetId="0" hidden="1">{#N/A,#N/A,FALSE,"Sheet1 (2)"}</definedName>
    <definedName name="______________________________ooh2_1_2" hidden="1">{#N/A,#N/A,FALSE,"Sheet1 (2)"}</definedName>
    <definedName name="______________________________ooh2_1_3" localSheetId="0" hidden="1">{#N/A,#N/A,FALSE,"Sheet1 (2)"}</definedName>
    <definedName name="______________________________ooh2_1_3" hidden="1">{#N/A,#N/A,FALSE,"Sheet1 (2)"}</definedName>
    <definedName name="______________________________ooh2_2" localSheetId="0" hidden="1">{#N/A,#N/A,FALSE,"Sheet1 (2)"}</definedName>
    <definedName name="______________________________ooh2_2" hidden="1">{#N/A,#N/A,FALSE,"Sheet1 (2)"}</definedName>
    <definedName name="______________________________ooh2_2_1" localSheetId="0" hidden="1">{#N/A,#N/A,FALSE,"Sheet1 (2)"}</definedName>
    <definedName name="______________________________ooh2_2_1" hidden="1">{#N/A,#N/A,FALSE,"Sheet1 (2)"}</definedName>
    <definedName name="______________________________ooh2_2_2" localSheetId="0" hidden="1">{#N/A,#N/A,FALSE,"Sheet1 (2)"}</definedName>
    <definedName name="______________________________ooh2_2_2" hidden="1">{#N/A,#N/A,FALSE,"Sheet1 (2)"}</definedName>
    <definedName name="______________________________ooh2_3" localSheetId="0" hidden="1">{#N/A,#N/A,FALSE,"Sheet1 (2)"}</definedName>
    <definedName name="______________________________ooh2_3" hidden="1">{#N/A,#N/A,FALSE,"Sheet1 (2)"}</definedName>
    <definedName name="______________________________ooh2_4" localSheetId="0" hidden="1">{#N/A,#N/A,FALSE,"Sheet1 (2)"}</definedName>
    <definedName name="______________________________ooh2_4" hidden="1">{#N/A,#N/A,FALSE,"Sheet1 (2)"}</definedName>
    <definedName name="______________________________per3">#REF!</definedName>
    <definedName name="______________________________piv3">#REF!</definedName>
    <definedName name="______________________________TOP2000">#REF!</definedName>
    <definedName name="______________________________TOP97">#REF!</definedName>
    <definedName name="______________________________TOP98">#REF!</definedName>
    <definedName name="______________________________TOP99">#REF!</definedName>
    <definedName name="______________________________TOZ2">#REF!</definedName>
    <definedName name="______________________________TRT1">#REF!</definedName>
    <definedName name="______________________________TV8">#REF!</definedName>
    <definedName name="_____________________________all1">#REF!</definedName>
    <definedName name="_____________________________der1">#REF!</definedName>
    <definedName name="_____________________________der2">#REF!</definedName>
    <definedName name="_____________________________IV90000">[6]TUBORG!#REF!</definedName>
    <definedName name="_____________________________ka7">#REF!</definedName>
    <definedName name="_____________________________KAN7">[1]Kategoriler!$A$227:$B$260</definedName>
    <definedName name="_____________________________KR11">[4]Foglio1!#REF!</definedName>
    <definedName name="_____________________________KR12">[4]Foglio1!#REF!</definedName>
    <definedName name="_____________________________KR13">[4]Foglio1!#REF!</definedName>
    <definedName name="_____________________________KR14">[4]Foglio1!#REF!</definedName>
    <definedName name="_____________________________KR15">[4]Foglio1!#REF!</definedName>
    <definedName name="_____________________________KR16">[4]Foglio1!#REF!</definedName>
    <definedName name="_____________________________KR17">[4]Foglio1!#REF!</definedName>
    <definedName name="_____________________________KR18">[4]Foglio1!#REF!</definedName>
    <definedName name="_____________________________KR19">[4]Foglio1!#REF!</definedName>
    <definedName name="_____________________________KRF10">[4]Foglio1!#REF!</definedName>
    <definedName name="_____________________________KRF6">[4]Foglio1!#REF!</definedName>
    <definedName name="_____________________________KRF7">[4]Foglio1!#REF!</definedName>
    <definedName name="_____________________________KRF8">[4]Foglio1!#REF!</definedName>
    <definedName name="_____________________________KRF9">[4]Foglio1!#REF!</definedName>
    <definedName name="_____________________________KUR2">#REF!</definedName>
    <definedName name="_____________________________ME1">#REF!</definedName>
    <definedName name="_____________________________ME2">#REF!</definedName>
    <definedName name="_____________________________ME3">#REF!</definedName>
    <definedName name="_____________________________ME4">#REF!</definedName>
    <definedName name="_____________________________ME5">#REF!</definedName>
    <definedName name="_____________________________ME6">#REF!</definedName>
    <definedName name="_____________________________ME7">#REF!</definedName>
    <definedName name="_____________________________ME8">#REF!</definedName>
    <definedName name="_____________________________ooh2" localSheetId="0" hidden="1">{#N/A,#N/A,FALSE,"Sheet1 (2)"}</definedName>
    <definedName name="_____________________________ooh2" hidden="1">{#N/A,#N/A,FALSE,"Sheet1 (2)"}</definedName>
    <definedName name="_____________________________ooh2_1" localSheetId="0" hidden="1">{#N/A,#N/A,FALSE,"Sheet1 (2)"}</definedName>
    <definedName name="_____________________________ooh2_1" hidden="1">{#N/A,#N/A,FALSE,"Sheet1 (2)"}</definedName>
    <definedName name="_____________________________ooh2_1_1" localSheetId="0" hidden="1">{#N/A,#N/A,FALSE,"Sheet1 (2)"}</definedName>
    <definedName name="_____________________________ooh2_1_1" hidden="1">{#N/A,#N/A,FALSE,"Sheet1 (2)"}</definedName>
    <definedName name="_____________________________ooh2_1_2" localSheetId="0" hidden="1">{#N/A,#N/A,FALSE,"Sheet1 (2)"}</definedName>
    <definedName name="_____________________________ooh2_1_2" hidden="1">{#N/A,#N/A,FALSE,"Sheet1 (2)"}</definedName>
    <definedName name="_____________________________ooh2_1_3" localSheetId="0" hidden="1">{#N/A,#N/A,FALSE,"Sheet1 (2)"}</definedName>
    <definedName name="_____________________________ooh2_1_3" hidden="1">{#N/A,#N/A,FALSE,"Sheet1 (2)"}</definedName>
    <definedName name="_____________________________ooh2_2" localSheetId="0" hidden="1">{#N/A,#N/A,FALSE,"Sheet1 (2)"}</definedName>
    <definedName name="_____________________________ooh2_2" hidden="1">{#N/A,#N/A,FALSE,"Sheet1 (2)"}</definedName>
    <definedName name="_____________________________ooh2_2_1" localSheetId="0" hidden="1">{#N/A,#N/A,FALSE,"Sheet1 (2)"}</definedName>
    <definedName name="_____________________________ooh2_2_1" hidden="1">{#N/A,#N/A,FALSE,"Sheet1 (2)"}</definedName>
    <definedName name="_____________________________ooh2_2_2" localSheetId="0" hidden="1">{#N/A,#N/A,FALSE,"Sheet1 (2)"}</definedName>
    <definedName name="_____________________________ooh2_2_2" hidden="1">{#N/A,#N/A,FALSE,"Sheet1 (2)"}</definedName>
    <definedName name="_____________________________ooh2_3" localSheetId="0" hidden="1">{#N/A,#N/A,FALSE,"Sheet1 (2)"}</definedName>
    <definedName name="_____________________________ooh2_3" hidden="1">{#N/A,#N/A,FALSE,"Sheet1 (2)"}</definedName>
    <definedName name="_____________________________ooh2_4" localSheetId="0" hidden="1">{#N/A,#N/A,FALSE,"Sheet1 (2)"}</definedName>
    <definedName name="_____________________________ooh2_4" hidden="1">{#N/A,#N/A,FALSE,"Sheet1 (2)"}</definedName>
    <definedName name="_____________________________per3">#REF!</definedName>
    <definedName name="_____________________________piv3">#REF!</definedName>
    <definedName name="_____________________________TOP2000">#REF!</definedName>
    <definedName name="_____________________________TOP97">#REF!</definedName>
    <definedName name="_____________________________TOP98">#REF!</definedName>
    <definedName name="_____________________________TOP99">#REF!</definedName>
    <definedName name="_____________________________TOZ2">#REF!</definedName>
    <definedName name="_____________________________TRT1">#REF!</definedName>
    <definedName name="_____________________________TV8">#REF!</definedName>
    <definedName name="____________________________all1">#REF!</definedName>
    <definedName name="____________________________der1">#REF!</definedName>
    <definedName name="____________________________der2">#REF!</definedName>
    <definedName name="____________________________IV90000">[6]TUBORG!#REF!</definedName>
    <definedName name="____________________________ka7">#REF!</definedName>
    <definedName name="____________________________KAN7">[5]Kategoriler!$A$227:$B$260</definedName>
    <definedName name="____________________________KR11">[4]Foglio1!#REF!</definedName>
    <definedName name="____________________________KR12">[4]Foglio1!#REF!</definedName>
    <definedName name="____________________________KR13">[4]Foglio1!#REF!</definedName>
    <definedName name="____________________________KR14">[4]Foglio1!#REF!</definedName>
    <definedName name="____________________________KR15">[4]Foglio1!#REF!</definedName>
    <definedName name="____________________________KR16">[4]Foglio1!#REF!</definedName>
    <definedName name="____________________________KR17">[4]Foglio1!#REF!</definedName>
    <definedName name="____________________________KR18">[4]Foglio1!#REF!</definedName>
    <definedName name="____________________________KR19">[4]Foglio1!#REF!</definedName>
    <definedName name="____________________________KRF10">[4]Foglio1!#REF!</definedName>
    <definedName name="____________________________KRF6">[4]Foglio1!#REF!</definedName>
    <definedName name="____________________________KRF7">[4]Foglio1!#REF!</definedName>
    <definedName name="____________________________KRF8">[4]Foglio1!#REF!</definedName>
    <definedName name="____________________________KRF9">[4]Foglio1!#REF!</definedName>
    <definedName name="____________________________KUR2">#REF!</definedName>
    <definedName name="____________________________ME1">#REF!</definedName>
    <definedName name="____________________________ME2">#REF!</definedName>
    <definedName name="____________________________ME3">#REF!</definedName>
    <definedName name="____________________________ME4">#REF!</definedName>
    <definedName name="____________________________ME5">#REF!</definedName>
    <definedName name="____________________________ME6">#REF!</definedName>
    <definedName name="____________________________ME7">#REF!</definedName>
    <definedName name="____________________________ME8">#REF!</definedName>
    <definedName name="____________________________ooh2" localSheetId="0" hidden="1">{#N/A,#N/A,FALSE,"Sheet1 (2)"}</definedName>
    <definedName name="____________________________ooh2" hidden="1">{#N/A,#N/A,FALSE,"Sheet1 (2)"}</definedName>
    <definedName name="____________________________ooh2_1" localSheetId="0" hidden="1">{#N/A,#N/A,FALSE,"Sheet1 (2)"}</definedName>
    <definedName name="____________________________ooh2_1" hidden="1">{#N/A,#N/A,FALSE,"Sheet1 (2)"}</definedName>
    <definedName name="____________________________ooh2_1_1" localSheetId="0" hidden="1">{#N/A,#N/A,FALSE,"Sheet1 (2)"}</definedName>
    <definedName name="____________________________ooh2_1_1" hidden="1">{#N/A,#N/A,FALSE,"Sheet1 (2)"}</definedName>
    <definedName name="____________________________ooh2_1_2" localSheetId="0" hidden="1">{#N/A,#N/A,FALSE,"Sheet1 (2)"}</definedName>
    <definedName name="____________________________ooh2_1_2" hidden="1">{#N/A,#N/A,FALSE,"Sheet1 (2)"}</definedName>
    <definedName name="____________________________ooh2_1_3" localSheetId="0" hidden="1">{#N/A,#N/A,FALSE,"Sheet1 (2)"}</definedName>
    <definedName name="____________________________ooh2_1_3" hidden="1">{#N/A,#N/A,FALSE,"Sheet1 (2)"}</definedName>
    <definedName name="____________________________ooh2_2" localSheetId="0" hidden="1">{#N/A,#N/A,FALSE,"Sheet1 (2)"}</definedName>
    <definedName name="____________________________ooh2_2" hidden="1">{#N/A,#N/A,FALSE,"Sheet1 (2)"}</definedName>
    <definedName name="____________________________ooh2_2_1" localSheetId="0" hidden="1">{#N/A,#N/A,FALSE,"Sheet1 (2)"}</definedName>
    <definedName name="____________________________ooh2_2_1" hidden="1">{#N/A,#N/A,FALSE,"Sheet1 (2)"}</definedName>
    <definedName name="____________________________ooh2_2_2" localSheetId="0" hidden="1">{#N/A,#N/A,FALSE,"Sheet1 (2)"}</definedName>
    <definedName name="____________________________ooh2_2_2" hidden="1">{#N/A,#N/A,FALSE,"Sheet1 (2)"}</definedName>
    <definedName name="____________________________ooh2_3" localSheetId="0" hidden="1">{#N/A,#N/A,FALSE,"Sheet1 (2)"}</definedName>
    <definedName name="____________________________ooh2_3" hidden="1">{#N/A,#N/A,FALSE,"Sheet1 (2)"}</definedName>
    <definedName name="____________________________ooh2_4" localSheetId="0" hidden="1">{#N/A,#N/A,FALSE,"Sheet1 (2)"}</definedName>
    <definedName name="____________________________ooh2_4" hidden="1">{#N/A,#N/A,FALSE,"Sheet1 (2)"}</definedName>
    <definedName name="____________________________per3">#REF!</definedName>
    <definedName name="____________________________piv3">#REF!</definedName>
    <definedName name="____________________________TOP2000">#REF!</definedName>
    <definedName name="____________________________TOP97">#REF!</definedName>
    <definedName name="____________________________TOP98">#REF!</definedName>
    <definedName name="____________________________TOP99">#REF!</definedName>
    <definedName name="____________________________TOZ2">#REF!</definedName>
    <definedName name="____________________________TRT1">#REF!</definedName>
    <definedName name="____________________________TV8">#REF!</definedName>
    <definedName name="___________________________abc1" localSheetId="0">'Haziran Gerçekleşen Plan'!___________________________abc1</definedName>
    <definedName name="___________________________abc1">[0]!___________________________abc1</definedName>
    <definedName name="___________________________all1">#REF!</definedName>
    <definedName name="___________________________der1">#REF!</definedName>
    <definedName name="___________________________der2">#REF!</definedName>
    <definedName name="___________________________IV90000">[6]TUBORG!#REF!</definedName>
    <definedName name="___________________________ka7">#REF!</definedName>
    <definedName name="___________________________KAN7">[5]Kategoriler!$A$227:$B$260</definedName>
    <definedName name="___________________________KR11">[4]Foglio1!#REF!</definedName>
    <definedName name="___________________________KR12">[4]Foglio1!#REF!</definedName>
    <definedName name="___________________________KR13">[4]Foglio1!#REF!</definedName>
    <definedName name="___________________________KR14">[4]Foglio1!#REF!</definedName>
    <definedName name="___________________________KR15">[4]Foglio1!#REF!</definedName>
    <definedName name="___________________________KR16">[4]Foglio1!#REF!</definedName>
    <definedName name="___________________________KR17">[4]Foglio1!#REF!</definedName>
    <definedName name="___________________________KR18">[4]Foglio1!#REF!</definedName>
    <definedName name="___________________________KR19">[4]Foglio1!#REF!</definedName>
    <definedName name="___________________________KRF10">[4]Foglio1!#REF!</definedName>
    <definedName name="___________________________KRF6">[4]Foglio1!#REF!</definedName>
    <definedName name="___________________________KRF7">[4]Foglio1!#REF!</definedName>
    <definedName name="___________________________KRF8">[4]Foglio1!#REF!</definedName>
    <definedName name="___________________________KRF9">[4]Foglio1!#REF!</definedName>
    <definedName name="___________________________KUR2">#REF!</definedName>
    <definedName name="___________________________ME1">#REF!</definedName>
    <definedName name="___________________________ME2">#REF!</definedName>
    <definedName name="___________________________ME3">#REF!</definedName>
    <definedName name="___________________________ME4">#REF!</definedName>
    <definedName name="___________________________ME5">#REF!</definedName>
    <definedName name="___________________________ME6">#REF!</definedName>
    <definedName name="___________________________ME7">#REF!</definedName>
    <definedName name="___________________________ME8">#REF!</definedName>
    <definedName name="___________________________ooh2" localSheetId="0" hidden="1">{#N/A,#N/A,FALSE,"Sheet1 (2)"}</definedName>
    <definedName name="___________________________ooh2" hidden="1">{#N/A,#N/A,FALSE,"Sheet1 (2)"}</definedName>
    <definedName name="___________________________ooh2_1" localSheetId="0" hidden="1">{#N/A,#N/A,FALSE,"Sheet1 (2)"}</definedName>
    <definedName name="___________________________ooh2_1" hidden="1">{#N/A,#N/A,FALSE,"Sheet1 (2)"}</definedName>
    <definedName name="___________________________ooh2_1_1" localSheetId="0" hidden="1">{#N/A,#N/A,FALSE,"Sheet1 (2)"}</definedName>
    <definedName name="___________________________ooh2_1_1" hidden="1">{#N/A,#N/A,FALSE,"Sheet1 (2)"}</definedName>
    <definedName name="___________________________ooh2_1_2" localSheetId="0" hidden="1">{#N/A,#N/A,FALSE,"Sheet1 (2)"}</definedName>
    <definedName name="___________________________ooh2_1_2" hidden="1">{#N/A,#N/A,FALSE,"Sheet1 (2)"}</definedName>
    <definedName name="___________________________ooh2_1_3" localSheetId="0" hidden="1">{#N/A,#N/A,FALSE,"Sheet1 (2)"}</definedName>
    <definedName name="___________________________ooh2_1_3" hidden="1">{#N/A,#N/A,FALSE,"Sheet1 (2)"}</definedName>
    <definedName name="___________________________ooh2_2" localSheetId="0" hidden="1">{#N/A,#N/A,FALSE,"Sheet1 (2)"}</definedName>
    <definedName name="___________________________ooh2_2" hidden="1">{#N/A,#N/A,FALSE,"Sheet1 (2)"}</definedName>
    <definedName name="___________________________ooh2_2_1" localSheetId="0" hidden="1">{#N/A,#N/A,FALSE,"Sheet1 (2)"}</definedName>
    <definedName name="___________________________ooh2_2_1" hidden="1">{#N/A,#N/A,FALSE,"Sheet1 (2)"}</definedName>
    <definedName name="___________________________ooh2_2_2" localSheetId="0" hidden="1">{#N/A,#N/A,FALSE,"Sheet1 (2)"}</definedName>
    <definedName name="___________________________ooh2_2_2" hidden="1">{#N/A,#N/A,FALSE,"Sheet1 (2)"}</definedName>
    <definedName name="___________________________ooh2_3" localSheetId="0" hidden="1">{#N/A,#N/A,FALSE,"Sheet1 (2)"}</definedName>
    <definedName name="___________________________ooh2_3" hidden="1">{#N/A,#N/A,FALSE,"Sheet1 (2)"}</definedName>
    <definedName name="___________________________ooh2_4" localSheetId="0" hidden="1">{#N/A,#N/A,FALSE,"Sheet1 (2)"}</definedName>
    <definedName name="___________________________ooh2_4" hidden="1">{#N/A,#N/A,FALSE,"Sheet1 (2)"}</definedName>
    <definedName name="___________________________per3">#REF!</definedName>
    <definedName name="___________________________piv3">#REF!</definedName>
    <definedName name="___________________________TOP2000">#REF!</definedName>
    <definedName name="___________________________TOP97">#REF!</definedName>
    <definedName name="___________________________TOP98">#REF!</definedName>
    <definedName name="___________________________TOP99">#REF!</definedName>
    <definedName name="___________________________TOZ2">#REF!</definedName>
    <definedName name="___________________________TRT1">#REF!</definedName>
    <definedName name="___________________________TV8">#REF!</definedName>
    <definedName name="__________________________all1">#REF!</definedName>
    <definedName name="__________________________der1">#REF!</definedName>
    <definedName name="__________________________der2">#REF!</definedName>
    <definedName name="__________________________IV90000">[6]TUBORG!#REF!</definedName>
    <definedName name="__________________________ka7">#REF!</definedName>
    <definedName name="__________________________KAN7">[1]Kategoriler!$A$227:$B$260</definedName>
    <definedName name="__________________________KR11">[4]Foglio1!#REF!</definedName>
    <definedName name="__________________________KR12">[4]Foglio1!#REF!</definedName>
    <definedName name="__________________________KR13">[4]Foglio1!#REF!</definedName>
    <definedName name="__________________________KR14">[4]Foglio1!#REF!</definedName>
    <definedName name="__________________________KR15">[4]Foglio1!#REF!</definedName>
    <definedName name="__________________________KR16">[4]Foglio1!#REF!</definedName>
    <definedName name="__________________________KR17">[4]Foglio1!#REF!</definedName>
    <definedName name="__________________________KR18">[4]Foglio1!#REF!</definedName>
    <definedName name="__________________________KR19">[4]Foglio1!#REF!</definedName>
    <definedName name="__________________________KRF10">[4]Foglio1!#REF!</definedName>
    <definedName name="__________________________KRF6">[4]Foglio1!#REF!</definedName>
    <definedName name="__________________________KRF7">[4]Foglio1!#REF!</definedName>
    <definedName name="__________________________KRF8">[4]Foglio1!#REF!</definedName>
    <definedName name="__________________________KRF9">[4]Foglio1!#REF!</definedName>
    <definedName name="__________________________KUR2">#REF!</definedName>
    <definedName name="__________________________ME1">#REF!</definedName>
    <definedName name="__________________________ME2">#REF!</definedName>
    <definedName name="__________________________ME3">#REF!</definedName>
    <definedName name="__________________________ME4">#REF!</definedName>
    <definedName name="__________________________ME5">#REF!</definedName>
    <definedName name="__________________________ME6">#REF!</definedName>
    <definedName name="__________________________ME7">#REF!</definedName>
    <definedName name="__________________________ME8">#REF!</definedName>
    <definedName name="__________________________ooh2" localSheetId="0" hidden="1">{#N/A,#N/A,FALSE,"Sheet1 (2)"}</definedName>
    <definedName name="__________________________ooh2" hidden="1">{#N/A,#N/A,FALSE,"Sheet1 (2)"}</definedName>
    <definedName name="__________________________ooh2_1" localSheetId="0" hidden="1">{#N/A,#N/A,FALSE,"Sheet1 (2)"}</definedName>
    <definedName name="__________________________ooh2_1" hidden="1">{#N/A,#N/A,FALSE,"Sheet1 (2)"}</definedName>
    <definedName name="__________________________ooh2_1_1" localSheetId="0" hidden="1">{#N/A,#N/A,FALSE,"Sheet1 (2)"}</definedName>
    <definedName name="__________________________ooh2_1_1" hidden="1">{#N/A,#N/A,FALSE,"Sheet1 (2)"}</definedName>
    <definedName name="__________________________ooh2_1_2" localSheetId="0" hidden="1">{#N/A,#N/A,FALSE,"Sheet1 (2)"}</definedName>
    <definedName name="__________________________ooh2_1_2" hidden="1">{#N/A,#N/A,FALSE,"Sheet1 (2)"}</definedName>
    <definedName name="__________________________ooh2_1_3" localSheetId="0" hidden="1">{#N/A,#N/A,FALSE,"Sheet1 (2)"}</definedName>
    <definedName name="__________________________ooh2_1_3" hidden="1">{#N/A,#N/A,FALSE,"Sheet1 (2)"}</definedName>
    <definedName name="__________________________ooh2_2" localSheetId="0" hidden="1">{#N/A,#N/A,FALSE,"Sheet1 (2)"}</definedName>
    <definedName name="__________________________ooh2_2" hidden="1">{#N/A,#N/A,FALSE,"Sheet1 (2)"}</definedName>
    <definedName name="__________________________ooh2_2_1" localSheetId="0" hidden="1">{#N/A,#N/A,FALSE,"Sheet1 (2)"}</definedName>
    <definedName name="__________________________ooh2_2_1" hidden="1">{#N/A,#N/A,FALSE,"Sheet1 (2)"}</definedName>
    <definedName name="__________________________ooh2_2_2" localSheetId="0" hidden="1">{#N/A,#N/A,FALSE,"Sheet1 (2)"}</definedName>
    <definedName name="__________________________ooh2_2_2" hidden="1">{#N/A,#N/A,FALSE,"Sheet1 (2)"}</definedName>
    <definedName name="__________________________ooh2_3" localSheetId="0" hidden="1">{#N/A,#N/A,FALSE,"Sheet1 (2)"}</definedName>
    <definedName name="__________________________ooh2_3" hidden="1">{#N/A,#N/A,FALSE,"Sheet1 (2)"}</definedName>
    <definedName name="__________________________ooh2_4" localSheetId="0" hidden="1">{#N/A,#N/A,FALSE,"Sheet1 (2)"}</definedName>
    <definedName name="__________________________ooh2_4" hidden="1">{#N/A,#N/A,FALSE,"Sheet1 (2)"}</definedName>
    <definedName name="__________________________per3">#REF!</definedName>
    <definedName name="__________________________piv3">#REF!</definedName>
    <definedName name="__________________________TOP2000">#REF!</definedName>
    <definedName name="__________________________TOP97">#REF!</definedName>
    <definedName name="__________________________TOP98">#REF!</definedName>
    <definedName name="__________________________TOP99">#REF!</definedName>
    <definedName name="__________________________TOZ2">#REF!</definedName>
    <definedName name="__________________________TRT1">#REF!</definedName>
    <definedName name="__________________________TV8">#REF!</definedName>
    <definedName name="_________________________abc1" localSheetId="0">'Haziran Gerçekleşen Plan'!_________________________abc1</definedName>
    <definedName name="_________________________abc1">[0]!_________________________abc1</definedName>
    <definedName name="_________________________all1">#REF!</definedName>
    <definedName name="_________________________der1">#REF!</definedName>
    <definedName name="_________________________der2">#REF!</definedName>
    <definedName name="_________________________IV90000">[6]TUBORG!#REF!</definedName>
    <definedName name="_________________________ka7">#REF!</definedName>
    <definedName name="_________________________KAN7">[5]Kategoriler!$A$227:$B$260</definedName>
    <definedName name="_________________________KR11">[4]Foglio1!#REF!</definedName>
    <definedName name="_________________________KR12">[4]Foglio1!#REF!</definedName>
    <definedName name="_________________________KR13">[4]Foglio1!#REF!</definedName>
    <definedName name="_________________________KR14">[4]Foglio1!#REF!</definedName>
    <definedName name="_________________________KR15">[4]Foglio1!#REF!</definedName>
    <definedName name="_________________________KR16">[4]Foglio1!#REF!</definedName>
    <definedName name="_________________________KR17">[4]Foglio1!#REF!</definedName>
    <definedName name="_________________________KR18">[4]Foglio1!#REF!</definedName>
    <definedName name="_________________________KR19">[4]Foglio1!#REF!</definedName>
    <definedName name="_________________________KRF10">[4]Foglio1!#REF!</definedName>
    <definedName name="_________________________KRF6">[4]Foglio1!#REF!</definedName>
    <definedName name="_________________________KRF7">[4]Foglio1!#REF!</definedName>
    <definedName name="_________________________KRF8">[4]Foglio1!#REF!</definedName>
    <definedName name="_________________________KRF9">[4]Foglio1!#REF!</definedName>
    <definedName name="_________________________KUR2">#REF!</definedName>
    <definedName name="_________________________ME1">#REF!</definedName>
    <definedName name="_________________________ME2">#REF!</definedName>
    <definedName name="_________________________ME3">#REF!</definedName>
    <definedName name="_________________________ME4">#REF!</definedName>
    <definedName name="_________________________ME5">#REF!</definedName>
    <definedName name="_________________________ME6">#REF!</definedName>
    <definedName name="_________________________ME7">#REF!</definedName>
    <definedName name="_________________________ME8">#REF!</definedName>
    <definedName name="_________________________ooh2" localSheetId="0" hidden="1">{#N/A,#N/A,FALSE,"Sheet1 (2)"}</definedName>
    <definedName name="_________________________ooh2" hidden="1">{#N/A,#N/A,FALSE,"Sheet1 (2)"}</definedName>
    <definedName name="_________________________ooh2_1" localSheetId="0" hidden="1">{#N/A,#N/A,FALSE,"Sheet1 (2)"}</definedName>
    <definedName name="_________________________ooh2_1" hidden="1">{#N/A,#N/A,FALSE,"Sheet1 (2)"}</definedName>
    <definedName name="_________________________ooh2_1_1" localSheetId="0" hidden="1">{#N/A,#N/A,FALSE,"Sheet1 (2)"}</definedName>
    <definedName name="_________________________ooh2_1_1" hidden="1">{#N/A,#N/A,FALSE,"Sheet1 (2)"}</definedName>
    <definedName name="_________________________ooh2_1_2" localSheetId="0" hidden="1">{#N/A,#N/A,FALSE,"Sheet1 (2)"}</definedName>
    <definedName name="_________________________ooh2_1_2" hidden="1">{#N/A,#N/A,FALSE,"Sheet1 (2)"}</definedName>
    <definedName name="_________________________ooh2_1_3" localSheetId="0" hidden="1">{#N/A,#N/A,FALSE,"Sheet1 (2)"}</definedName>
    <definedName name="_________________________ooh2_1_3" hidden="1">{#N/A,#N/A,FALSE,"Sheet1 (2)"}</definedName>
    <definedName name="_________________________ooh2_2" localSheetId="0" hidden="1">{#N/A,#N/A,FALSE,"Sheet1 (2)"}</definedName>
    <definedName name="_________________________ooh2_2" hidden="1">{#N/A,#N/A,FALSE,"Sheet1 (2)"}</definedName>
    <definedName name="_________________________ooh2_2_1" localSheetId="0" hidden="1">{#N/A,#N/A,FALSE,"Sheet1 (2)"}</definedName>
    <definedName name="_________________________ooh2_2_1" hidden="1">{#N/A,#N/A,FALSE,"Sheet1 (2)"}</definedName>
    <definedName name="_________________________ooh2_2_2" localSheetId="0" hidden="1">{#N/A,#N/A,FALSE,"Sheet1 (2)"}</definedName>
    <definedName name="_________________________ooh2_2_2" hidden="1">{#N/A,#N/A,FALSE,"Sheet1 (2)"}</definedName>
    <definedName name="_________________________ooh2_3" localSheetId="0" hidden="1">{#N/A,#N/A,FALSE,"Sheet1 (2)"}</definedName>
    <definedName name="_________________________ooh2_3" hidden="1">{#N/A,#N/A,FALSE,"Sheet1 (2)"}</definedName>
    <definedName name="_________________________ooh2_4" localSheetId="0" hidden="1">{#N/A,#N/A,FALSE,"Sheet1 (2)"}</definedName>
    <definedName name="_________________________ooh2_4" hidden="1">{#N/A,#N/A,FALSE,"Sheet1 (2)"}</definedName>
    <definedName name="_________________________per3">#REF!</definedName>
    <definedName name="_________________________piv3">#REF!</definedName>
    <definedName name="_________________________TOP2000">#REF!</definedName>
    <definedName name="_________________________TOP97">#REF!</definedName>
    <definedName name="_________________________TOP98">#REF!</definedName>
    <definedName name="_________________________TOP99">#REF!</definedName>
    <definedName name="_________________________TOZ2">#REF!</definedName>
    <definedName name="_________________________TRT1">#REF!</definedName>
    <definedName name="_________________________TV8">#REF!</definedName>
    <definedName name="________________________abc1" localSheetId="0">'Haziran Gerçekleşen Plan'!________________________abc1</definedName>
    <definedName name="________________________abc1">[0]!________________________abc1</definedName>
    <definedName name="________________________all1">#REF!</definedName>
    <definedName name="________________________der1">#REF!</definedName>
    <definedName name="________________________der2">#REF!</definedName>
    <definedName name="________________________IV90000">[2]TUBORG!#REF!</definedName>
    <definedName name="________________________ka7">#REF!</definedName>
    <definedName name="________________________KAN7">[5]Kategoriler!$A$227:$B$260</definedName>
    <definedName name="________________________KR11">[4]Foglio1!#REF!</definedName>
    <definedName name="________________________KR12">[4]Foglio1!#REF!</definedName>
    <definedName name="________________________KR13">[4]Foglio1!#REF!</definedName>
    <definedName name="________________________KR14">[4]Foglio1!#REF!</definedName>
    <definedName name="________________________KR15">[4]Foglio1!#REF!</definedName>
    <definedName name="________________________KR16">[4]Foglio1!#REF!</definedName>
    <definedName name="________________________KR17">[4]Foglio1!#REF!</definedName>
    <definedName name="________________________KR18">[4]Foglio1!#REF!</definedName>
    <definedName name="________________________KR19">[4]Foglio1!#REF!</definedName>
    <definedName name="________________________KRF10">[4]Foglio1!#REF!</definedName>
    <definedName name="________________________KRF6">[4]Foglio1!#REF!</definedName>
    <definedName name="________________________KRF7">[4]Foglio1!#REF!</definedName>
    <definedName name="________________________KRF8">[4]Foglio1!#REF!</definedName>
    <definedName name="________________________KRF9">[4]Foglio1!#REF!</definedName>
    <definedName name="________________________KUR2">#REF!</definedName>
    <definedName name="________________________ME1">#REF!</definedName>
    <definedName name="________________________ME2">#REF!</definedName>
    <definedName name="________________________ME3">#REF!</definedName>
    <definedName name="________________________ME4">#REF!</definedName>
    <definedName name="________________________ME5">#REF!</definedName>
    <definedName name="________________________ME6">#REF!</definedName>
    <definedName name="________________________ME7">#REF!</definedName>
    <definedName name="________________________ME8">#REF!</definedName>
    <definedName name="________________________ooh2" localSheetId="0" hidden="1">{#N/A,#N/A,FALSE,"Sheet1 (2)"}</definedName>
    <definedName name="________________________ooh2" hidden="1">{#N/A,#N/A,FALSE,"Sheet1 (2)"}</definedName>
    <definedName name="________________________ooh2_1" localSheetId="0" hidden="1">{#N/A,#N/A,FALSE,"Sheet1 (2)"}</definedName>
    <definedName name="________________________ooh2_1" hidden="1">{#N/A,#N/A,FALSE,"Sheet1 (2)"}</definedName>
    <definedName name="________________________ooh2_1_1" localSheetId="0" hidden="1">{#N/A,#N/A,FALSE,"Sheet1 (2)"}</definedName>
    <definedName name="________________________ooh2_1_1" hidden="1">{#N/A,#N/A,FALSE,"Sheet1 (2)"}</definedName>
    <definedName name="________________________ooh2_1_2" localSheetId="0" hidden="1">{#N/A,#N/A,FALSE,"Sheet1 (2)"}</definedName>
    <definedName name="________________________ooh2_1_2" hidden="1">{#N/A,#N/A,FALSE,"Sheet1 (2)"}</definedName>
    <definedName name="________________________ooh2_1_3" localSheetId="0" hidden="1">{#N/A,#N/A,FALSE,"Sheet1 (2)"}</definedName>
    <definedName name="________________________ooh2_1_3" hidden="1">{#N/A,#N/A,FALSE,"Sheet1 (2)"}</definedName>
    <definedName name="________________________ooh2_2" localSheetId="0" hidden="1">{#N/A,#N/A,FALSE,"Sheet1 (2)"}</definedName>
    <definedName name="________________________ooh2_2" hidden="1">{#N/A,#N/A,FALSE,"Sheet1 (2)"}</definedName>
    <definedName name="________________________ooh2_2_1" localSheetId="0" hidden="1">{#N/A,#N/A,FALSE,"Sheet1 (2)"}</definedName>
    <definedName name="________________________ooh2_2_1" hidden="1">{#N/A,#N/A,FALSE,"Sheet1 (2)"}</definedName>
    <definedName name="________________________ooh2_2_2" localSheetId="0" hidden="1">{#N/A,#N/A,FALSE,"Sheet1 (2)"}</definedName>
    <definedName name="________________________ooh2_2_2" hidden="1">{#N/A,#N/A,FALSE,"Sheet1 (2)"}</definedName>
    <definedName name="________________________ooh2_3" localSheetId="0" hidden="1">{#N/A,#N/A,FALSE,"Sheet1 (2)"}</definedName>
    <definedName name="________________________ooh2_3" hidden="1">{#N/A,#N/A,FALSE,"Sheet1 (2)"}</definedName>
    <definedName name="________________________ooh2_4" localSheetId="0" hidden="1">{#N/A,#N/A,FALSE,"Sheet1 (2)"}</definedName>
    <definedName name="________________________ooh2_4" hidden="1">{#N/A,#N/A,FALSE,"Sheet1 (2)"}</definedName>
    <definedName name="________________________per3">#REF!</definedName>
    <definedName name="________________________piv3">#REF!</definedName>
    <definedName name="________________________sum1">#REF!</definedName>
    <definedName name="________________________sum2">#REF!</definedName>
    <definedName name="________________________TOP2000">#REF!</definedName>
    <definedName name="________________________TOP97">#REF!</definedName>
    <definedName name="________________________TOP98">#REF!</definedName>
    <definedName name="________________________TOP99">#REF!</definedName>
    <definedName name="________________________TOZ2">#REF!</definedName>
    <definedName name="________________________TRT1">#REF!</definedName>
    <definedName name="________________________TV8">#REF!</definedName>
    <definedName name="_______________________abc1" localSheetId="0">'Haziran Gerçekleşen Plan'!_______________________abc1</definedName>
    <definedName name="_______________________abc1">[0]!_______________________abc1</definedName>
    <definedName name="_______________________all1">#REF!</definedName>
    <definedName name="_______________________der1">#REF!</definedName>
    <definedName name="_______________________der2">#REF!</definedName>
    <definedName name="_______________________IV90000">[6]TUBORG!#REF!</definedName>
    <definedName name="_______________________ka7">#REF!</definedName>
    <definedName name="_______________________KAN7">[1]Kategoriler!$A$227:$B$260</definedName>
    <definedName name="_______________________KR11">[4]Foglio1!#REF!</definedName>
    <definedName name="_______________________KR12">[4]Foglio1!#REF!</definedName>
    <definedName name="_______________________KR13">[4]Foglio1!#REF!</definedName>
    <definedName name="_______________________KR14">[4]Foglio1!#REF!</definedName>
    <definedName name="_______________________KR15">[4]Foglio1!#REF!</definedName>
    <definedName name="_______________________KR16">[4]Foglio1!#REF!</definedName>
    <definedName name="_______________________KR17">[4]Foglio1!#REF!</definedName>
    <definedName name="_______________________KR18">[4]Foglio1!#REF!</definedName>
    <definedName name="_______________________KR19">[4]Foglio1!#REF!</definedName>
    <definedName name="_______________________KRF10">[4]Foglio1!#REF!</definedName>
    <definedName name="_______________________KRF6">[4]Foglio1!#REF!</definedName>
    <definedName name="_______________________KRF7">[4]Foglio1!#REF!</definedName>
    <definedName name="_______________________KRF8">[4]Foglio1!#REF!</definedName>
    <definedName name="_______________________KRF9">[4]Foglio1!#REF!</definedName>
    <definedName name="_______________________KUR2">#REF!</definedName>
    <definedName name="_______________________ME1">#REF!</definedName>
    <definedName name="_______________________ME2">#REF!</definedName>
    <definedName name="_______________________ME3">#REF!</definedName>
    <definedName name="_______________________ME4">#REF!</definedName>
    <definedName name="_______________________ME5">#REF!</definedName>
    <definedName name="_______________________ME6">#REF!</definedName>
    <definedName name="_______________________ME7">#REF!</definedName>
    <definedName name="_______________________ME8">#REF!</definedName>
    <definedName name="_______________________ooh2" localSheetId="0" hidden="1">{#N/A,#N/A,FALSE,"Sheet1 (2)"}</definedName>
    <definedName name="_______________________ooh2" hidden="1">{#N/A,#N/A,FALSE,"Sheet1 (2)"}</definedName>
    <definedName name="_______________________ooh2_1" localSheetId="0" hidden="1">{#N/A,#N/A,FALSE,"Sheet1 (2)"}</definedName>
    <definedName name="_______________________ooh2_1" hidden="1">{#N/A,#N/A,FALSE,"Sheet1 (2)"}</definedName>
    <definedName name="_______________________ooh2_1_1" localSheetId="0" hidden="1">{#N/A,#N/A,FALSE,"Sheet1 (2)"}</definedName>
    <definedName name="_______________________ooh2_1_1" hidden="1">{#N/A,#N/A,FALSE,"Sheet1 (2)"}</definedName>
    <definedName name="_______________________ooh2_1_2" localSheetId="0" hidden="1">{#N/A,#N/A,FALSE,"Sheet1 (2)"}</definedName>
    <definedName name="_______________________ooh2_1_2" hidden="1">{#N/A,#N/A,FALSE,"Sheet1 (2)"}</definedName>
    <definedName name="_______________________ooh2_1_3" localSheetId="0" hidden="1">{#N/A,#N/A,FALSE,"Sheet1 (2)"}</definedName>
    <definedName name="_______________________ooh2_1_3" hidden="1">{#N/A,#N/A,FALSE,"Sheet1 (2)"}</definedName>
    <definedName name="_______________________ooh2_2" localSheetId="0" hidden="1">{#N/A,#N/A,FALSE,"Sheet1 (2)"}</definedName>
    <definedName name="_______________________ooh2_2" hidden="1">{#N/A,#N/A,FALSE,"Sheet1 (2)"}</definedName>
    <definedName name="_______________________ooh2_2_1" localSheetId="0" hidden="1">{#N/A,#N/A,FALSE,"Sheet1 (2)"}</definedName>
    <definedName name="_______________________ooh2_2_1" hidden="1">{#N/A,#N/A,FALSE,"Sheet1 (2)"}</definedName>
    <definedName name="_______________________ooh2_2_2" localSheetId="0" hidden="1">{#N/A,#N/A,FALSE,"Sheet1 (2)"}</definedName>
    <definedName name="_______________________ooh2_2_2" hidden="1">{#N/A,#N/A,FALSE,"Sheet1 (2)"}</definedName>
    <definedName name="_______________________ooh2_3" localSheetId="0" hidden="1">{#N/A,#N/A,FALSE,"Sheet1 (2)"}</definedName>
    <definedName name="_______________________ooh2_3" hidden="1">{#N/A,#N/A,FALSE,"Sheet1 (2)"}</definedName>
    <definedName name="_______________________ooh2_4" localSheetId="0" hidden="1">{#N/A,#N/A,FALSE,"Sheet1 (2)"}</definedName>
    <definedName name="_______________________ooh2_4" hidden="1">{#N/A,#N/A,FALSE,"Sheet1 (2)"}</definedName>
    <definedName name="_______________________per3">#REF!</definedName>
    <definedName name="_______________________piv3">#REF!</definedName>
    <definedName name="_______________________sum1">#REF!</definedName>
    <definedName name="_______________________sum2">#REF!</definedName>
    <definedName name="_______________________TOP2000">#REF!</definedName>
    <definedName name="_______________________TOP97">#REF!</definedName>
    <definedName name="_______________________TOP98">#REF!</definedName>
    <definedName name="_______________________TOP99">#REF!</definedName>
    <definedName name="_______________________TOZ2">#REF!</definedName>
    <definedName name="_______________________TRT1">#REF!</definedName>
    <definedName name="_______________________TV8">#REF!</definedName>
    <definedName name="______________________abc1">[7]!______________________abc1</definedName>
    <definedName name="______________________all1">#REF!</definedName>
    <definedName name="______________________der1">#REF!</definedName>
    <definedName name="______________________der2">#REF!</definedName>
    <definedName name="______________________IV90000">[6]TUBORG!#REF!</definedName>
    <definedName name="______________________ka7">#REF!</definedName>
    <definedName name="______________________KAN7">[1]Kategoriler!$A$227:$B$260</definedName>
    <definedName name="______________________KR11">[4]Foglio1!#REF!</definedName>
    <definedName name="______________________KR12">[4]Foglio1!#REF!</definedName>
    <definedName name="______________________KR13">[4]Foglio1!#REF!</definedName>
    <definedName name="______________________KR14">[4]Foglio1!#REF!</definedName>
    <definedName name="______________________KR15">[4]Foglio1!#REF!</definedName>
    <definedName name="______________________KR16">[4]Foglio1!#REF!</definedName>
    <definedName name="______________________KR17">[4]Foglio1!#REF!</definedName>
    <definedName name="______________________KR18">[4]Foglio1!#REF!</definedName>
    <definedName name="______________________KR19">[4]Foglio1!#REF!</definedName>
    <definedName name="______________________KRF10">[4]Foglio1!#REF!</definedName>
    <definedName name="______________________KRF6">[4]Foglio1!#REF!</definedName>
    <definedName name="______________________KRF7">[4]Foglio1!#REF!</definedName>
    <definedName name="______________________KRF8">[4]Foglio1!#REF!</definedName>
    <definedName name="______________________KRF9">[4]Foglio1!#REF!</definedName>
    <definedName name="______________________KUR2">#REF!</definedName>
    <definedName name="______________________ME1">#REF!</definedName>
    <definedName name="______________________ME2">#REF!</definedName>
    <definedName name="______________________ME3">#REF!</definedName>
    <definedName name="______________________ME4">#REF!</definedName>
    <definedName name="______________________ME5">#REF!</definedName>
    <definedName name="______________________ME6">#REF!</definedName>
    <definedName name="______________________ME7">#REF!</definedName>
    <definedName name="______________________ME8">#REF!</definedName>
    <definedName name="______________________ooh2" localSheetId="0" hidden="1">{#N/A,#N/A,FALSE,"Sheet1 (2)"}</definedName>
    <definedName name="______________________ooh2" hidden="1">{#N/A,#N/A,FALSE,"Sheet1 (2)"}</definedName>
    <definedName name="______________________ooh2_1" localSheetId="0" hidden="1">{#N/A,#N/A,FALSE,"Sheet1 (2)"}</definedName>
    <definedName name="______________________ooh2_1" hidden="1">{#N/A,#N/A,FALSE,"Sheet1 (2)"}</definedName>
    <definedName name="______________________ooh2_1_1" localSheetId="0" hidden="1">{#N/A,#N/A,FALSE,"Sheet1 (2)"}</definedName>
    <definedName name="______________________ooh2_1_1" hidden="1">{#N/A,#N/A,FALSE,"Sheet1 (2)"}</definedName>
    <definedName name="______________________ooh2_1_2" localSheetId="0" hidden="1">{#N/A,#N/A,FALSE,"Sheet1 (2)"}</definedName>
    <definedName name="______________________ooh2_1_2" hidden="1">{#N/A,#N/A,FALSE,"Sheet1 (2)"}</definedName>
    <definedName name="______________________ooh2_1_3" localSheetId="0" hidden="1">{#N/A,#N/A,FALSE,"Sheet1 (2)"}</definedName>
    <definedName name="______________________ooh2_1_3" hidden="1">{#N/A,#N/A,FALSE,"Sheet1 (2)"}</definedName>
    <definedName name="______________________ooh2_2" localSheetId="0" hidden="1">{#N/A,#N/A,FALSE,"Sheet1 (2)"}</definedName>
    <definedName name="______________________ooh2_2" hidden="1">{#N/A,#N/A,FALSE,"Sheet1 (2)"}</definedName>
    <definedName name="______________________ooh2_2_1" localSheetId="0" hidden="1">{#N/A,#N/A,FALSE,"Sheet1 (2)"}</definedName>
    <definedName name="______________________ooh2_2_1" hidden="1">{#N/A,#N/A,FALSE,"Sheet1 (2)"}</definedName>
    <definedName name="______________________ooh2_2_2" localSheetId="0" hidden="1">{#N/A,#N/A,FALSE,"Sheet1 (2)"}</definedName>
    <definedName name="______________________ooh2_2_2" hidden="1">{#N/A,#N/A,FALSE,"Sheet1 (2)"}</definedName>
    <definedName name="______________________ooh2_3" localSheetId="0" hidden="1">{#N/A,#N/A,FALSE,"Sheet1 (2)"}</definedName>
    <definedName name="______________________ooh2_3" hidden="1">{#N/A,#N/A,FALSE,"Sheet1 (2)"}</definedName>
    <definedName name="______________________ooh2_4" localSheetId="0" hidden="1">{#N/A,#N/A,FALSE,"Sheet1 (2)"}</definedName>
    <definedName name="______________________ooh2_4" hidden="1">{#N/A,#N/A,FALSE,"Sheet1 (2)"}</definedName>
    <definedName name="______________________per3">#REF!</definedName>
    <definedName name="______________________piv3">#REF!</definedName>
    <definedName name="______________________sum1">#REF!</definedName>
    <definedName name="______________________sum2">#REF!</definedName>
    <definedName name="______________________TOP2000">#REF!</definedName>
    <definedName name="______________________TOP97">#REF!</definedName>
    <definedName name="______________________TOP98">#REF!</definedName>
    <definedName name="______________________TOP99">#REF!</definedName>
    <definedName name="______________________TOZ2">#REF!</definedName>
    <definedName name="______________________TRT1">#REF!</definedName>
    <definedName name="______________________TV8">#REF!</definedName>
    <definedName name="_____________________abc1">[7]!_____________________abc1</definedName>
    <definedName name="_____________________all1">#REF!</definedName>
    <definedName name="_____________________der1">#REF!</definedName>
    <definedName name="_____________________der2">#REF!</definedName>
    <definedName name="_____________________IV90000">[2]TUBORG!#REF!</definedName>
    <definedName name="_____________________ka7">#REF!</definedName>
    <definedName name="_____________________KAN7">#REF!</definedName>
    <definedName name="_____________________KR11">[4]Foglio1!#REF!</definedName>
    <definedName name="_____________________KR12">[4]Foglio1!#REF!</definedName>
    <definedName name="_____________________KR13">[4]Foglio1!#REF!</definedName>
    <definedName name="_____________________KR14">[4]Foglio1!#REF!</definedName>
    <definedName name="_____________________KR15">[4]Foglio1!#REF!</definedName>
    <definedName name="_____________________KR16">[4]Foglio1!#REF!</definedName>
    <definedName name="_____________________KR17">[4]Foglio1!#REF!</definedName>
    <definedName name="_____________________KR18">[4]Foglio1!#REF!</definedName>
    <definedName name="_____________________KR19">[4]Foglio1!#REF!</definedName>
    <definedName name="_____________________KRF10">[4]Foglio1!#REF!</definedName>
    <definedName name="_____________________KRF6">[4]Foglio1!#REF!</definedName>
    <definedName name="_____________________KRF7">[4]Foglio1!#REF!</definedName>
    <definedName name="_____________________KRF8">[4]Foglio1!#REF!</definedName>
    <definedName name="_____________________KRF9">[4]Foglio1!#REF!</definedName>
    <definedName name="_____________________KUR2">#REF!</definedName>
    <definedName name="_____________________ME1">#REF!</definedName>
    <definedName name="_____________________ME2">#REF!</definedName>
    <definedName name="_____________________ME3">#REF!</definedName>
    <definedName name="_____________________ME4">#REF!</definedName>
    <definedName name="_____________________ME5">#REF!</definedName>
    <definedName name="_____________________ME6">#REF!</definedName>
    <definedName name="_____________________ME7">#REF!</definedName>
    <definedName name="_____________________ME8">#REF!</definedName>
    <definedName name="_____________________ooh2" localSheetId="0" hidden="1">{#N/A,#N/A,FALSE,"Sheet1 (2)"}</definedName>
    <definedName name="_____________________ooh2" hidden="1">{#N/A,#N/A,FALSE,"Sheet1 (2)"}</definedName>
    <definedName name="_____________________ooh2_1" localSheetId="0" hidden="1">{#N/A,#N/A,FALSE,"Sheet1 (2)"}</definedName>
    <definedName name="_____________________ooh2_1" hidden="1">{#N/A,#N/A,FALSE,"Sheet1 (2)"}</definedName>
    <definedName name="_____________________ooh2_1_1" localSheetId="0" hidden="1">{#N/A,#N/A,FALSE,"Sheet1 (2)"}</definedName>
    <definedName name="_____________________ooh2_1_1" hidden="1">{#N/A,#N/A,FALSE,"Sheet1 (2)"}</definedName>
    <definedName name="_____________________ooh2_1_2" localSheetId="0" hidden="1">{#N/A,#N/A,FALSE,"Sheet1 (2)"}</definedName>
    <definedName name="_____________________ooh2_1_2" hidden="1">{#N/A,#N/A,FALSE,"Sheet1 (2)"}</definedName>
    <definedName name="_____________________ooh2_1_3" localSheetId="0" hidden="1">{#N/A,#N/A,FALSE,"Sheet1 (2)"}</definedName>
    <definedName name="_____________________ooh2_1_3" hidden="1">{#N/A,#N/A,FALSE,"Sheet1 (2)"}</definedName>
    <definedName name="_____________________ooh2_2" localSheetId="0" hidden="1">{#N/A,#N/A,FALSE,"Sheet1 (2)"}</definedName>
    <definedName name="_____________________ooh2_2" hidden="1">{#N/A,#N/A,FALSE,"Sheet1 (2)"}</definedName>
    <definedName name="_____________________ooh2_2_1" localSheetId="0" hidden="1">{#N/A,#N/A,FALSE,"Sheet1 (2)"}</definedName>
    <definedName name="_____________________ooh2_2_1" hidden="1">{#N/A,#N/A,FALSE,"Sheet1 (2)"}</definedName>
    <definedName name="_____________________ooh2_2_2" localSheetId="0" hidden="1">{#N/A,#N/A,FALSE,"Sheet1 (2)"}</definedName>
    <definedName name="_____________________ooh2_2_2" hidden="1">{#N/A,#N/A,FALSE,"Sheet1 (2)"}</definedName>
    <definedName name="_____________________ooh2_3" localSheetId="0" hidden="1">{#N/A,#N/A,FALSE,"Sheet1 (2)"}</definedName>
    <definedName name="_____________________ooh2_3" hidden="1">{#N/A,#N/A,FALSE,"Sheet1 (2)"}</definedName>
    <definedName name="_____________________ooh2_4" localSheetId="0" hidden="1">{#N/A,#N/A,FALSE,"Sheet1 (2)"}</definedName>
    <definedName name="_____________________ooh2_4" hidden="1">{#N/A,#N/A,FALSE,"Sheet1 (2)"}</definedName>
    <definedName name="_____________________per3">#REF!</definedName>
    <definedName name="_____________________piv3">#REF!</definedName>
    <definedName name="_____________________sum1">#REF!</definedName>
    <definedName name="_____________________sum2">#REF!</definedName>
    <definedName name="_____________________TOP2000">#REF!</definedName>
    <definedName name="_____________________TOP97">#REF!</definedName>
    <definedName name="_____________________TOP98">#REF!</definedName>
    <definedName name="_____________________TOP99">#REF!</definedName>
    <definedName name="_____________________TOZ2">#REF!</definedName>
    <definedName name="_____________________TRT1">#REF!</definedName>
    <definedName name="_____________________TV8">#REF!</definedName>
    <definedName name="_____________________TV9598">[8]Makro1!$A$1</definedName>
    <definedName name="____________________abc1">[7]!____________________abc1</definedName>
    <definedName name="____________________all1">#REF!</definedName>
    <definedName name="____________________der1">#REF!</definedName>
    <definedName name="____________________der2">#REF!</definedName>
    <definedName name="____________________IV90000">[2]TUBORG!#REF!</definedName>
    <definedName name="____________________ka7">#REF!</definedName>
    <definedName name="____________________KAN7">#REF!</definedName>
    <definedName name="____________________KR11">[4]Foglio1!#REF!</definedName>
    <definedName name="____________________KR12">[4]Foglio1!#REF!</definedName>
    <definedName name="____________________KR13">[4]Foglio1!#REF!</definedName>
    <definedName name="____________________KR14">[4]Foglio1!#REF!</definedName>
    <definedName name="____________________KR15">[4]Foglio1!#REF!</definedName>
    <definedName name="____________________KR16">[4]Foglio1!#REF!</definedName>
    <definedName name="____________________KR17">[4]Foglio1!#REF!</definedName>
    <definedName name="____________________KR18">[4]Foglio1!#REF!</definedName>
    <definedName name="____________________KR19">[4]Foglio1!#REF!</definedName>
    <definedName name="____________________KRF10">[4]Foglio1!#REF!</definedName>
    <definedName name="____________________KRF6">[4]Foglio1!#REF!</definedName>
    <definedName name="____________________KRF7">[4]Foglio1!#REF!</definedName>
    <definedName name="____________________KRF8">[4]Foglio1!#REF!</definedName>
    <definedName name="____________________KRF9">[4]Foglio1!#REF!</definedName>
    <definedName name="____________________KUR2">#REF!</definedName>
    <definedName name="____________________ME1">#REF!</definedName>
    <definedName name="____________________ME2">#REF!</definedName>
    <definedName name="____________________ME3">#REF!</definedName>
    <definedName name="____________________ME4">#REF!</definedName>
    <definedName name="____________________ME5">#REF!</definedName>
    <definedName name="____________________ME6">#REF!</definedName>
    <definedName name="____________________ME7">#REF!</definedName>
    <definedName name="____________________ME8">#REF!</definedName>
    <definedName name="____________________ooh2" localSheetId="0" hidden="1">{#N/A,#N/A,FALSE,"Sheet1 (2)"}</definedName>
    <definedName name="____________________ooh2" hidden="1">{#N/A,#N/A,FALSE,"Sheet1 (2)"}</definedName>
    <definedName name="____________________ooh2_1" localSheetId="0" hidden="1">{#N/A,#N/A,FALSE,"Sheet1 (2)"}</definedName>
    <definedName name="____________________ooh2_1" hidden="1">{#N/A,#N/A,FALSE,"Sheet1 (2)"}</definedName>
    <definedName name="____________________ooh2_1_1" localSheetId="0" hidden="1">{#N/A,#N/A,FALSE,"Sheet1 (2)"}</definedName>
    <definedName name="____________________ooh2_1_1" hidden="1">{#N/A,#N/A,FALSE,"Sheet1 (2)"}</definedName>
    <definedName name="____________________ooh2_1_2" localSheetId="0" hidden="1">{#N/A,#N/A,FALSE,"Sheet1 (2)"}</definedName>
    <definedName name="____________________ooh2_1_2" hidden="1">{#N/A,#N/A,FALSE,"Sheet1 (2)"}</definedName>
    <definedName name="____________________ooh2_1_3" localSheetId="0" hidden="1">{#N/A,#N/A,FALSE,"Sheet1 (2)"}</definedName>
    <definedName name="____________________ooh2_1_3" hidden="1">{#N/A,#N/A,FALSE,"Sheet1 (2)"}</definedName>
    <definedName name="____________________ooh2_2" localSheetId="0" hidden="1">{#N/A,#N/A,FALSE,"Sheet1 (2)"}</definedName>
    <definedName name="____________________ooh2_2" hidden="1">{#N/A,#N/A,FALSE,"Sheet1 (2)"}</definedName>
    <definedName name="____________________ooh2_2_1" localSheetId="0" hidden="1">{#N/A,#N/A,FALSE,"Sheet1 (2)"}</definedName>
    <definedName name="____________________ooh2_2_1" hidden="1">{#N/A,#N/A,FALSE,"Sheet1 (2)"}</definedName>
    <definedName name="____________________ooh2_2_2" localSheetId="0" hidden="1">{#N/A,#N/A,FALSE,"Sheet1 (2)"}</definedName>
    <definedName name="____________________ooh2_2_2" hidden="1">{#N/A,#N/A,FALSE,"Sheet1 (2)"}</definedName>
    <definedName name="____________________ooh2_3" localSheetId="0" hidden="1">{#N/A,#N/A,FALSE,"Sheet1 (2)"}</definedName>
    <definedName name="____________________ooh2_3" hidden="1">{#N/A,#N/A,FALSE,"Sheet1 (2)"}</definedName>
    <definedName name="____________________ooh2_4" localSheetId="0" hidden="1">{#N/A,#N/A,FALSE,"Sheet1 (2)"}</definedName>
    <definedName name="____________________ooh2_4" hidden="1">{#N/A,#N/A,FALSE,"Sheet1 (2)"}</definedName>
    <definedName name="____________________per3">#REF!</definedName>
    <definedName name="____________________piv3">#REF!</definedName>
    <definedName name="____________________sum1">#REF!</definedName>
    <definedName name="____________________sum2">#REF!</definedName>
    <definedName name="____________________TOP2000">#REF!</definedName>
    <definedName name="____________________TOP97">#REF!</definedName>
    <definedName name="____________________TOP98">#REF!</definedName>
    <definedName name="____________________TOP99">#REF!</definedName>
    <definedName name="____________________TOZ2">#REF!</definedName>
    <definedName name="____________________TRT1">#REF!</definedName>
    <definedName name="____________________TV8">#REF!</definedName>
    <definedName name="____________________TV9598">[8]Makro1!$A$1</definedName>
    <definedName name="___________________abc1">[7]!___________________abc1</definedName>
    <definedName name="___________________all1">#REF!</definedName>
    <definedName name="___________________der1">#REF!</definedName>
    <definedName name="___________________der2">#REF!</definedName>
    <definedName name="___________________IV90000">[6]TUBORG!#REF!</definedName>
    <definedName name="___________________ka7">#REF!</definedName>
    <definedName name="___________________KAN7">#REF!</definedName>
    <definedName name="___________________KR11">[4]Foglio1!#REF!</definedName>
    <definedName name="___________________KR12">[4]Foglio1!#REF!</definedName>
    <definedName name="___________________KR13">[4]Foglio1!#REF!</definedName>
    <definedName name="___________________KR14">[4]Foglio1!#REF!</definedName>
    <definedName name="___________________KR15">[4]Foglio1!#REF!</definedName>
    <definedName name="___________________KR16">[4]Foglio1!#REF!</definedName>
    <definedName name="___________________KR17">[4]Foglio1!#REF!</definedName>
    <definedName name="___________________KR18">[4]Foglio1!#REF!</definedName>
    <definedName name="___________________KR19">[4]Foglio1!#REF!</definedName>
    <definedName name="___________________KRF10">[4]Foglio1!#REF!</definedName>
    <definedName name="___________________KRF6">[4]Foglio1!#REF!</definedName>
    <definedName name="___________________KRF7">[4]Foglio1!#REF!</definedName>
    <definedName name="___________________KRF8">[4]Foglio1!#REF!</definedName>
    <definedName name="___________________KRF9">[4]Foglio1!#REF!</definedName>
    <definedName name="___________________KUR2">#REF!</definedName>
    <definedName name="___________________ME1">#REF!</definedName>
    <definedName name="___________________ME2">#REF!</definedName>
    <definedName name="___________________ME3">#REF!</definedName>
    <definedName name="___________________ME4">#REF!</definedName>
    <definedName name="___________________ME5">#REF!</definedName>
    <definedName name="___________________ME6">#REF!</definedName>
    <definedName name="___________________ME7">#REF!</definedName>
    <definedName name="___________________ME8">#REF!</definedName>
    <definedName name="___________________ooh2" localSheetId="0" hidden="1">{#N/A,#N/A,FALSE,"Sheet1 (2)"}</definedName>
    <definedName name="___________________ooh2" hidden="1">{#N/A,#N/A,FALSE,"Sheet1 (2)"}</definedName>
    <definedName name="___________________ooh2_1" localSheetId="0" hidden="1">{#N/A,#N/A,FALSE,"Sheet1 (2)"}</definedName>
    <definedName name="___________________ooh2_1" hidden="1">{#N/A,#N/A,FALSE,"Sheet1 (2)"}</definedName>
    <definedName name="___________________ooh2_1_1" localSheetId="0" hidden="1">{#N/A,#N/A,FALSE,"Sheet1 (2)"}</definedName>
    <definedName name="___________________ooh2_1_1" hidden="1">{#N/A,#N/A,FALSE,"Sheet1 (2)"}</definedName>
    <definedName name="___________________ooh2_1_2" localSheetId="0" hidden="1">{#N/A,#N/A,FALSE,"Sheet1 (2)"}</definedName>
    <definedName name="___________________ooh2_1_2" hidden="1">{#N/A,#N/A,FALSE,"Sheet1 (2)"}</definedName>
    <definedName name="___________________ooh2_1_3" localSheetId="0" hidden="1">{#N/A,#N/A,FALSE,"Sheet1 (2)"}</definedName>
    <definedName name="___________________ooh2_1_3" hidden="1">{#N/A,#N/A,FALSE,"Sheet1 (2)"}</definedName>
    <definedName name="___________________ooh2_2" localSheetId="0" hidden="1">{#N/A,#N/A,FALSE,"Sheet1 (2)"}</definedName>
    <definedName name="___________________ooh2_2" hidden="1">{#N/A,#N/A,FALSE,"Sheet1 (2)"}</definedName>
    <definedName name="___________________ooh2_2_1" localSheetId="0" hidden="1">{#N/A,#N/A,FALSE,"Sheet1 (2)"}</definedName>
    <definedName name="___________________ooh2_2_1" hidden="1">{#N/A,#N/A,FALSE,"Sheet1 (2)"}</definedName>
    <definedName name="___________________ooh2_2_2" localSheetId="0" hidden="1">{#N/A,#N/A,FALSE,"Sheet1 (2)"}</definedName>
    <definedName name="___________________ooh2_2_2" hidden="1">{#N/A,#N/A,FALSE,"Sheet1 (2)"}</definedName>
    <definedName name="___________________ooh2_3" localSheetId="0" hidden="1">{#N/A,#N/A,FALSE,"Sheet1 (2)"}</definedName>
    <definedName name="___________________ooh2_3" hidden="1">{#N/A,#N/A,FALSE,"Sheet1 (2)"}</definedName>
    <definedName name="___________________ooh2_4" localSheetId="0" hidden="1">{#N/A,#N/A,FALSE,"Sheet1 (2)"}</definedName>
    <definedName name="___________________ooh2_4" hidden="1">{#N/A,#N/A,FALSE,"Sheet1 (2)"}</definedName>
    <definedName name="___________________per3">#REF!</definedName>
    <definedName name="___________________piv3">#REF!</definedName>
    <definedName name="___________________sum1">#REF!</definedName>
    <definedName name="___________________sum2">#REF!</definedName>
    <definedName name="___________________TOP2000">#REF!</definedName>
    <definedName name="___________________TOP97">#REF!</definedName>
    <definedName name="___________________TOP98">#REF!</definedName>
    <definedName name="___________________TOP99">#REF!</definedName>
    <definedName name="___________________TOZ2">#REF!</definedName>
    <definedName name="___________________TRT1">#REF!</definedName>
    <definedName name="___________________TV8">#REF!</definedName>
    <definedName name="___________________TV9598">[8]Makro1!$A$1</definedName>
    <definedName name="__________________abc1">[7]!__________________abc1</definedName>
    <definedName name="__________________all1">#REF!</definedName>
    <definedName name="__________________der1">#REF!</definedName>
    <definedName name="__________________der2">#REF!</definedName>
    <definedName name="__________________IV90000">[6]TUBORG!#REF!</definedName>
    <definedName name="__________________ka7">#REF!</definedName>
    <definedName name="__________________KAN7">#REF!</definedName>
    <definedName name="__________________KR11">[4]Foglio1!#REF!</definedName>
    <definedName name="__________________KR12">[4]Foglio1!#REF!</definedName>
    <definedName name="__________________KR13">[4]Foglio1!#REF!</definedName>
    <definedName name="__________________KR14">[4]Foglio1!#REF!</definedName>
    <definedName name="__________________KR15">[4]Foglio1!#REF!</definedName>
    <definedName name="__________________KR16">[4]Foglio1!#REF!</definedName>
    <definedName name="__________________KR17">[4]Foglio1!#REF!</definedName>
    <definedName name="__________________KR18">[4]Foglio1!#REF!</definedName>
    <definedName name="__________________KR19">[4]Foglio1!#REF!</definedName>
    <definedName name="__________________KRF10">[4]Foglio1!#REF!</definedName>
    <definedName name="__________________KRF6">[4]Foglio1!#REF!</definedName>
    <definedName name="__________________KRF7">[4]Foglio1!#REF!</definedName>
    <definedName name="__________________KRF8">[4]Foglio1!#REF!</definedName>
    <definedName name="__________________KRF9">[4]Foglio1!#REF!</definedName>
    <definedName name="__________________KUR2">#REF!</definedName>
    <definedName name="__________________ME1">#REF!</definedName>
    <definedName name="__________________ME2">#REF!</definedName>
    <definedName name="__________________ME3">#REF!</definedName>
    <definedName name="__________________ME4">#REF!</definedName>
    <definedName name="__________________ME5">#REF!</definedName>
    <definedName name="__________________ME6">#REF!</definedName>
    <definedName name="__________________ME7">#REF!</definedName>
    <definedName name="__________________ME8">#REF!</definedName>
    <definedName name="__________________ooh2" localSheetId="0" hidden="1">{#N/A,#N/A,FALSE,"Sheet1 (2)"}</definedName>
    <definedName name="__________________ooh2" hidden="1">{#N/A,#N/A,FALSE,"Sheet1 (2)"}</definedName>
    <definedName name="__________________ooh2_1" localSheetId="0" hidden="1">{#N/A,#N/A,FALSE,"Sheet1 (2)"}</definedName>
    <definedName name="__________________ooh2_1" hidden="1">{#N/A,#N/A,FALSE,"Sheet1 (2)"}</definedName>
    <definedName name="__________________ooh2_1_1" localSheetId="0" hidden="1">{#N/A,#N/A,FALSE,"Sheet1 (2)"}</definedName>
    <definedName name="__________________ooh2_1_1" hidden="1">{#N/A,#N/A,FALSE,"Sheet1 (2)"}</definedName>
    <definedName name="__________________ooh2_1_2" localSheetId="0" hidden="1">{#N/A,#N/A,FALSE,"Sheet1 (2)"}</definedName>
    <definedName name="__________________ooh2_1_2" hidden="1">{#N/A,#N/A,FALSE,"Sheet1 (2)"}</definedName>
    <definedName name="__________________ooh2_1_3" localSheetId="0" hidden="1">{#N/A,#N/A,FALSE,"Sheet1 (2)"}</definedName>
    <definedName name="__________________ooh2_1_3" hidden="1">{#N/A,#N/A,FALSE,"Sheet1 (2)"}</definedName>
    <definedName name="__________________ooh2_2" localSheetId="0" hidden="1">{#N/A,#N/A,FALSE,"Sheet1 (2)"}</definedName>
    <definedName name="__________________ooh2_2" hidden="1">{#N/A,#N/A,FALSE,"Sheet1 (2)"}</definedName>
    <definedName name="__________________ooh2_2_1" localSheetId="0" hidden="1">{#N/A,#N/A,FALSE,"Sheet1 (2)"}</definedName>
    <definedName name="__________________ooh2_2_1" hidden="1">{#N/A,#N/A,FALSE,"Sheet1 (2)"}</definedName>
    <definedName name="__________________ooh2_2_2" localSheetId="0" hidden="1">{#N/A,#N/A,FALSE,"Sheet1 (2)"}</definedName>
    <definedName name="__________________ooh2_2_2" hidden="1">{#N/A,#N/A,FALSE,"Sheet1 (2)"}</definedName>
    <definedName name="__________________ooh2_3" localSheetId="0" hidden="1">{#N/A,#N/A,FALSE,"Sheet1 (2)"}</definedName>
    <definedName name="__________________ooh2_3" hidden="1">{#N/A,#N/A,FALSE,"Sheet1 (2)"}</definedName>
    <definedName name="__________________ooh2_4" localSheetId="0" hidden="1">{#N/A,#N/A,FALSE,"Sheet1 (2)"}</definedName>
    <definedName name="__________________ooh2_4" hidden="1">{#N/A,#N/A,FALSE,"Sheet1 (2)"}</definedName>
    <definedName name="__________________per3">#REF!</definedName>
    <definedName name="__________________piv3">#REF!</definedName>
    <definedName name="__________________sum1">#REF!</definedName>
    <definedName name="__________________sum2">#REF!</definedName>
    <definedName name="__________________TOP2000">#REF!</definedName>
    <definedName name="__________________TOP97">#REF!</definedName>
    <definedName name="__________________TOP98">#REF!</definedName>
    <definedName name="__________________TOP99">#REF!</definedName>
    <definedName name="__________________TOZ2">#REF!</definedName>
    <definedName name="__________________TRT1">#REF!</definedName>
    <definedName name="__________________TV8">#REF!</definedName>
    <definedName name="__________________TV9598">[8]Makro1!$A$1</definedName>
    <definedName name="_________________abc1">[7]!_________________abc1</definedName>
    <definedName name="_________________all1">#REF!</definedName>
    <definedName name="_________________der1">#REF!</definedName>
    <definedName name="_________________der2">#REF!</definedName>
    <definedName name="_________________IV90000">[2]TUBORG!#REF!</definedName>
    <definedName name="_________________ka7">#REF!</definedName>
    <definedName name="_________________KAN7">#REF!</definedName>
    <definedName name="_________________KR11">[4]Foglio1!#REF!</definedName>
    <definedName name="_________________KR12">[4]Foglio1!#REF!</definedName>
    <definedName name="_________________KR13">[4]Foglio1!#REF!</definedName>
    <definedName name="_________________KR14">[4]Foglio1!#REF!</definedName>
    <definedName name="_________________KR15">[4]Foglio1!#REF!</definedName>
    <definedName name="_________________KR16">[4]Foglio1!#REF!</definedName>
    <definedName name="_________________KR17">[4]Foglio1!#REF!</definedName>
    <definedName name="_________________KR18">[4]Foglio1!#REF!</definedName>
    <definedName name="_________________KR19">[4]Foglio1!#REF!</definedName>
    <definedName name="_________________KRF10">[4]Foglio1!#REF!</definedName>
    <definedName name="_________________KRF6">[4]Foglio1!#REF!</definedName>
    <definedName name="_________________KRF7">[4]Foglio1!#REF!</definedName>
    <definedName name="_________________KRF8">[4]Foglio1!#REF!</definedName>
    <definedName name="_________________KRF9">[4]Foglio1!#REF!</definedName>
    <definedName name="_________________KUR2">#REF!</definedName>
    <definedName name="_________________ME1">#REF!</definedName>
    <definedName name="_________________ME2">#REF!</definedName>
    <definedName name="_________________ME3">#REF!</definedName>
    <definedName name="_________________ME4">#REF!</definedName>
    <definedName name="_________________ME5">#REF!</definedName>
    <definedName name="_________________ME6">#REF!</definedName>
    <definedName name="_________________ME7">#REF!</definedName>
    <definedName name="_________________ME8">#REF!</definedName>
    <definedName name="_________________ooh2" localSheetId="0" hidden="1">{#N/A,#N/A,FALSE,"Sheet1 (2)"}</definedName>
    <definedName name="_________________ooh2" hidden="1">{#N/A,#N/A,FALSE,"Sheet1 (2)"}</definedName>
    <definedName name="_________________ooh2_1" localSheetId="0" hidden="1">{#N/A,#N/A,FALSE,"Sheet1 (2)"}</definedName>
    <definedName name="_________________ooh2_1" hidden="1">{#N/A,#N/A,FALSE,"Sheet1 (2)"}</definedName>
    <definedName name="_________________ooh2_1_1" localSheetId="0" hidden="1">{#N/A,#N/A,FALSE,"Sheet1 (2)"}</definedName>
    <definedName name="_________________ooh2_1_1" hidden="1">{#N/A,#N/A,FALSE,"Sheet1 (2)"}</definedName>
    <definedName name="_________________ooh2_1_2" localSheetId="0" hidden="1">{#N/A,#N/A,FALSE,"Sheet1 (2)"}</definedName>
    <definedName name="_________________ooh2_1_2" hidden="1">{#N/A,#N/A,FALSE,"Sheet1 (2)"}</definedName>
    <definedName name="_________________ooh2_1_3" localSheetId="0" hidden="1">{#N/A,#N/A,FALSE,"Sheet1 (2)"}</definedName>
    <definedName name="_________________ooh2_1_3" hidden="1">{#N/A,#N/A,FALSE,"Sheet1 (2)"}</definedName>
    <definedName name="_________________ooh2_2" localSheetId="0" hidden="1">{#N/A,#N/A,FALSE,"Sheet1 (2)"}</definedName>
    <definedName name="_________________ooh2_2" hidden="1">{#N/A,#N/A,FALSE,"Sheet1 (2)"}</definedName>
    <definedName name="_________________ooh2_2_1" localSheetId="0" hidden="1">{#N/A,#N/A,FALSE,"Sheet1 (2)"}</definedName>
    <definedName name="_________________ooh2_2_1" hidden="1">{#N/A,#N/A,FALSE,"Sheet1 (2)"}</definedName>
    <definedName name="_________________ooh2_2_2" localSheetId="0" hidden="1">{#N/A,#N/A,FALSE,"Sheet1 (2)"}</definedName>
    <definedName name="_________________ooh2_2_2" hidden="1">{#N/A,#N/A,FALSE,"Sheet1 (2)"}</definedName>
    <definedName name="_________________ooh2_3" localSheetId="0" hidden="1">{#N/A,#N/A,FALSE,"Sheet1 (2)"}</definedName>
    <definedName name="_________________ooh2_3" hidden="1">{#N/A,#N/A,FALSE,"Sheet1 (2)"}</definedName>
    <definedName name="_________________ooh2_4" localSheetId="0" hidden="1">{#N/A,#N/A,FALSE,"Sheet1 (2)"}</definedName>
    <definedName name="_________________ooh2_4" hidden="1">{#N/A,#N/A,FALSE,"Sheet1 (2)"}</definedName>
    <definedName name="_________________per3">#REF!</definedName>
    <definedName name="_________________piv3">#REF!</definedName>
    <definedName name="_________________sum1">#REF!</definedName>
    <definedName name="_________________sum2">#REF!</definedName>
    <definedName name="_________________TOP2000">#REF!</definedName>
    <definedName name="_________________TOP97">#REF!</definedName>
    <definedName name="_________________TOP98">#REF!</definedName>
    <definedName name="_________________TOP99">#REF!</definedName>
    <definedName name="_________________TOZ2">#REF!</definedName>
    <definedName name="_________________TRT1">#REF!</definedName>
    <definedName name="_________________TV8">#REF!</definedName>
    <definedName name="_________________TV9598">[8]Makro1!$A$1</definedName>
    <definedName name="________________abc1">[7]!________________abc1</definedName>
    <definedName name="________________all1">#REF!</definedName>
    <definedName name="________________der1">#REF!</definedName>
    <definedName name="________________der2">#REF!</definedName>
    <definedName name="________________IV90000">[2]TUBORG!#REF!</definedName>
    <definedName name="________________ka7">#REF!</definedName>
    <definedName name="________________KAN7">[1]Kategoriler!$A$227:$B$260</definedName>
    <definedName name="________________KR11">[4]Foglio1!#REF!</definedName>
    <definedName name="________________KR12">[4]Foglio1!#REF!</definedName>
    <definedName name="________________KR13">[4]Foglio1!#REF!</definedName>
    <definedName name="________________KR14">[4]Foglio1!#REF!</definedName>
    <definedName name="________________KR15">[4]Foglio1!#REF!</definedName>
    <definedName name="________________KR16">[4]Foglio1!#REF!</definedName>
    <definedName name="________________KR17">[4]Foglio1!#REF!</definedName>
    <definedName name="________________KR18">[4]Foglio1!#REF!</definedName>
    <definedName name="________________KR19">[4]Foglio1!#REF!</definedName>
    <definedName name="________________KRF10">[4]Foglio1!#REF!</definedName>
    <definedName name="________________KRF6">[4]Foglio1!#REF!</definedName>
    <definedName name="________________KRF7">[4]Foglio1!#REF!</definedName>
    <definedName name="________________KRF8">[4]Foglio1!#REF!</definedName>
    <definedName name="________________KRF9">[4]Foglio1!#REF!</definedName>
    <definedName name="________________KUR2">#REF!</definedName>
    <definedName name="________________ME1">#REF!</definedName>
    <definedName name="________________ME2">#REF!</definedName>
    <definedName name="________________ME3">#REF!</definedName>
    <definedName name="________________ME4">#REF!</definedName>
    <definedName name="________________ME5">#REF!</definedName>
    <definedName name="________________ME6">#REF!</definedName>
    <definedName name="________________ME7">#REF!</definedName>
    <definedName name="________________ME8">#REF!</definedName>
    <definedName name="________________ooh2" localSheetId="0" hidden="1">{#N/A,#N/A,FALSE,"Sheet1 (2)"}</definedName>
    <definedName name="________________ooh2" hidden="1">{#N/A,#N/A,FALSE,"Sheet1 (2)"}</definedName>
    <definedName name="________________ooh2_1" localSheetId="0" hidden="1">{#N/A,#N/A,FALSE,"Sheet1 (2)"}</definedName>
    <definedName name="________________ooh2_1" hidden="1">{#N/A,#N/A,FALSE,"Sheet1 (2)"}</definedName>
    <definedName name="________________ooh2_1_1" localSheetId="0" hidden="1">{#N/A,#N/A,FALSE,"Sheet1 (2)"}</definedName>
    <definedName name="________________ooh2_1_1" hidden="1">{#N/A,#N/A,FALSE,"Sheet1 (2)"}</definedName>
    <definedName name="________________ooh2_1_2" localSheetId="0" hidden="1">{#N/A,#N/A,FALSE,"Sheet1 (2)"}</definedName>
    <definedName name="________________ooh2_1_2" hidden="1">{#N/A,#N/A,FALSE,"Sheet1 (2)"}</definedName>
    <definedName name="________________ooh2_1_3" localSheetId="0" hidden="1">{#N/A,#N/A,FALSE,"Sheet1 (2)"}</definedName>
    <definedName name="________________ooh2_1_3" hidden="1">{#N/A,#N/A,FALSE,"Sheet1 (2)"}</definedName>
    <definedName name="________________ooh2_2" localSheetId="0" hidden="1">{#N/A,#N/A,FALSE,"Sheet1 (2)"}</definedName>
    <definedName name="________________ooh2_2" hidden="1">{#N/A,#N/A,FALSE,"Sheet1 (2)"}</definedName>
    <definedName name="________________ooh2_2_1" localSheetId="0" hidden="1">{#N/A,#N/A,FALSE,"Sheet1 (2)"}</definedName>
    <definedName name="________________ooh2_2_1" hidden="1">{#N/A,#N/A,FALSE,"Sheet1 (2)"}</definedName>
    <definedName name="________________ooh2_2_2" localSheetId="0" hidden="1">{#N/A,#N/A,FALSE,"Sheet1 (2)"}</definedName>
    <definedName name="________________ooh2_2_2" hidden="1">{#N/A,#N/A,FALSE,"Sheet1 (2)"}</definedName>
    <definedName name="________________ooh2_3" localSheetId="0" hidden="1">{#N/A,#N/A,FALSE,"Sheet1 (2)"}</definedName>
    <definedName name="________________ooh2_3" hidden="1">{#N/A,#N/A,FALSE,"Sheet1 (2)"}</definedName>
    <definedName name="________________ooh2_4" localSheetId="0" hidden="1">{#N/A,#N/A,FALSE,"Sheet1 (2)"}</definedName>
    <definedName name="________________ooh2_4" hidden="1">{#N/A,#N/A,FALSE,"Sheet1 (2)"}</definedName>
    <definedName name="________________per3">#REF!</definedName>
    <definedName name="________________piv3">#REF!</definedName>
    <definedName name="________________sum1">#REF!</definedName>
    <definedName name="________________sum2">#REF!</definedName>
    <definedName name="________________TOP2000">#REF!</definedName>
    <definedName name="________________TOP97">#REF!</definedName>
    <definedName name="________________TOP98">#REF!</definedName>
    <definedName name="________________TOP99">#REF!</definedName>
    <definedName name="________________TOZ2">#REF!</definedName>
    <definedName name="________________TRT1">#REF!</definedName>
    <definedName name="________________TV8">#REF!</definedName>
    <definedName name="________________TV9598">[8]Makro1!$A$1</definedName>
    <definedName name="_______________abc1">[7]!_______________abc1</definedName>
    <definedName name="_______________all1">#REF!</definedName>
    <definedName name="_______________der1">#REF!</definedName>
    <definedName name="_______________der2">#REF!</definedName>
    <definedName name="_______________IV90000">[2]TUBORG!#REF!</definedName>
    <definedName name="_______________ka7">#REF!</definedName>
    <definedName name="_______________KAN7">[1]Kategoriler!$A$227:$B$260</definedName>
    <definedName name="_______________KR11">[4]Foglio1!#REF!</definedName>
    <definedName name="_______________KR12">[4]Foglio1!#REF!</definedName>
    <definedName name="_______________KR13">[4]Foglio1!#REF!</definedName>
    <definedName name="_______________KR14">[4]Foglio1!#REF!</definedName>
    <definedName name="_______________KR15">[4]Foglio1!#REF!</definedName>
    <definedName name="_______________KR16">[4]Foglio1!#REF!</definedName>
    <definedName name="_______________KR17">[4]Foglio1!#REF!</definedName>
    <definedName name="_______________KR18">[4]Foglio1!#REF!</definedName>
    <definedName name="_______________KR19">[4]Foglio1!#REF!</definedName>
    <definedName name="_______________KRF10">[4]Foglio1!#REF!</definedName>
    <definedName name="_______________KRF6">[4]Foglio1!#REF!</definedName>
    <definedName name="_______________KRF7">[4]Foglio1!#REF!</definedName>
    <definedName name="_______________KRF8">[4]Foglio1!#REF!</definedName>
    <definedName name="_______________KRF9">[4]Foglio1!#REF!</definedName>
    <definedName name="_______________KUR2">#REF!</definedName>
    <definedName name="_______________ME1">#REF!</definedName>
    <definedName name="_______________ME2">#REF!</definedName>
    <definedName name="_______________ME3">#REF!</definedName>
    <definedName name="_______________ME4">#REF!</definedName>
    <definedName name="_______________ME5">#REF!</definedName>
    <definedName name="_______________ME6">#REF!</definedName>
    <definedName name="_______________ME7">#REF!</definedName>
    <definedName name="_______________ME8">#REF!</definedName>
    <definedName name="_______________ooh2" localSheetId="0" hidden="1">{#N/A,#N/A,FALSE,"Sheet1 (2)"}</definedName>
    <definedName name="_______________ooh2" hidden="1">{#N/A,#N/A,FALSE,"Sheet1 (2)"}</definedName>
    <definedName name="_______________ooh2_1" localSheetId="0" hidden="1">{#N/A,#N/A,FALSE,"Sheet1 (2)"}</definedName>
    <definedName name="_______________ooh2_1" hidden="1">{#N/A,#N/A,FALSE,"Sheet1 (2)"}</definedName>
    <definedName name="_______________ooh2_1_1" localSheetId="0" hidden="1">{#N/A,#N/A,FALSE,"Sheet1 (2)"}</definedName>
    <definedName name="_______________ooh2_1_1" hidden="1">{#N/A,#N/A,FALSE,"Sheet1 (2)"}</definedName>
    <definedName name="_______________ooh2_1_2" localSheetId="0" hidden="1">{#N/A,#N/A,FALSE,"Sheet1 (2)"}</definedName>
    <definedName name="_______________ooh2_1_2" hidden="1">{#N/A,#N/A,FALSE,"Sheet1 (2)"}</definedName>
    <definedName name="_______________ooh2_1_3" localSheetId="0" hidden="1">{#N/A,#N/A,FALSE,"Sheet1 (2)"}</definedName>
    <definedName name="_______________ooh2_1_3" hidden="1">{#N/A,#N/A,FALSE,"Sheet1 (2)"}</definedName>
    <definedName name="_______________ooh2_2" localSheetId="0" hidden="1">{#N/A,#N/A,FALSE,"Sheet1 (2)"}</definedName>
    <definedName name="_______________ooh2_2" hidden="1">{#N/A,#N/A,FALSE,"Sheet1 (2)"}</definedName>
    <definedName name="_______________ooh2_2_1" localSheetId="0" hidden="1">{#N/A,#N/A,FALSE,"Sheet1 (2)"}</definedName>
    <definedName name="_______________ooh2_2_1" hidden="1">{#N/A,#N/A,FALSE,"Sheet1 (2)"}</definedName>
    <definedName name="_______________ooh2_2_2" localSheetId="0" hidden="1">{#N/A,#N/A,FALSE,"Sheet1 (2)"}</definedName>
    <definedName name="_______________ooh2_2_2" hidden="1">{#N/A,#N/A,FALSE,"Sheet1 (2)"}</definedName>
    <definedName name="_______________ooh2_3" localSheetId="0" hidden="1">{#N/A,#N/A,FALSE,"Sheet1 (2)"}</definedName>
    <definedName name="_______________ooh2_3" hidden="1">{#N/A,#N/A,FALSE,"Sheet1 (2)"}</definedName>
    <definedName name="_______________ooh2_4" localSheetId="0" hidden="1">{#N/A,#N/A,FALSE,"Sheet1 (2)"}</definedName>
    <definedName name="_______________ooh2_4" hidden="1">{#N/A,#N/A,FALSE,"Sheet1 (2)"}</definedName>
    <definedName name="_______________per3">#REF!</definedName>
    <definedName name="_______________piv3">#REF!</definedName>
    <definedName name="_______________sum1">#REF!</definedName>
    <definedName name="_______________sum2">#REF!</definedName>
    <definedName name="_______________TOP2000">#REF!</definedName>
    <definedName name="_______________TOP97">#REF!</definedName>
    <definedName name="_______________TOP98">#REF!</definedName>
    <definedName name="_______________TOP99">#REF!</definedName>
    <definedName name="_______________TOZ2">#REF!</definedName>
    <definedName name="_______________TRT1">#REF!</definedName>
    <definedName name="_______________TV8">#REF!</definedName>
    <definedName name="_______________TV9598">[8]Makro1!$A$1</definedName>
    <definedName name="______________abc1">[7]!______________abc1</definedName>
    <definedName name="______________all1">#REF!</definedName>
    <definedName name="______________der1">#REF!</definedName>
    <definedName name="______________der2">#REF!</definedName>
    <definedName name="______________IV90000">[2]TUBORG!#REF!</definedName>
    <definedName name="______________ka7">#REF!</definedName>
    <definedName name="______________KAN7">#REF!</definedName>
    <definedName name="______________KR11">[4]Foglio1!#REF!</definedName>
    <definedName name="______________KR12">[4]Foglio1!#REF!</definedName>
    <definedName name="______________KR13">[4]Foglio1!#REF!</definedName>
    <definedName name="______________KR14">[4]Foglio1!#REF!</definedName>
    <definedName name="______________KR15">[4]Foglio1!#REF!</definedName>
    <definedName name="______________KR16">[4]Foglio1!#REF!</definedName>
    <definedName name="______________KR17">[4]Foglio1!#REF!</definedName>
    <definedName name="______________KR18">[4]Foglio1!#REF!</definedName>
    <definedName name="______________KR19">[4]Foglio1!#REF!</definedName>
    <definedName name="______________KRF10">[4]Foglio1!#REF!</definedName>
    <definedName name="______________KRF6">[4]Foglio1!#REF!</definedName>
    <definedName name="______________KRF7">[4]Foglio1!#REF!</definedName>
    <definedName name="______________KRF8">[4]Foglio1!#REF!</definedName>
    <definedName name="______________KRF9">[4]Foglio1!#REF!</definedName>
    <definedName name="______________KUR2">#REF!</definedName>
    <definedName name="______________ME1">#REF!</definedName>
    <definedName name="______________ME2">#REF!</definedName>
    <definedName name="______________ME3">#REF!</definedName>
    <definedName name="______________ME4">#REF!</definedName>
    <definedName name="______________ME5">#REF!</definedName>
    <definedName name="______________ME6">#REF!</definedName>
    <definedName name="______________ME7">#REF!</definedName>
    <definedName name="______________ME8">#REF!</definedName>
    <definedName name="______________ooh2" localSheetId="0" hidden="1">{#N/A,#N/A,FALSE,"Sheet1 (2)"}</definedName>
    <definedName name="______________ooh2" hidden="1">{#N/A,#N/A,FALSE,"Sheet1 (2)"}</definedName>
    <definedName name="______________ooh2_1" localSheetId="0" hidden="1">{#N/A,#N/A,FALSE,"Sheet1 (2)"}</definedName>
    <definedName name="______________ooh2_1" hidden="1">{#N/A,#N/A,FALSE,"Sheet1 (2)"}</definedName>
    <definedName name="______________ooh2_1_1" localSheetId="0" hidden="1">{#N/A,#N/A,FALSE,"Sheet1 (2)"}</definedName>
    <definedName name="______________ooh2_1_1" hidden="1">{#N/A,#N/A,FALSE,"Sheet1 (2)"}</definedName>
    <definedName name="______________ooh2_1_2" localSheetId="0" hidden="1">{#N/A,#N/A,FALSE,"Sheet1 (2)"}</definedName>
    <definedName name="______________ooh2_1_2" hidden="1">{#N/A,#N/A,FALSE,"Sheet1 (2)"}</definedName>
    <definedName name="______________ooh2_1_3" localSheetId="0" hidden="1">{#N/A,#N/A,FALSE,"Sheet1 (2)"}</definedName>
    <definedName name="______________ooh2_1_3" hidden="1">{#N/A,#N/A,FALSE,"Sheet1 (2)"}</definedName>
    <definedName name="______________ooh2_2" localSheetId="0" hidden="1">{#N/A,#N/A,FALSE,"Sheet1 (2)"}</definedName>
    <definedName name="______________ooh2_2" hidden="1">{#N/A,#N/A,FALSE,"Sheet1 (2)"}</definedName>
    <definedName name="______________ooh2_2_1" localSheetId="0" hidden="1">{#N/A,#N/A,FALSE,"Sheet1 (2)"}</definedName>
    <definedName name="______________ooh2_2_1" hidden="1">{#N/A,#N/A,FALSE,"Sheet1 (2)"}</definedName>
    <definedName name="______________ooh2_2_2" localSheetId="0" hidden="1">{#N/A,#N/A,FALSE,"Sheet1 (2)"}</definedName>
    <definedName name="______________ooh2_2_2" hidden="1">{#N/A,#N/A,FALSE,"Sheet1 (2)"}</definedName>
    <definedName name="______________ooh2_3" localSheetId="0" hidden="1">{#N/A,#N/A,FALSE,"Sheet1 (2)"}</definedName>
    <definedName name="______________ooh2_3" hidden="1">{#N/A,#N/A,FALSE,"Sheet1 (2)"}</definedName>
    <definedName name="______________ooh2_4" localSheetId="0" hidden="1">{#N/A,#N/A,FALSE,"Sheet1 (2)"}</definedName>
    <definedName name="______________ooh2_4" hidden="1">{#N/A,#N/A,FALSE,"Sheet1 (2)"}</definedName>
    <definedName name="______________per3">#REF!</definedName>
    <definedName name="______________piv3">#REF!</definedName>
    <definedName name="______________sum1">#REF!</definedName>
    <definedName name="______________sum2">#REF!</definedName>
    <definedName name="______________TOP2000">#REF!</definedName>
    <definedName name="______________TOP97">#REF!</definedName>
    <definedName name="______________TOP98">#REF!</definedName>
    <definedName name="______________TOP99">#REF!</definedName>
    <definedName name="______________TOZ2">#REF!</definedName>
    <definedName name="______________TRT1">#REF!</definedName>
    <definedName name="______________TV8">#REF!</definedName>
    <definedName name="______________TV9598">[8]Makro1!$A$1</definedName>
    <definedName name="_____________abc1">[7]!_____________abc1</definedName>
    <definedName name="_____________all1">#REF!</definedName>
    <definedName name="_____________der1">#REF!</definedName>
    <definedName name="_____________der2">#REF!</definedName>
    <definedName name="_____________IV90000">[2]TUBORG!#REF!</definedName>
    <definedName name="_____________ka7">#REF!</definedName>
    <definedName name="_____________KAN7">#REF!</definedName>
    <definedName name="_____________KR11">[4]Foglio1!#REF!</definedName>
    <definedName name="_____________KR12">[4]Foglio1!#REF!</definedName>
    <definedName name="_____________KR13">[4]Foglio1!#REF!</definedName>
    <definedName name="_____________KR14">[4]Foglio1!#REF!</definedName>
    <definedName name="_____________KR15">[4]Foglio1!#REF!</definedName>
    <definedName name="_____________KR16">[4]Foglio1!#REF!</definedName>
    <definedName name="_____________KR17">[4]Foglio1!#REF!</definedName>
    <definedName name="_____________KR18">[4]Foglio1!#REF!</definedName>
    <definedName name="_____________KR19">[4]Foglio1!#REF!</definedName>
    <definedName name="_____________KRF10">[4]Foglio1!#REF!</definedName>
    <definedName name="_____________KRF6">[4]Foglio1!#REF!</definedName>
    <definedName name="_____________KRF7">[4]Foglio1!#REF!</definedName>
    <definedName name="_____________KRF8">[4]Foglio1!#REF!</definedName>
    <definedName name="_____________KRF9">[4]Foglio1!#REF!</definedName>
    <definedName name="_____________KUR2">#REF!</definedName>
    <definedName name="_____________ME1">#REF!</definedName>
    <definedName name="_____________ME2">#REF!</definedName>
    <definedName name="_____________ME3">#REF!</definedName>
    <definedName name="_____________ME4">#REF!</definedName>
    <definedName name="_____________ME5">#REF!</definedName>
    <definedName name="_____________ME6">#REF!</definedName>
    <definedName name="_____________ME7">#REF!</definedName>
    <definedName name="_____________ME8">#REF!</definedName>
    <definedName name="_____________ooh2" localSheetId="0" hidden="1">{#N/A,#N/A,FALSE,"Sheet1 (2)"}</definedName>
    <definedName name="_____________ooh2" hidden="1">{#N/A,#N/A,FALSE,"Sheet1 (2)"}</definedName>
    <definedName name="_____________ooh2_1" localSheetId="0" hidden="1">{#N/A,#N/A,FALSE,"Sheet1 (2)"}</definedName>
    <definedName name="_____________ooh2_1" hidden="1">{#N/A,#N/A,FALSE,"Sheet1 (2)"}</definedName>
    <definedName name="_____________ooh2_1_1" localSheetId="0" hidden="1">{#N/A,#N/A,FALSE,"Sheet1 (2)"}</definedName>
    <definedName name="_____________ooh2_1_1" hidden="1">{#N/A,#N/A,FALSE,"Sheet1 (2)"}</definedName>
    <definedName name="_____________ooh2_1_2" localSheetId="0" hidden="1">{#N/A,#N/A,FALSE,"Sheet1 (2)"}</definedName>
    <definedName name="_____________ooh2_1_2" hidden="1">{#N/A,#N/A,FALSE,"Sheet1 (2)"}</definedName>
    <definedName name="_____________ooh2_1_3" localSheetId="0" hidden="1">{#N/A,#N/A,FALSE,"Sheet1 (2)"}</definedName>
    <definedName name="_____________ooh2_1_3" hidden="1">{#N/A,#N/A,FALSE,"Sheet1 (2)"}</definedName>
    <definedName name="_____________ooh2_2" localSheetId="0" hidden="1">{#N/A,#N/A,FALSE,"Sheet1 (2)"}</definedName>
    <definedName name="_____________ooh2_2" hidden="1">{#N/A,#N/A,FALSE,"Sheet1 (2)"}</definedName>
    <definedName name="_____________ooh2_2_1" localSheetId="0" hidden="1">{#N/A,#N/A,FALSE,"Sheet1 (2)"}</definedName>
    <definedName name="_____________ooh2_2_1" hidden="1">{#N/A,#N/A,FALSE,"Sheet1 (2)"}</definedName>
    <definedName name="_____________ooh2_2_2" localSheetId="0" hidden="1">{#N/A,#N/A,FALSE,"Sheet1 (2)"}</definedName>
    <definedName name="_____________ooh2_2_2" hidden="1">{#N/A,#N/A,FALSE,"Sheet1 (2)"}</definedName>
    <definedName name="_____________ooh2_3" localSheetId="0" hidden="1">{#N/A,#N/A,FALSE,"Sheet1 (2)"}</definedName>
    <definedName name="_____________ooh2_3" hidden="1">{#N/A,#N/A,FALSE,"Sheet1 (2)"}</definedName>
    <definedName name="_____________ooh2_4" localSheetId="0" hidden="1">{#N/A,#N/A,FALSE,"Sheet1 (2)"}</definedName>
    <definedName name="_____________ooh2_4" hidden="1">{#N/A,#N/A,FALSE,"Sheet1 (2)"}</definedName>
    <definedName name="_____________per3">#REF!</definedName>
    <definedName name="_____________piv3">#REF!</definedName>
    <definedName name="_____________sum1">#REF!</definedName>
    <definedName name="_____________sum2">#REF!</definedName>
    <definedName name="_____________TOP2000">#REF!</definedName>
    <definedName name="_____________TOP97">#REF!</definedName>
    <definedName name="_____________TOP98">#REF!</definedName>
    <definedName name="_____________TOP99">#REF!</definedName>
    <definedName name="_____________TOZ2">#REF!</definedName>
    <definedName name="_____________TRT1">#REF!</definedName>
    <definedName name="_____________TV8">#REF!</definedName>
    <definedName name="_____________TV9598">[8]Makro1!$A$1</definedName>
    <definedName name="____________abc1">[9]Tnt!_xlbgnm.abc1</definedName>
    <definedName name="____________all1">#REF!</definedName>
    <definedName name="____________der1">#REF!</definedName>
    <definedName name="____________der2">#REF!</definedName>
    <definedName name="____________IV90000">[2]TUBORG!#REF!</definedName>
    <definedName name="____________ka7">#REF!</definedName>
    <definedName name="____________KAN7">#REF!</definedName>
    <definedName name="____________KR11">[4]Foglio1!#REF!</definedName>
    <definedName name="____________KR12">[4]Foglio1!#REF!</definedName>
    <definedName name="____________KR13">[4]Foglio1!#REF!</definedName>
    <definedName name="____________KR14">[4]Foglio1!#REF!</definedName>
    <definedName name="____________KR15">[4]Foglio1!#REF!</definedName>
    <definedName name="____________KR16">[4]Foglio1!#REF!</definedName>
    <definedName name="____________KR17">[4]Foglio1!#REF!</definedName>
    <definedName name="____________KR18">[4]Foglio1!#REF!</definedName>
    <definedName name="____________KR19">[4]Foglio1!#REF!</definedName>
    <definedName name="____________KRF10">[4]Foglio1!#REF!</definedName>
    <definedName name="____________KRF6">[4]Foglio1!#REF!</definedName>
    <definedName name="____________KRF7">[4]Foglio1!#REF!</definedName>
    <definedName name="____________KRF8">[4]Foglio1!#REF!</definedName>
    <definedName name="____________KRF9">[4]Foglio1!#REF!</definedName>
    <definedName name="____________KUR2">#REF!</definedName>
    <definedName name="____________ME1">#REF!</definedName>
    <definedName name="____________ME2">#REF!</definedName>
    <definedName name="____________ME3">#REF!</definedName>
    <definedName name="____________ME4">#REF!</definedName>
    <definedName name="____________ME5">#REF!</definedName>
    <definedName name="____________ME6">#REF!</definedName>
    <definedName name="____________ME7">#REF!</definedName>
    <definedName name="____________ME8">#REF!</definedName>
    <definedName name="____________ooh2" localSheetId="0" hidden="1">{#N/A,#N/A,FALSE,"Sheet1 (2)"}</definedName>
    <definedName name="____________ooh2" hidden="1">{#N/A,#N/A,FALSE,"Sheet1 (2)"}</definedName>
    <definedName name="____________ooh2_1" localSheetId="0" hidden="1">{#N/A,#N/A,FALSE,"Sheet1 (2)"}</definedName>
    <definedName name="____________ooh2_1" hidden="1">{#N/A,#N/A,FALSE,"Sheet1 (2)"}</definedName>
    <definedName name="____________ooh2_1_1" localSheetId="0" hidden="1">{#N/A,#N/A,FALSE,"Sheet1 (2)"}</definedName>
    <definedName name="____________ooh2_1_1" hidden="1">{#N/A,#N/A,FALSE,"Sheet1 (2)"}</definedName>
    <definedName name="____________ooh2_1_2" localSheetId="0" hidden="1">{#N/A,#N/A,FALSE,"Sheet1 (2)"}</definedName>
    <definedName name="____________ooh2_1_2" hidden="1">{#N/A,#N/A,FALSE,"Sheet1 (2)"}</definedName>
    <definedName name="____________ooh2_1_3" localSheetId="0" hidden="1">{#N/A,#N/A,FALSE,"Sheet1 (2)"}</definedName>
    <definedName name="____________ooh2_1_3" hidden="1">{#N/A,#N/A,FALSE,"Sheet1 (2)"}</definedName>
    <definedName name="____________ooh2_2" localSheetId="0" hidden="1">{#N/A,#N/A,FALSE,"Sheet1 (2)"}</definedName>
    <definedName name="____________ooh2_2" hidden="1">{#N/A,#N/A,FALSE,"Sheet1 (2)"}</definedName>
    <definedName name="____________ooh2_2_1" localSheetId="0" hidden="1">{#N/A,#N/A,FALSE,"Sheet1 (2)"}</definedName>
    <definedName name="____________ooh2_2_1" hidden="1">{#N/A,#N/A,FALSE,"Sheet1 (2)"}</definedName>
    <definedName name="____________ooh2_2_2" localSheetId="0" hidden="1">{#N/A,#N/A,FALSE,"Sheet1 (2)"}</definedName>
    <definedName name="____________ooh2_2_2" hidden="1">{#N/A,#N/A,FALSE,"Sheet1 (2)"}</definedName>
    <definedName name="____________ooh2_3" localSheetId="0" hidden="1">{#N/A,#N/A,FALSE,"Sheet1 (2)"}</definedName>
    <definedName name="____________ooh2_3" hidden="1">{#N/A,#N/A,FALSE,"Sheet1 (2)"}</definedName>
    <definedName name="____________ooh2_4" localSheetId="0" hidden="1">{#N/A,#N/A,FALSE,"Sheet1 (2)"}</definedName>
    <definedName name="____________ooh2_4" hidden="1">{#N/A,#N/A,FALSE,"Sheet1 (2)"}</definedName>
    <definedName name="____________per3">#REF!</definedName>
    <definedName name="____________piv3">#REF!</definedName>
    <definedName name="____________sum1">#REF!</definedName>
    <definedName name="____________sum2">#REF!</definedName>
    <definedName name="____________TOP2000">#REF!</definedName>
    <definedName name="____________TOP97">#REF!</definedName>
    <definedName name="____________TOP98">#REF!</definedName>
    <definedName name="____________TOP99">#REF!</definedName>
    <definedName name="____________TOZ2">#REF!</definedName>
    <definedName name="____________TRT1">#REF!</definedName>
    <definedName name="____________TV8">#REF!</definedName>
    <definedName name="____________TV9598">[8]Makro1!$A$1</definedName>
    <definedName name="___________abc1">[7]!___________abc1</definedName>
    <definedName name="___________all1">#REF!</definedName>
    <definedName name="___________der1">#REF!</definedName>
    <definedName name="___________der2">#REF!</definedName>
    <definedName name="___________IV90000">[2]TUBORG!#REF!</definedName>
    <definedName name="___________ka7">#REF!</definedName>
    <definedName name="___________KAN7">[1]Kategoriler!$A$227:$B$260</definedName>
    <definedName name="___________KR11">[4]Foglio1!#REF!</definedName>
    <definedName name="___________KR12">[4]Foglio1!#REF!</definedName>
    <definedName name="___________KR13">[4]Foglio1!#REF!</definedName>
    <definedName name="___________KR14">[4]Foglio1!#REF!</definedName>
    <definedName name="___________KR15">[4]Foglio1!#REF!</definedName>
    <definedName name="___________KR16">[4]Foglio1!#REF!</definedName>
    <definedName name="___________KR17">[4]Foglio1!#REF!</definedName>
    <definedName name="___________KR18">[4]Foglio1!#REF!</definedName>
    <definedName name="___________KR19">[4]Foglio1!#REF!</definedName>
    <definedName name="___________KRF10">[4]Foglio1!#REF!</definedName>
    <definedName name="___________KRF6">[4]Foglio1!#REF!</definedName>
    <definedName name="___________KRF7">[4]Foglio1!#REF!</definedName>
    <definedName name="___________KRF8">[4]Foglio1!#REF!</definedName>
    <definedName name="___________KRF9">[4]Foglio1!#REF!</definedName>
    <definedName name="___________KUR2">#REF!</definedName>
    <definedName name="___________ME1">#REF!</definedName>
    <definedName name="___________ME2">#REF!</definedName>
    <definedName name="___________ME3">#REF!</definedName>
    <definedName name="___________ME4">#REF!</definedName>
    <definedName name="___________ME5">#REF!</definedName>
    <definedName name="___________ME6">#REF!</definedName>
    <definedName name="___________ME7">#REF!</definedName>
    <definedName name="___________ME8">#REF!</definedName>
    <definedName name="___________n" localSheetId="0" hidden="1">{#N/A,#N/A,FALSE,"Sheet1 (2)"}</definedName>
    <definedName name="___________n" hidden="1">{#N/A,#N/A,FALSE,"Sheet1 (2)"}</definedName>
    <definedName name="___________ooh2" localSheetId="0" hidden="1">{#N/A,#N/A,FALSE,"Sheet1 (2)"}</definedName>
    <definedName name="___________ooh2" hidden="1">{#N/A,#N/A,FALSE,"Sheet1 (2)"}</definedName>
    <definedName name="___________ooh2_1" localSheetId="0" hidden="1">{#N/A,#N/A,FALSE,"Sheet1 (2)"}</definedName>
    <definedName name="___________ooh2_1" hidden="1">{#N/A,#N/A,FALSE,"Sheet1 (2)"}</definedName>
    <definedName name="___________ooh2_1_1" localSheetId="0" hidden="1">{#N/A,#N/A,FALSE,"Sheet1 (2)"}</definedName>
    <definedName name="___________ooh2_1_1" hidden="1">{#N/A,#N/A,FALSE,"Sheet1 (2)"}</definedName>
    <definedName name="___________ooh2_1_2" localSheetId="0" hidden="1">{#N/A,#N/A,FALSE,"Sheet1 (2)"}</definedName>
    <definedName name="___________ooh2_1_2" hidden="1">{#N/A,#N/A,FALSE,"Sheet1 (2)"}</definedName>
    <definedName name="___________ooh2_1_3" localSheetId="0" hidden="1">{#N/A,#N/A,FALSE,"Sheet1 (2)"}</definedName>
    <definedName name="___________ooh2_1_3" hidden="1">{#N/A,#N/A,FALSE,"Sheet1 (2)"}</definedName>
    <definedName name="___________ooh2_2" localSheetId="0" hidden="1">{#N/A,#N/A,FALSE,"Sheet1 (2)"}</definedName>
    <definedName name="___________ooh2_2" hidden="1">{#N/A,#N/A,FALSE,"Sheet1 (2)"}</definedName>
    <definedName name="___________ooh2_2_1" localSheetId="0" hidden="1">{#N/A,#N/A,FALSE,"Sheet1 (2)"}</definedName>
    <definedName name="___________ooh2_2_1" hidden="1">{#N/A,#N/A,FALSE,"Sheet1 (2)"}</definedName>
    <definedName name="___________ooh2_2_2" localSheetId="0" hidden="1">{#N/A,#N/A,FALSE,"Sheet1 (2)"}</definedName>
    <definedName name="___________ooh2_2_2" hidden="1">{#N/A,#N/A,FALSE,"Sheet1 (2)"}</definedName>
    <definedName name="___________ooh2_3" localSheetId="0" hidden="1">{#N/A,#N/A,FALSE,"Sheet1 (2)"}</definedName>
    <definedName name="___________ooh2_3" hidden="1">{#N/A,#N/A,FALSE,"Sheet1 (2)"}</definedName>
    <definedName name="___________ooh2_4" localSheetId="0" hidden="1">{#N/A,#N/A,FALSE,"Sheet1 (2)"}</definedName>
    <definedName name="___________ooh2_4" hidden="1">{#N/A,#N/A,FALSE,"Sheet1 (2)"}</definedName>
    <definedName name="___________per3">#REF!</definedName>
    <definedName name="___________piv3">#REF!</definedName>
    <definedName name="___________sum1">#REF!</definedName>
    <definedName name="___________sum2">#REF!</definedName>
    <definedName name="___________TOP2000">#REF!</definedName>
    <definedName name="___________TOP97">#REF!</definedName>
    <definedName name="___________TOP98">#REF!</definedName>
    <definedName name="___________TOP99">#REF!</definedName>
    <definedName name="___________TOZ2">#REF!</definedName>
    <definedName name="___________TRT1">#REF!</definedName>
    <definedName name="___________TV8">#REF!</definedName>
    <definedName name="___________TV9598">[8]Makro1!$A$1</definedName>
    <definedName name="__________abc1">[7]!__________abc1</definedName>
    <definedName name="__________all1">#REF!</definedName>
    <definedName name="__________der1">#REF!</definedName>
    <definedName name="__________der2">#REF!</definedName>
    <definedName name="__________IV90000">[2]TUBORG!#REF!</definedName>
    <definedName name="__________ka7">#REF!</definedName>
    <definedName name="__________KAN7">#REF!</definedName>
    <definedName name="__________KR11">[4]Foglio1!#REF!</definedName>
    <definedName name="__________KR12">[4]Foglio1!#REF!</definedName>
    <definedName name="__________KR13">[4]Foglio1!#REF!</definedName>
    <definedName name="__________KR14">[4]Foglio1!#REF!</definedName>
    <definedName name="__________KR15">[4]Foglio1!#REF!</definedName>
    <definedName name="__________KR16">[4]Foglio1!#REF!</definedName>
    <definedName name="__________KR17">[4]Foglio1!#REF!</definedName>
    <definedName name="__________KR18">[4]Foglio1!#REF!</definedName>
    <definedName name="__________KR19">[4]Foglio1!#REF!</definedName>
    <definedName name="__________KRF10">[4]Foglio1!#REF!</definedName>
    <definedName name="__________KRF6">[4]Foglio1!#REF!</definedName>
    <definedName name="__________KRF7">[4]Foglio1!#REF!</definedName>
    <definedName name="__________KRF8">[4]Foglio1!#REF!</definedName>
    <definedName name="__________KRF9">[4]Foglio1!#REF!</definedName>
    <definedName name="__________KUR2">#REF!</definedName>
    <definedName name="__________ME1">#REF!</definedName>
    <definedName name="__________ME2">#REF!</definedName>
    <definedName name="__________ME3">#REF!</definedName>
    <definedName name="__________ME4">#REF!</definedName>
    <definedName name="__________ME5">#REF!</definedName>
    <definedName name="__________ME6">#REF!</definedName>
    <definedName name="__________ME7">#REF!</definedName>
    <definedName name="__________ME8">#REF!</definedName>
    <definedName name="__________ooh2" localSheetId="0" hidden="1">{#N/A,#N/A,FALSE,"Sheet1 (2)"}</definedName>
    <definedName name="__________ooh2" hidden="1">{#N/A,#N/A,FALSE,"Sheet1 (2)"}</definedName>
    <definedName name="__________ooh2_1" localSheetId="0" hidden="1">{#N/A,#N/A,FALSE,"Sheet1 (2)"}</definedName>
    <definedName name="__________ooh2_1" hidden="1">{#N/A,#N/A,FALSE,"Sheet1 (2)"}</definedName>
    <definedName name="__________ooh2_1_1" localSheetId="0" hidden="1">{#N/A,#N/A,FALSE,"Sheet1 (2)"}</definedName>
    <definedName name="__________ooh2_1_1" hidden="1">{#N/A,#N/A,FALSE,"Sheet1 (2)"}</definedName>
    <definedName name="__________ooh2_1_2" localSheetId="0" hidden="1">{#N/A,#N/A,FALSE,"Sheet1 (2)"}</definedName>
    <definedName name="__________ooh2_1_2" hidden="1">{#N/A,#N/A,FALSE,"Sheet1 (2)"}</definedName>
    <definedName name="__________ooh2_1_3" localSheetId="0" hidden="1">{#N/A,#N/A,FALSE,"Sheet1 (2)"}</definedName>
    <definedName name="__________ooh2_1_3" hidden="1">{#N/A,#N/A,FALSE,"Sheet1 (2)"}</definedName>
    <definedName name="__________ooh2_2" localSheetId="0" hidden="1">{#N/A,#N/A,FALSE,"Sheet1 (2)"}</definedName>
    <definedName name="__________ooh2_2" hidden="1">{#N/A,#N/A,FALSE,"Sheet1 (2)"}</definedName>
    <definedName name="__________ooh2_2_1" localSheetId="0" hidden="1">{#N/A,#N/A,FALSE,"Sheet1 (2)"}</definedName>
    <definedName name="__________ooh2_2_1" hidden="1">{#N/A,#N/A,FALSE,"Sheet1 (2)"}</definedName>
    <definedName name="__________ooh2_2_2" localSheetId="0" hidden="1">{#N/A,#N/A,FALSE,"Sheet1 (2)"}</definedName>
    <definedName name="__________ooh2_2_2" hidden="1">{#N/A,#N/A,FALSE,"Sheet1 (2)"}</definedName>
    <definedName name="__________ooh2_3" localSheetId="0" hidden="1">{#N/A,#N/A,FALSE,"Sheet1 (2)"}</definedName>
    <definedName name="__________ooh2_3" hidden="1">{#N/A,#N/A,FALSE,"Sheet1 (2)"}</definedName>
    <definedName name="__________ooh2_4" localSheetId="0" hidden="1">{#N/A,#N/A,FALSE,"Sheet1 (2)"}</definedName>
    <definedName name="__________ooh2_4" hidden="1">{#N/A,#N/A,FALSE,"Sheet1 (2)"}</definedName>
    <definedName name="__________per3">#REF!</definedName>
    <definedName name="__________piv3">#REF!</definedName>
    <definedName name="__________sum1">#REF!</definedName>
    <definedName name="__________sum2">#REF!</definedName>
    <definedName name="__________TOP2000">#REF!</definedName>
    <definedName name="__________TOP97">#REF!</definedName>
    <definedName name="__________TOP98">#REF!</definedName>
    <definedName name="__________TOP99">#REF!</definedName>
    <definedName name="__________TOZ2">#REF!</definedName>
    <definedName name="__________TRT1">#REF!</definedName>
    <definedName name="__________TV8">#REF!</definedName>
    <definedName name="__________TV9598">[8]Makro1!$A$1</definedName>
    <definedName name="_________A33">[10]Foglio1!#REF!</definedName>
    <definedName name="_________abc1">[7]!_________abc1</definedName>
    <definedName name="_________all1">#REF!</definedName>
    <definedName name="_________DEF2" localSheetId="0">{"BRAND",0,"Auto","Auto","";"CTY",0,"Auto","Auto",""}</definedName>
    <definedName name="_________DEF2">{"BRAND",0,"Auto","Auto","";"CTY",0,"Auto","Auto",""}</definedName>
    <definedName name="_________der1">#REF!</definedName>
    <definedName name="_________der2">#REF!</definedName>
    <definedName name="_________GHI2" localSheetId="0">{"VOLUME","SUM(VOLUME)","YNNNN",FALSE}</definedName>
    <definedName name="_________GHI2">{"VOLUME","SUM(VOLUME)","YNNNN",FALSE}</definedName>
    <definedName name="_________IV90000">[2]TUBORG!#REF!</definedName>
    <definedName name="_________Jim1" localSheetId="0" hidden="1">{#N/A,#N/A,FALSE,"L&amp;M Performance";#N/A,#N/A,FALSE,"Brand Performance";#N/A,#N/A,FALSE,"Marlboro Performance"}</definedName>
    <definedName name="_________Jim1" hidden="1">{#N/A,#N/A,FALSE,"L&amp;M Performance";#N/A,#N/A,FALSE,"Brand Performance";#N/A,#N/A,FALSE,"Marlboro Performance"}</definedName>
    <definedName name="_________jim2" localSheetId="0" hidden="1">{#N/A,#N/A,FALSE,"L&amp;M Performance";#N/A,#N/A,FALSE,"Brand Performance";#N/A,#N/A,FALSE,"Marlboro Performance"}</definedName>
    <definedName name="_________jim2" hidden="1">{#N/A,#N/A,FALSE,"L&amp;M Performance";#N/A,#N/A,FALSE,"Brand Performance";#N/A,#N/A,FALSE,"Marlboro Performance"}</definedName>
    <definedName name="_________ka7">#REF!</definedName>
    <definedName name="_________KAN7">#REF!</definedName>
    <definedName name="_________KR11">[4]Foglio1!#REF!</definedName>
    <definedName name="_________KR12">[4]Foglio1!#REF!</definedName>
    <definedName name="_________KR13">[4]Foglio1!#REF!</definedName>
    <definedName name="_________KR14">[4]Foglio1!#REF!</definedName>
    <definedName name="_________KR15">[4]Foglio1!#REF!</definedName>
    <definedName name="_________KR16">[4]Foglio1!#REF!</definedName>
    <definedName name="_________KR17">[4]Foglio1!#REF!</definedName>
    <definedName name="_________KR18">[4]Foglio1!#REF!</definedName>
    <definedName name="_________KR19">[4]Foglio1!#REF!</definedName>
    <definedName name="_________KRF10">[4]Foglio1!#REF!</definedName>
    <definedName name="_________KRF6">[4]Foglio1!#REF!</definedName>
    <definedName name="_________KRF7">[4]Foglio1!#REF!</definedName>
    <definedName name="_________KRF8">[4]Foglio1!#REF!</definedName>
    <definedName name="_________KRF9">[4]Foglio1!#REF!</definedName>
    <definedName name="_________KUR2">#REF!</definedName>
    <definedName name="_________ME1">#REF!</definedName>
    <definedName name="_________ME2">#REF!</definedName>
    <definedName name="_________ME3">#REF!</definedName>
    <definedName name="_________ME4">#REF!</definedName>
    <definedName name="_________ME5">#REF!</definedName>
    <definedName name="_________ME6">#REF!</definedName>
    <definedName name="_________ME7">#REF!</definedName>
    <definedName name="_________ME8">#REF!</definedName>
    <definedName name="_________NBV2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OB03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ooh2" localSheetId="0" hidden="1">{#N/A,#N/A,FALSE,"Sheet1 (2)"}</definedName>
    <definedName name="_________ooh2" hidden="1">{#N/A,#N/A,FALSE,"Sheet1 (2)"}</definedName>
    <definedName name="_________ooh2_1" localSheetId="0" hidden="1">{#N/A,#N/A,FALSE,"Sheet1 (2)"}</definedName>
    <definedName name="_________ooh2_1" hidden="1">{#N/A,#N/A,FALSE,"Sheet1 (2)"}</definedName>
    <definedName name="_________ooh2_1_1" localSheetId="0" hidden="1">{#N/A,#N/A,FALSE,"Sheet1 (2)"}</definedName>
    <definedName name="_________ooh2_1_1" hidden="1">{#N/A,#N/A,FALSE,"Sheet1 (2)"}</definedName>
    <definedName name="_________ooh2_1_2" localSheetId="0" hidden="1">{#N/A,#N/A,FALSE,"Sheet1 (2)"}</definedName>
    <definedName name="_________ooh2_1_2" hidden="1">{#N/A,#N/A,FALSE,"Sheet1 (2)"}</definedName>
    <definedName name="_________ooh2_1_3" localSheetId="0" hidden="1">{#N/A,#N/A,FALSE,"Sheet1 (2)"}</definedName>
    <definedName name="_________ooh2_1_3" hidden="1">{#N/A,#N/A,FALSE,"Sheet1 (2)"}</definedName>
    <definedName name="_________ooh2_2" localSheetId="0" hidden="1">{#N/A,#N/A,FALSE,"Sheet1 (2)"}</definedName>
    <definedName name="_________ooh2_2" hidden="1">{#N/A,#N/A,FALSE,"Sheet1 (2)"}</definedName>
    <definedName name="_________ooh2_2_1" localSheetId="0" hidden="1">{#N/A,#N/A,FALSE,"Sheet1 (2)"}</definedName>
    <definedName name="_________ooh2_2_1" hidden="1">{#N/A,#N/A,FALSE,"Sheet1 (2)"}</definedName>
    <definedName name="_________ooh2_2_2" localSheetId="0" hidden="1">{#N/A,#N/A,FALSE,"Sheet1 (2)"}</definedName>
    <definedName name="_________ooh2_2_2" hidden="1">{#N/A,#N/A,FALSE,"Sheet1 (2)"}</definedName>
    <definedName name="_________ooh2_3" localSheetId="0" hidden="1">{#N/A,#N/A,FALSE,"Sheet1 (2)"}</definedName>
    <definedName name="_________ooh2_3" hidden="1">{#N/A,#N/A,FALSE,"Sheet1 (2)"}</definedName>
    <definedName name="_________ooh2_4" localSheetId="0" hidden="1">{#N/A,#N/A,FALSE,"Sheet1 (2)"}</definedName>
    <definedName name="_________ooh2_4" hidden="1">{#N/A,#N/A,FALSE,"Sheet1 (2)"}</definedName>
    <definedName name="_________per3">#REF!</definedName>
    <definedName name="_________piv3">#REF!</definedName>
    <definedName name="_________sr200000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sum1">#REF!</definedName>
    <definedName name="_________sum2">#REF!</definedName>
    <definedName name="_________TOP2000">#REF!</definedName>
    <definedName name="_________TOP97">#REF!</definedName>
    <definedName name="_________TOP98">#REF!</definedName>
    <definedName name="_________TOP99">#REF!</definedName>
    <definedName name="_________TOZ2">#REF!</definedName>
    <definedName name="_________TRT1">#REF!</definedName>
    <definedName name="_________TV8">#REF!</definedName>
    <definedName name="_________TV9598">[8]Makro1!$A$1</definedName>
    <definedName name="_________xlfn.BAHTTEXT" hidden="1">#NAME?</definedName>
    <definedName name="________abc1">[7]!________abc1</definedName>
    <definedName name="________all1">#REF!</definedName>
    <definedName name="________der1">#REF!</definedName>
    <definedName name="________der2">#REF!</definedName>
    <definedName name="________IV90000">[2]TUBORG!#REF!</definedName>
    <definedName name="________ka7">#REF!</definedName>
    <definedName name="________KAN7">#REF!</definedName>
    <definedName name="________KR11">[4]Foglio1!#REF!</definedName>
    <definedName name="________KR12">[4]Foglio1!#REF!</definedName>
    <definedName name="________KR13">[4]Foglio1!#REF!</definedName>
    <definedName name="________KR14">[4]Foglio1!#REF!</definedName>
    <definedName name="________KR15">[4]Foglio1!#REF!</definedName>
    <definedName name="________KR16">[4]Foglio1!#REF!</definedName>
    <definedName name="________KR17">[4]Foglio1!#REF!</definedName>
    <definedName name="________KR18">[4]Foglio1!#REF!</definedName>
    <definedName name="________KR19">[4]Foglio1!#REF!</definedName>
    <definedName name="________KRF10">[4]Foglio1!#REF!</definedName>
    <definedName name="________KRF6">[4]Foglio1!#REF!</definedName>
    <definedName name="________KRF7">[4]Foglio1!#REF!</definedName>
    <definedName name="________KRF8">[4]Foglio1!#REF!</definedName>
    <definedName name="________KRF9">[4]Foglio1!#REF!</definedName>
    <definedName name="________KUR2">#REF!</definedName>
    <definedName name="________ME1">#REF!</definedName>
    <definedName name="________ME2">#REF!</definedName>
    <definedName name="________ME3">#REF!</definedName>
    <definedName name="________ME4">#REF!</definedName>
    <definedName name="________ME5">#REF!</definedName>
    <definedName name="________ME6">#REF!</definedName>
    <definedName name="________ME7">#REF!</definedName>
    <definedName name="________ME8">#REF!</definedName>
    <definedName name="________ooh2" localSheetId="0" hidden="1">{#N/A,#N/A,FALSE,"Sheet1 (2)"}</definedName>
    <definedName name="________ooh2" hidden="1">{#N/A,#N/A,FALSE,"Sheet1 (2)"}</definedName>
    <definedName name="________ooh2_1" localSheetId="0" hidden="1">{#N/A,#N/A,FALSE,"Sheet1 (2)"}</definedName>
    <definedName name="________ooh2_1" hidden="1">{#N/A,#N/A,FALSE,"Sheet1 (2)"}</definedName>
    <definedName name="________ooh2_1_1" localSheetId="0" hidden="1">{#N/A,#N/A,FALSE,"Sheet1 (2)"}</definedName>
    <definedName name="________ooh2_1_1" hidden="1">{#N/A,#N/A,FALSE,"Sheet1 (2)"}</definedName>
    <definedName name="________ooh2_1_2" localSheetId="0" hidden="1">{#N/A,#N/A,FALSE,"Sheet1 (2)"}</definedName>
    <definedName name="________ooh2_1_2" hidden="1">{#N/A,#N/A,FALSE,"Sheet1 (2)"}</definedName>
    <definedName name="________ooh2_1_3" localSheetId="0" hidden="1">{#N/A,#N/A,FALSE,"Sheet1 (2)"}</definedName>
    <definedName name="________ooh2_1_3" hidden="1">{#N/A,#N/A,FALSE,"Sheet1 (2)"}</definedName>
    <definedName name="________ooh2_2" localSheetId="0" hidden="1">{#N/A,#N/A,FALSE,"Sheet1 (2)"}</definedName>
    <definedName name="________ooh2_2" hidden="1">{#N/A,#N/A,FALSE,"Sheet1 (2)"}</definedName>
    <definedName name="________ooh2_2_1" localSheetId="0" hidden="1">{#N/A,#N/A,FALSE,"Sheet1 (2)"}</definedName>
    <definedName name="________ooh2_2_1" hidden="1">{#N/A,#N/A,FALSE,"Sheet1 (2)"}</definedName>
    <definedName name="________ooh2_2_2" localSheetId="0" hidden="1">{#N/A,#N/A,FALSE,"Sheet1 (2)"}</definedName>
    <definedName name="________ooh2_2_2" hidden="1">{#N/A,#N/A,FALSE,"Sheet1 (2)"}</definedName>
    <definedName name="________ooh2_3" localSheetId="0" hidden="1">{#N/A,#N/A,FALSE,"Sheet1 (2)"}</definedName>
    <definedName name="________ooh2_3" hidden="1">{#N/A,#N/A,FALSE,"Sheet1 (2)"}</definedName>
    <definedName name="________ooh2_4" localSheetId="0" hidden="1">{#N/A,#N/A,FALSE,"Sheet1 (2)"}</definedName>
    <definedName name="________ooh2_4" hidden="1">{#N/A,#N/A,FALSE,"Sheet1 (2)"}</definedName>
    <definedName name="________per3">#REF!</definedName>
    <definedName name="________piv3">#REF!</definedName>
    <definedName name="________sum1">#REF!</definedName>
    <definedName name="________sum2">#REF!</definedName>
    <definedName name="________TOP2000">#REF!</definedName>
    <definedName name="________TOP97">#REF!</definedName>
    <definedName name="________TOP98">#REF!</definedName>
    <definedName name="________TOP99">#REF!</definedName>
    <definedName name="________TOZ2">#REF!</definedName>
    <definedName name="________TRT1">#REF!</definedName>
    <definedName name="________TV8">#REF!</definedName>
    <definedName name="________TV9598">[8]Makro1!$A$1</definedName>
    <definedName name="________xlfn.BAHTTEXT" hidden="1">#NAME?</definedName>
    <definedName name="_______A33">[10]Foglio1!#REF!</definedName>
    <definedName name="_______abc1">[7]!_______abc1</definedName>
    <definedName name="_______all1">#REF!</definedName>
    <definedName name="_______DEF2" localSheetId="0">{"BRAND",0,"Auto","Auto","";"CTY",0,"Auto","Auto",""}</definedName>
    <definedName name="_______DEF2">{"BRAND",0,"Auto","Auto","";"CTY",0,"Auto","Auto",""}</definedName>
    <definedName name="_______der1">#REF!</definedName>
    <definedName name="_______der2">#REF!</definedName>
    <definedName name="_______GHI2" localSheetId="0">{"VOLUME","SUM(VOLUME)","YNNNN",FALSE}</definedName>
    <definedName name="_______GHI2">{"VOLUME","SUM(VOLUME)","YNNNN",FALSE}</definedName>
    <definedName name="_______IV90000">[2]TUBORG!#REF!</definedName>
    <definedName name="_______Jim1" localSheetId="0" hidden="1">{#N/A,#N/A,FALSE,"L&amp;M Performance";#N/A,#N/A,FALSE,"Brand Performance";#N/A,#N/A,FALSE,"Marlboro Performance"}</definedName>
    <definedName name="_______Jim1" hidden="1">{#N/A,#N/A,FALSE,"L&amp;M Performance";#N/A,#N/A,FALSE,"Brand Performance";#N/A,#N/A,FALSE,"Marlboro Performance"}</definedName>
    <definedName name="_______jim2" localSheetId="0" hidden="1">{#N/A,#N/A,FALSE,"L&amp;M Performance";#N/A,#N/A,FALSE,"Brand Performance";#N/A,#N/A,FALSE,"Marlboro Performance"}</definedName>
    <definedName name="_______jim2" hidden="1">{#N/A,#N/A,FALSE,"L&amp;M Performance";#N/A,#N/A,FALSE,"Brand Performance";#N/A,#N/A,FALSE,"Marlboro Performance"}</definedName>
    <definedName name="_______ka7">#REF!</definedName>
    <definedName name="_______KAN7">[1]Kategoriler!$A$227:$B$260</definedName>
    <definedName name="_______key2" hidden="1">#REF!</definedName>
    <definedName name="_______KR11">[4]Foglio1!#REF!</definedName>
    <definedName name="_______KR12">[4]Foglio1!#REF!</definedName>
    <definedName name="_______KR13">[4]Foglio1!#REF!</definedName>
    <definedName name="_______KR14">[4]Foglio1!#REF!</definedName>
    <definedName name="_______KR15">[4]Foglio1!#REF!</definedName>
    <definedName name="_______KR16">[4]Foglio1!#REF!</definedName>
    <definedName name="_______KR17">[4]Foglio1!#REF!</definedName>
    <definedName name="_______KR18">[4]Foglio1!#REF!</definedName>
    <definedName name="_______KR19">[4]Foglio1!#REF!</definedName>
    <definedName name="_______KRF10">[4]Foglio1!#REF!</definedName>
    <definedName name="_______KRF6">[4]Foglio1!#REF!</definedName>
    <definedName name="_______KRF7">[4]Foglio1!#REF!</definedName>
    <definedName name="_______KRF8">[4]Foglio1!#REF!</definedName>
    <definedName name="_______KRF9">[4]Foglio1!#REF!</definedName>
    <definedName name="_______KUR2">#REF!</definedName>
    <definedName name="_______ME1">#REF!</definedName>
    <definedName name="_______ME2">#REF!</definedName>
    <definedName name="_______ME3">#REF!</definedName>
    <definedName name="_______ME4">#REF!</definedName>
    <definedName name="_______ME5">#REF!</definedName>
    <definedName name="_______ME6">#REF!</definedName>
    <definedName name="_______ME7">#REF!</definedName>
    <definedName name="_______ME8">#REF!</definedName>
    <definedName name="_______NBV2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OB03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ooh2" localSheetId="0" hidden="1">{#N/A,#N/A,FALSE,"Sheet1 (2)"}</definedName>
    <definedName name="_______ooh2" hidden="1">{#N/A,#N/A,FALSE,"Sheet1 (2)"}</definedName>
    <definedName name="_______ooh2_1" localSheetId="0" hidden="1">{#N/A,#N/A,FALSE,"Sheet1 (2)"}</definedName>
    <definedName name="_______ooh2_1" hidden="1">{#N/A,#N/A,FALSE,"Sheet1 (2)"}</definedName>
    <definedName name="_______ooh2_1_1" localSheetId="0" hidden="1">{#N/A,#N/A,FALSE,"Sheet1 (2)"}</definedName>
    <definedName name="_______ooh2_1_1" hidden="1">{#N/A,#N/A,FALSE,"Sheet1 (2)"}</definedName>
    <definedName name="_______ooh2_1_2" localSheetId="0" hidden="1">{#N/A,#N/A,FALSE,"Sheet1 (2)"}</definedName>
    <definedName name="_______ooh2_1_2" hidden="1">{#N/A,#N/A,FALSE,"Sheet1 (2)"}</definedName>
    <definedName name="_______ooh2_1_3" localSheetId="0" hidden="1">{#N/A,#N/A,FALSE,"Sheet1 (2)"}</definedName>
    <definedName name="_______ooh2_1_3" hidden="1">{#N/A,#N/A,FALSE,"Sheet1 (2)"}</definedName>
    <definedName name="_______ooh2_2" localSheetId="0" hidden="1">{#N/A,#N/A,FALSE,"Sheet1 (2)"}</definedName>
    <definedName name="_______ooh2_2" hidden="1">{#N/A,#N/A,FALSE,"Sheet1 (2)"}</definedName>
    <definedName name="_______ooh2_2_1" localSheetId="0" hidden="1">{#N/A,#N/A,FALSE,"Sheet1 (2)"}</definedName>
    <definedName name="_______ooh2_2_1" hidden="1">{#N/A,#N/A,FALSE,"Sheet1 (2)"}</definedName>
    <definedName name="_______ooh2_2_2" localSheetId="0" hidden="1">{#N/A,#N/A,FALSE,"Sheet1 (2)"}</definedName>
    <definedName name="_______ooh2_2_2" hidden="1">{#N/A,#N/A,FALSE,"Sheet1 (2)"}</definedName>
    <definedName name="_______ooh2_3" localSheetId="0" hidden="1">{#N/A,#N/A,FALSE,"Sheet1 (2)"}</definedName>
    <definedName name="_______ooh2_3" hidden="1">{#N/A,#N/A,FALSE,"Sheet1 (2)"}</definedName>
    <definedName name="_______ooh2_4" localSheetId="0" hidden="1">{#N/A,#N/A,FALSE,"Sheet1 (2)"}</definedName>
    <definedName name="_______ooh2_4" hidden="1">{#N/A,#N/A,FALSE,"Sheet1 (2)"}</definedName>
    <definedName name="_______per3">#REF!</definedName>
    <definedName name="_______piv3">#REF!</definedName>
    <definedName name="_______sr200000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sum1">#REF!</definedName>
    <definedName name="_______sum2">#REF!</definedName>
    <definedName name="_______TOP2000">#REF!</definedName>
    <definedName name="_______TOP97">#REF!</definedName>
    <definedName name="_______TOP98">#REF!</definedName>
    <definedName name="_______TOP99">#REF!</definedName>
    <definedName name="_______TOZ2">#REF!</definedName>
    <definedName name="_______TRT1">#REF!</definedName>
    <definedName name="_______TV8">#REF!</definedName>
    <definedName name="_______TV9598">[8]Makro1!$A$1</definedName>
    <definedName name="_______xlfn.BAHTTEXT" hidden="1">#NAME?</definedName>
    <definedName name="______2_?l_?t">[11]Ekim!#REF!</definedName>
    <definedName name="______abc1">[7]!______abc1</definedName>
    <definedName name="______all1">#REF!</definedName>
    <definedName name="______der1">#REF!</definedName>
    <definedName name="______der2">#REF!</definedName>
    <definedName name="______IV90000">[2]TUBORG!#REF!</definedName>
    <definedName name="______ka7">#REF!</definedName>
    <definedName name="______KAN7">[1]Kategoriler!$A$227:$B$260</definedName>
    <definedName name="______key11" hidden="1">#REF!</definedName>
    <definedName name="______key2" hidden="1">#REF!</definedName>
    <definedName name="______key3" hidden="1">#REF!</definedName>
    <definedName name="______key5" hidden="1">#REF!</definedName>
    <definedName name="______key55" hidden="1">#REF!</definedName>
    <definedName name="______key66" hidden="1">#REF!</definedName>
    <definedName name="______key8" hidden="1">#REF!</definedName>
    <definedName name="______key9" hidden="1">#REF!</definedName>
    <definedName name="______KR11">[4]Foglio1!#REF!</definedName>
    <definedName name="______KR12">[4]Foglio1!#REF!</definedName>
    <definedName name="______KR13">[4]Foglio1!#REF!</definedName>
    <definedName name="______KR14">[4]Foglio1!#REF!</definedName>
    <definedName name="______KR15">[4]Foglio1!#REF!</definedName>
    <definedName name="______KR16">[4]Foglio1!#REF!</definedName>
    <definedName name="______KR17">[4]Foglio1!#REF!</definedName>
    <definedName name="______KR18">[4]Foglio1!#REF!</definedName>
    <definedName name="______KR19">[4]Foglio1!#REF!</definedName>
    <definedName name="______KRF10">[4]Foglio1!#REF!</definedName>
    <definedName name="______KRF6">[4]Foglio1!#REF!</definedName>
    <definedName name="______KRF7">[4]Foglio1!#REF!</definedName>
    <definedName name="______KRF8">[4]Foglio1!#REF!</definedName>
    <definedName name="______KRF9">[4]Foglio1!#REF!</definedName>
    <definedName name="______kry6" hidden="1">#REF!</definedName>
    <definedName name="______KUR2">#REF!</definedName>
    <definedName name="______ky2" hidden="1">#REF!</definedName>
    <definedName name="______ME1">#REF!</definedName>
    <definedName name="______ME2">#REF!</definedName>
    <definedName name="______ME3">#REF!</definedName>
    <definedName name="______ME4">#REF!</definedName>
    <definedName name="______ME5">#REF!</definedName>
    <definedName name="______ME6">#REF!</definedName>
    <definedName name="______ME7">#REF!</definedName>
    <definedName name="______ME8">#REF!</definedName>
    <definedName name="______ooh2" localSheetId="0" hidden="1">{#N/A,#N/A,FALSE,"Sheet1 (2)"}</definedName>
    <definedName name="______ooh2" hidden="1">{#N/A,#N/A,FALSE,"Sheet1 (2)"}</definedName>
    <definedName name="______ooh2_1" localSheetId="0" hidden="1">{#N/A,#N/A,FALSE,"Sheet1 (2)"}</definedName>
    <definedName name="______ooh2_1" hidden="1">{#N/A,#N/A,FALSE,"Sheet1 (2)"}</definedName>
    <definedName name="______ooh2_1_1" localSheetId="0" hidden="1">{#N/A,#N/A,FALSE,"Sheet1 (2)"}</definedName>
    <definedName name="______ooh2_1_1" hidden="1">{#N/A,#N/A,FALSE,"Sheet1 (2)"}</definedName>
    <definedName name="______ooh2_1_2" localSheetId="0" hidden="1">{#N/A,#N/A,FALSE,"Sheet1 (2)"}</definedName>
    <definedName name="______ooh2_1_2" hidden="1">{#N/A,#N/A,FALSE,"Sheet1 (2)"}</definedName>
    <definedName name="______ooh2_1_3" localSheetId="0" hidden="1">{#N/A,#N/A,FALSE,"Sheet1 (2)"}</definedName>
    <definedName name="______ooh2_1_3" hidden="1">{#N/A,#N/A,FALSE,"Sheet1 (2)"}</definedName>
    <definedName name="______ooh2_2" localSheetId="0" hidden="1">{#N/A,#N/A,FALSE,"Sheet1 (2)"}</definedName>
    <definedName name="______ooh2_2" hidden="1">{#N/A,#N/A,FALSE,"Sheet1 (2)"}</definedName>
    <definedName name="______ooh2_2_1" localSheetId="0" hidden="1">{#N/A,#N/A,FALSE,"Sheet1 (2)"}</definedName>
    <definedName name="______ooh2_2_1" hidden="1">{#N/A,#N/A,FALSE,"Sheet1 (2)"}</definedName>
    <definedName name="______ooh2_2_2" localSheetId="0" hidden="1">{#N/A,#N/A,FALSE,"Sheet1 (2)"}</definedName>
    <definedName name="______ooh2_2_2" hidden="1">{#N/A,#N/A,FALSE,"Sheet1 (2)"}</definedName>
    <definedName name="______ooh2_3" localSheetId="0" hidden="1">{#N/A,#N/A,FALSE,"Sheet1 (2)"}</definedName>
    <definedName name="______ooh2_3" hidden="1">{#N/A,#N/A,FALSE,"Sheet1 (2)"}</definedName>
    <definedName name="______ooh2_4" localSheetId="0" hidden="1">{#N/A,#N/A,FALSE,"Sheet1 (2)"}</definedName>
    <definedName name="______ooh2_4" hidden="1">{#N/A,#N/A,FALSE,"Sheet1 (2)"}</definedName>
    <definedName name="______per3">#REF!</definedName>
    <definedName name="______piv3">#REF!</definedName>
    <definedName name="______sum1">#REF!</definedName>
    <definedName name="______sum2">#REF!</definedName>
    <definedName name="______TOP2000">#REF!</definedName>
    <definedName name="______TOP97">#REF!</definedName>
    <definedName name="______TOP98">#REF!</definedName>
    <definedName name="______TOP99">#REF!</definedName>
    <definedName name="______TOZ2">#REF!</definedName>
    <definedName name="______TRT1">#REF!</definedName>
    <definedName name="______TV8">#REF!</definedName>
    <definedName name="______TV9598">[8]Makro1!$A$1</definedName>
    <definedName name="______xlfn.BAHTTEXT" hidden="1">#NAME?</definedName>
    <definedName name="_____1_?l_?t">[11]Ekim!#REF!</definedName>
    <definedName name="_____2_?l_?t">[12]Ekim!#REF!</definedName>
    <definedName name="_____A33">[10]Foglio1!#REF!</definedName>
    <definedName name="_____abc1" localSheetId="0">'Haziran Gerçekleşen Plan'!_____abc1</definedName>
    <definedName name="_____abc1">[0]!_____abc1</definedName>
    <definedName name="_____all1">#REF!</definedName>
    <definedName name="_____DEF2" localSheetId="0">{"BRAND",0,"Auto","Auto","";"CTY",0,"Auto","Auto",""}</definedName>
    <definedName name="_____DEF2">{"BRAND",0,"Auto","Auto","";"CTY",0,"Auto","Auto",""}</definedName>
    <definedName name="_____der1">#REF!</definedName>
    <definedName name="_____der2">#REF!</definedName>
    <definedName name="_____GHI2" localSheetId="0">{"VOLUME","SUM(VOLUME)","YNNNN",FALSE}</definedName>
    <definedName name="_____GHI2">{"VOLUME","SUM(VOLUME)","YNNNN",FALSE}</definedName>
    <definedName name="_____IV90000">[2]TUBORG!#REF!</definedName>
    <definedName name="_____Jim1" localSheetId="0" hidden="1">{#N/A,#N/A,FALSE,"L&amp;M Performance";#N/A,#N/A,FALSE,"Brand Performance";#N/A,#N/A,FALSE,"Marlboro Performance"}</definedName>
    <definedName name="_____Jim1" hidden="1">{#N/A,#N/A,FALSE,"L&amp;M Performance";#N/A,#N/A,FALSE,"Brand Performance";#N/A,#N/A,FALSE,"Marlboro Performance"}</definedName>
    <definedName name="_____jim2" localSheetId="0" hidden="1">{#N/A,#N/A,FALSE,"L&amp;M Performance";#N/A,#N/A,FALSE,"Brand Performance";#N/A,#N/A,FALSE,"Marlboro Performance"}</definedName>
    <definedName name="_____jim2" hidden="1">{#N/A,#N/A,FALSE,"L&amp;M Performance";#N/A,#N/A,FALSE,"Brand Performance";#N/A,#N/A,FALSE,"Marlboro Performance"}</definedName>
    <definedName name="_____ka7">#REF!</definedName>
    <definedName name="_____KAN7">[1]Kategoriler!$A$227:$B$260</definedName>
    <definedName name="_____key11" hidden="1">#REF!</definedName>
    <definedName name="_____key2" hidden="1">#REF!</definedName>
    <definedName name="_____key3" hidden="1">#REF!</definedName>
    <definedName name="_____key5" hidden="1">#REF!</definedName>
    <definedName name="_____key55" hidden="1">#REF!</definedName>
    <definedName name="_____key66" hidden="1">#REF!</definedName>
    <definedName name="_____key8" hidden="1">#REF!</definedName>
    <definedName name="_____key9" hidden="1">#REF!</definedName>
    <definedName name="_____KR11">[4]Foglio1!#REF!</definedName>
    <definedName name="_____KR12">[4]Foglio1!#REF!</definedName>
    <definedName name="_____KR13">[4]Foglio1!#REF!</definedName>
    <definedName name="_____KR14">[4]Foglio1!#REF!</definedName>
    <definedName name="_____KR15">[4]Foglio1!#REF!</definedName>
    <definedName name="_____KR16">[4]Foglio1!#REF!</definedName>
    <definedName name="_____KR17">[4]Foglio1!#REF!</definedName>
    <definedName name="_____KR18">[4]Foglio1!#REF!</definedName>
    <definedName name="_____KR19">[4]Foglio1!#REF!</definedName>
    <definedName name="_____KRF10">[4]Foglio1!#REF!</definedName>
    <definedName name="_____KRF6">[4]Foglio1!#REF!</definedName>
    <definedName name="_____KRF7">[4]Foglio1!#REF!</definedName>
    <definedName name="_____KRF8">[4]Foglio1!#REF!</definedName>
    <definedName name="_____KRF9">[4]Foglio1!#REF!</definedName>
    <definedName name="_____kry6" hidden="1">#REF!</definedName>
    <definedName name="_____KUR2">#REF!</definedName>
    <definedName name="_____ky2" hidden="1">#REF!</definedName>
    <definedName name="_____ME1">#REF!</definedName>
    <definedName name="_____ME2">#REF!</definedName>
    <definedName name="_____ME3">#REF!</definedName>
    <definedName name="_____ME4">#REF!</definedName>
    <definedName name="_____ME5">#REF!</definedName>
    <definedName name="_____ME6">#REF!</definedName>
    <definedName name="_____ME7">#REF!</definedName>
    <definedName name="_____ME8">#REF!</definedName>
    <definedName name="_____NBV2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OB03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ooh2" localSheetId="0" hidden="1">{#N/A,#N/A,FALSE,"Sheet1 (2)"}</definedName>
    <definedName name="_____ooh2" hidden="1">{#N/A,#N/A,FALSE,"Sheet1 (2)"}</definedName>
    <definedName name="_____ooh2_1" localSheetId="0" hidden="1">{#N/A,#N/A,FALSE,"Sheet1 (2)"}</definedName>
    <definedName name="_____ooh2_1" hidden="1">{#N/A,#N/A,FALSE,"Sheet1 (2)"}</definedName>
    <definedName name="_____ooh2_1_1" localSheetId="0" hidden="1">{#N/A,#N/A,FALSE,"Sheet1 (2)"}</definedName>
    <definedName name="_____ooh2_1_1" hidden="1">{#N/A,#N/A,FALSE,"Sheet1 (2)"}</definedName>
    <definedName name="_____ooh2_1_2" localSheetId="0" hidden="1">{#N/A,#N/A,FALSE,"Sheet1 (2)"}</definedName>
    <definedName name="_____ooh2_1_2" hidden="1">{#N/A,#N/A,FALSE,"Sheet1 (2)"}</definedName>
    <definedName name="_____ooh2_1_3" localSheetId="0" hidden="1">{#N/A,#N/A,FALSE,"Sheet1 (2)"}</definedName>
    <definedName name="_____ooh2_1_3" hidden="1">{#N/A,#N/A,FALSE,"Sheet1 (2)"}</definedName>
    <definedName name="_____ooh2_2" localSheetId="0" hidden="1">{#N/A,#N/A,FALSE,"Sheet1 (2)"}</definedName>
    <definedName name="_____ooh2_2" hidden="1">{#N/A,#N/A,FALSE,"Sheet1 (2)"}</definedName>
    <definedName name="_____ooh2_2_1" localSheetId="0" hidden="1">{#N/A,#N/A,FALSE,"Sheet1 (2)"}</definedName>
    <definedName name="_____ooh2_2_1" hidden="1">{#N/A,#N/A,FALSE,"Sheet1 (2)"}</definedName>
    <definedName name="_____ooh2_2_2" localSheetId="0" hidden="1">{#N/A,#N/A,FALSE,"Sheet1 (2)"}</definedName>
    <definedName name="_____ooh2_2_2" hidden="1">{#N/A,#N/A,FALSE,"Sheet1 (2)"}</definedName>
    <definedName name="_____ooh2_3" localSheetId="0" hidden="1">{#N/A,#N/A,FALSE,"Sheet1 (2)"}</definedName>
    <definedName name="_____ooh2_3" hidden="1">{#N/A,#N/A,FALSE,"Sheet1 (2)"}</definedName>
    <definedName name="_____ooh2_4" localSheetId="0" hidden="1">{#N/A,#N/A,FALSE,"Sheet1 (2)"}</definedName>
    <definedName name="_____ooh2_4" hidden="1">{#N/A,#N/A,FALSE,"Sheet1 (2)"}</definedName>
    <definedName name="_____per3">#REF!</definedName>
    <definedName name="_____piv3">#REF!</definedName>
    <definedName name="_____sr200000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sum1">#REF!</definedName>
    <definedName name="_____sum2">#REF!</definedName>
    <definedName name="_____TOP2000">#REF!</definedName>
    <definedName name="_____TOP97">#REF!</definedName>
    <definedName name="_____TOP98">#REF!</definedName>
    <definedName name="_____TOP99">#REF!</definedName>
    <definedName name="_____TOZ2">#REF!</definedName>
    <definedName name="_____TRT1">#REF!</definedName>
    <definedName name="_____TV8">#REF!</definedName>
    <definedName name="_____TV9598">[8]Makro1!$A$1</definedName>
    <definedName name="_____xlfn.BAHTTEXT" hidden="1">#NAME?</definedName>
    <definedName name="____1_?l_?t">[12]Ekim!#REF!</definedName>
    <definedName name="____2_?l_?t">[12]Ekim!#REF!</definedName>
    <definedName name="____abc1" localSheetId="0">'Haziran Gerçekleşen Plan'!____abc1</definedName>
    <definedName name="____abc1">[0]!____abc1</definedName>
    <definedName name="____all1">#REF!</definedName>
    <definedName name="____der1">#REF!</definedName>
    <definedName name="____der2">#REF!</definedName>
    <definedName name="____e2" localSheetId="0" hidden="1">{"'Jan - March 2000'!$A$5:$J$46"}</definedName>
    <definedName name="____e2" hidden="1">{"'Jan - March 2000'!$A$5:$J$46"}</definedName>
    <definedName name="____e24" localSheetId="0" hidden="1">{"'Jan - March 2000'!$A$5:$J$46"}</definedName>
    <definedName name="____e24" hidden="1">{"'Jan - March 2000'!$A$5:$J$46"}</definedName>
    <definedName name="____e3" localSheetId="0" hidden="1">{"'Jan - March 2000'!$A$5:$J$46"}</definedName>
    <definedName name="____e3" hidden="1">{"'Jan - March 2000'!$A$5:$J$46"}</definedName>
    <definedName name="____e4" localSheetId="0" hidden="1">{"'Jan - March 2000'!$A$5:$J$46"}</definedName>
    <definedName name="____e4" hidden="1">{"'Jan - March 2000'!$A$5:$J$46"}</definedName>
    <definedName name="____e6" localSheetId="0" hidden="1">{"'Jan - March 2000'!$A$5:$J$46"}</definedName>
    <definedName name="____e6" hidden="1">{"'Jan - March 2000'!$A$5:$J$46"}</definedName>
    <definedName name="____IV90000">[2]TUBORG!#REF!</definedName>
    <definedName name="____ka7">#REF!</definedName>
    <definedName name="____KAN7">#REF!</definedName>
    <definedName name="____key11" hidden="1">#REF!</definedName>
    <definedName name="____key2" hidden="1">#REF!</definedName>
    <definedName name="____key3" hidden="1">#REF!</definedName>
    <definedName name="____key5" hidden="1">#REF!</definedName>
    <definedName name="____key55" hidden="1">#REF!</definedName>
    <definedName name="____key66" hidden="1">#REF!</definedName>
    <definedName name="____key8" hidden="1">#REF!</definedName>
    <definedName name="____key9" hidden="1">#REF!</definedName>
    <definedName name="____KR11">[4]Foglio1!#REF!</definedName>
    <definedName name="____KR12">[4]Foglio1!#REF!</definedName>
    <definedName name="____KR13">[4]Foglio1!#REF!</definedName>
    <definedName name="____KR14">[4]Foglio1!#REF!</definedName>
    <definedName name="____KR15">[4]Foglio1!#REF!</definedName>
    <definedName name="____KR16">[4]Foglio1!#REF!</definedName>
    <definedName name="____KR17">[4]Foglio1!#REF!</definedName>
    <definedName name="____KR18">[4]Foglio1!#REF!</definedName>
    <definedName name="____KR19">[4]Foglio1!#REF!</definedName>
    <definedName name="____KRF10">[4]Foglio1!#REF!</definedName>
    <definedName name="____KRF6">[4]Foglio1!#REF!</definedName>
    <definedName name="____KRF7">[4]Foglio1!#REF!</definedName>
    <definedName name="____KRF8">[4]Foglio1!#REF!</definedName>
    <definedName name="____KRF9">[4]Foglio1!#REF!</definedName>
    <definedName name="____kry6" hidden="1">#REF!</definedName>
    <definedName name="____KUR2">#REF!</definedName>
    <definedName name="____ky2" hidden="1">#REF!</definedName>
    <definedName name="____ME1">#REF!</definedName>
    <definedName name="____ME2">#REF!</definedName>
    <definedName name="____ME3">#REF!</definedName>
    <definedName name="____ME4">#REF!</definedName>
    <definedName name="____ME5">#REF!</definedName>
    <definedName name="____ME6">#REF!</definedName>
    <definedName name="____ME7">#REF!</definedName>
    <definedName name="____ME8">#REF!</definedName>
    <definedName name="____ooh2" localSheetId="0" hidden="1">{#N/A,#N/A,FALSE,"Sheet1 (2)"}</definedName>
    <definedName name="____ooh2" hidden="1">{#N/A,#N/A,FALSE,"Sheet1 (2)"}</definedName>
    <definedName name="____ooh2_1" localSheetId="0" hidden="1">{#N/A,#N/A,FALSE,"Sheet1 (2)"}</definedName>
    <definedName name="____ooh2_1" hidden="1">{#N/A,#N/A,FALSE,"Sheet1 (2)"}</definedName>
    <definedName name="____ooh2_1_1" localSheetId="0" hidden="1">{#N/A,#N/A,FALSE,"Sheet1 (2)"}</definedName>
    <definedName name="____ooh2_1_1" hidden="1">{#N/A,#N/A,FALSE,"Sheet1 (2)"}</definedName>
    <definedName name="____ooh2_1_2" localSheetId="0" hidden="1">{#N/A,#N/A,FALSE,"Sheet1 (2)"}</definedName>
    <definedName name="____ooh2_1_2" hidden="1">{#N/A,#N/A,FALSE,"Sheet1 (2)"}</definedName>
    <definedName name="____ooh2_1_3" localSheetId="0" hidden="1">{#N/A,#N/A,FALSE,"Sheet1 (2)"}</definedName>
    <definedName name="____ooh2_1_3" hidden="1">{#N/A,#N/A,FALSE,"Sheet1 (2)"}</definedName>
    <definedName name="____ooh2_2" localSheetId="0" hidden="1">{#N/A,#N/A,FALSE,"Sheet1 (2)"}</definedName>
    <definedName name="____ooh2_2" hidden="1">{#N/A,#N/A,FALSE,"Sheet1 (2)"}</definedName>
    <definedName name="____ooh2_2_1" localSheetId="0" hidden="1">{#N/A,#N/A,FALSE,"Sheet1 (2)"}</definedName>
    <definedName name="____ooh2_2_1" hidden="1">{#N/A,#N/A,FALSE,"Sheet1 (2)"}</definedName>
    <definedName name="____ooh2_2_2" localSheetId="0" hidden="1">{#N/A,#N/A,FALSE,"Sheet1 (2)"}</definedName>
    <definedName name="____ooh2_2_2" hidden="1">{#N/A,#N/A,FALSE,"Sheet1 (2)"}</definedName>
    <definedName name="____ooh2_3" localSheetId="0" hidden="1">{#N/A,#N/A,FALSE,"Sheet1 (2)"}</definedName>
    <definedName name="____ooh2_3" hidden="1">{#N/A,#N/A,FALSE,"Sheet1 (2)"}</definedName>
    <definedName name="____ooh2_4" localSheetId="0" hidden="1">{#N/A,#N/A,FALSE,"Sheet1 (2)"}</definedName>
    <definedName name="____ooh2_4" hidden="1">{#N/A,#N/A,FALSE,"Sheet1 (2)"}</definedName>
    <definedName name="____per3">#REF!</definedName>
    <definedName name="____piv3">#REF!</definedName>
    <definedName name="____sum1">#REF!</definedName>
    <definedName name="____sum2">#REF!</definedName>
    <definedName name="____TOP2000">#REF!</definedName>
    <definedName name="____TOP97">#REF!</definedName>
    <definedName name="____TOP98">#REF!</definedName>
    <definedName name="____TOP99">#REF!</definedName>
    <definedName name="____TOZ2">#REF!</definedName>
    <definedName name="____TRT1">#REF!</definedName>
    <definedName name="____TV8">#REF!</definedName>
    <definedName name="____TV9598">[8]Makro1!$A$1</definedName>
    <definedName name="____x2" localSheetId="0" hidden="1">{"'Jan - March 2000'!$A$5:$J$46"}</definedName>
    <definedName name="____x2" hidden="1">{"'Jan - March 2000'!$A$5:$J$46"}</definedName>
    <definedName name="____x3" localSheetId="0" hidden="1">{"'Jan - March 2000'!$A$5:$J$46"}</definedName>
    <definedName name="____x3" hidden="1">{"'Jan - March 2000'!$A$5:$J$46"}</definedName>
    <definedName name="____x4" localSheetId="0" hidden="1">{"'Jan - March 2000'!$A$5:$J$46"}</definedName>
    <definedName name="____x4" hidden="1">{"'Jan - March 2000'!$A$5:$J$46"}</definedName>
    <definedName name="____x5" localSheetId="0" hidden="1">{"'Jan - March 2000'!$A$5:$J$46"}</definedName>
    <definedName name="____x5" hidden="1">{"'Jan - March 2000'!$A$5:$J$46"}</definedName>
    <definedName name="____x6" localSheetId="0" hidden="1">{"'Jan - March 2000'!$A$5:$J$46"}</definedName>
    <definedName name="____x6" hidden="1">{"'Jan - March 2000'!$A$5:$J$46"}</definedName>
    <definedName name="____x8" localSheetId="0" hidden="1">{"'Jan - March 2000'!$A$5:$J$46"}</definedName>
    <definedName name="____x8" hidden="1">{"'Jan - March 2000'!$A$5:$J$46"}</definedName>
    <definedName name="____xlfn.BAHTTEXT" hidden="1">#NAME?</definedName>
    <definedName name="___1_?l_?t">[12]Ekim!#REF!</definedName>
    <definedName name="___2_?l_?t">[13]Ekim!#REF!</definedName>
    <definedName name="___4∏l_Ωt">'[14]Hasar Hattı'!#REF!</definedName>
    <definedName name="___A33">[10]Foglio1!#REF!</definedName>
    <definedName name="___abc1" localSheetId="0">'Haziran Gerçekleşen Plan'!___abc1</definedName>
    <definedName name="___abc1">[0]!___abc1</definedName>
    <definedName name="___all1">#REF!</definedName>
    <definedName name="___CLP2" localSheetId="0" hidden="1">{#N/A,#N/A,FALSE,"Sheet1 (2)"}</definedName>
    <definedName name="___CLP2" hidden="1">{#N/A,#N/A,FALSE,"Sheet1 (2)"}</definedName>
    <definedName name="___DEF2" localSheetId="0">{"BRAND",0,"Auto","Auto","";"CTY",0,"Auto","Auto",""}</definedName>
    <definedName name="___DEF2">{"BRAND",0,"Auto","Auto","";"CTY",0,"Auto","Auto",""}</definedName>
    <definedName name="___der1">#REF!</definedName>
    <definedName name="___der2">#REF!</definedName>
    <definedName name="___e2" localSheetId="0" hidden="1">{"'Jan - March 2000'!$A$5:$J$46"}</definedName>
    <definedName name="___e2" hidden="1">{"'Jan - March 2000'!$A$5:$J$46"}</definedName>
    <definedName name="___e24" localSheetId="0" hidden="1">{"'Jan - March 2000'!$A$5:$J$46"}</definedName>
    <definedName name="___e24" hidden="1">{"'Jan - March 2000'!$A$5:$J$46"}</definedName>
    <definedName name="___e3" localSheetId="0" hidden="1">{"'Jan - March 2000'!$A$5:$J$46"}</definedName>
    <definedName name="___e3" hidden="1">{"'Jan - March 2000'!$A$5:$J$46"}</definedName>
    <definedName name="___e4" localSheetId="0" hidden="1">{"'Jan - March 2000'!$A$5:$J$46"}</definedName>
    <definedName name="___e4" hidden="1">{"'Jan - March 2000'!$A$5:$J$46"}</definedName>
    <definedName name="___e6" localSheetId="0" hidden="1">{"'Jan - March 2000'!$A$5:$J$46"}</definedName>
    <definedName name="___e6" hidden="1">{"'Jan - March 2000'!$A$5:$J$46"}</definedName>
    <definedName name="___GHI2" localSheetId="0">{"VOLUME","SUM(VOLUME)","YNNNN",FALSE}</definedName>
    <definedName name="___GHI2">{"VOLUME","SUM(VOLUME)","YNNNN",FALSE}</definedName>
    <definedName name="___IV90000">[2]TUBORG!#REF!</definedName>
    <definedName name="___Jim1" localSheetId="0" hidden="1">{#N/A,#N/A,FALSE,"L&amp;M Performance";#N/A,#N/A,FALSE,"Brand Performance";#N/A,#N/A,FALSE,"Marlboro Performance"}</definedName>
    <definedName name="___Jim1" hidden="1">{#N/A,#N/A,FALSE,"L&amp;M Performance";#N/A,#N/A,FALSE,"Brand Performance";#N/A,#N/A,FALSE,"Marlboro Performance"}</definedName>
    <definedName name="___jim2" localSheetId="0" hidden="1">{#N/A,#N/A,FALSE,"L&amp;M Performance";#N/A,#N/A,FALSE,"Brand Performance";#N/A,#N/A,FALSE,"Marlboro Performance"}</definedName>
    <definedName name="___jim2" hidden="1">{#N/A,#N/A,FALSE,"L&amp;M Performance";#N/A,#N/A,FALSE,"Brand Performance";#N/A,#N/A,FALSE,"Marlboro Performance"}</definedName>
    <definedName name="___ka7">#REF!</definedName>
    <definedName name="___KAN7">#REF!</definedName>
    <definedName name="___key11" hidden="1">#REF!</definedName>
    <definedName name="___key2" hidden="1">#REF!</definedName>
    <definedName name="___key3" hidden="1">#REF!</definedName>
    <definedName name="___key5" hidden="1">#REF!</definedName>
    <definedName name="___key55" hidden="1">#REF!</definedName>
    <definedName name="___key66" hidden="1">#REF!</definedName>
    <definedName name="___key8" hidden="1">#REF!</definedName>
    <definedName name="___key9" hidden="1">#REF!</definedName>
    <definedName name="___KR11">[4]Foglio1!#REF!</definedName>
    <definedName name="___KR12">[4]Foglio1!#REF!</definedName>
    <definedName name="___KR13">[4]Foglio1!#REF!</definedName>
    <definedName name="___KR14">[4]Foglio1!#REF!</definedName>
    <definedName name="___KR15">[4]Foglio1!#REF!</definedName>
    <definedName name="___KR16">[4]Foglio1!#REF!</definedName>
    <definedName name="___KR17">[4]Foglio1!#REF!</definedName>
    <definedName name="___KR18">[4]Foglio1!#REF!</definedName>
    <definedName name="___KR19">[4]Foglio1!#REF!</definedName>
    <definedName name="___KRF10">[4]Foglio1!#REF!</definedName>
    <definedName name="___KRF6">[4]Foglio1!#REF!</definedName>
    <definedName name="___KRF7">[4]Foglio1!#REF!</definedName>
    <definedName name="___KRF8">[4]Foglio1!#REF!</definedName>
    <definedName name="___KRF9">[4]Foglio1!#REF!</definedName>
    <definedName name="___kry6" hidden="1">#REF!</definedName>
    <definedName name="___KUR2">#REF!</definedName>
    <definedName name="___ky2" hidden="1">#REF!</definedName>
    <definedName name="___ME1">#REF!</definedName>
    <definedName name="___ME2">#REF!</definedName>
    <definedName name="___ME3">#REF!</definedName>
    <definedName name="___ME4">#REF!</definedName>
    <definedName name="___ME5">#REF!</definedName>
    <definedName name="___ME6">#REF!</definedName>
    <definedName name="___ME7">#REF!</definedName>
    <definedName name="___ME8">#REF!</definedName>
    <definedName name="___NBV2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OB03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ooh2" localSheetId="0" hidden="1">{#N/A,#N/A,FALSE,"Sheet1 (2)"}</definedName>
    <definedName name="___ooh2" hidden="1">{#N/A,#N/A,FALSE,"Sheet1 (2)"}</definedName>
    <definedName name="___ooh2_1" localSheetId="0" hidden="1">{#N/A,#N/A,FALSE,"Sheet1 (2)"}</definedName>
    <definedName name="___ooh2_1" hidden="1">{#N/A,#N/A,FALSE,"Sheet1 (2)"}</definedName>
    <definedName name="___ooh2_1_1" localSheetId="0" hidden="1">{#N/A,#N/A,FALSE,"Sheet1 (2)"}</definedName>
    <definedName name="___ooh2_1_1" hidden="1">{#N/A,#N/A,FALSE,"Sheet1 (2)"}</definedName>
    <definedName name="___ooh2_1_2" localSheetId="0" hidden="1">{#N/A,#N/A,FALSE,"Sheet1 (2)"}</definedName>
    <definedName name="___ooh2_1_2" hidden="1">{#N/A,#N/A,FALSE,"Sheet1 (2)"}</definedName>
    <definedName name="___ooh2_1_3" localSheetId="0" hidden="1">{#N/A,#N/A,FALSE,"Sheet1 (2)"}</definedName>
    <definedName name="___ooh2_1_3" hidden="1">{#N/A,#N/A,FALSE,"Sheet1 (2)"}</definedName>
    <definedName name="___ooh2_2" localSheetId="0" hidden="1">{#N/A,#N/A,FALSE,"Sheet1 (2)"}</definedName>
    <definedName name="___ooh2_2" hidden="1">{#N/A,#N/A,FALSE,"Sheet1 (2)"}</definedName>
    <definedName name="___ooh2_2_1" localSheetId="0" hidden="1">{#N/A,#N/A,FALSE,"Sheet1 (2)"}</definedName>
    <definedName name="___ooh2_2_1" hidden="1">{#N/A,#N/A,FALSE,"Sheet1 (2)"}</definedName>
    <definedName name="___ooh2_2_2" localSheetId="0" hidden="1">{#N/A,#N/A,FALSE,"Sheet1 (2)"}</definedName>
    <definedName name="___ooh2_2_2" hidden="1">{#N/A,#N/A,FALSE,"Sheet1 (2)"}</definedName>
    <definedName name="___ooh2_3" localSheetId="0" hidden="1">{#N/A,#N/A,FALSE,"Sheet1 (2)"}</definedName>
    <definedName name="___ooh2_3" hidden="1">{#N/A,#N/A,FALSE,"Sheet1 (2)"}</definedName>
    <definedName name="___ooh2_4" localSheetId="0" hidden="1">{#N/A,#N/A,FALSE,"Sheet1 (2)"}</definedName>
    <definedName name="___ooh2_4" hidden="1">{#N/A,#N/A,FALSE,"Sheet1 (2)"}</definedName>
    <definedName name="___per3">#REF!</definedName>
    <definedName name="___piv3">#REF!</definedName>
    <definedName name="___sr200000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sum1">#REF!</definedName>
    <definedName name="___sum2">#REF!</definedName>
    <definedName name="___TOP2000">#REF!</definedName>
    <definedName name="___TOP97">#REF!</definedName>
    <definedName name="___TOP98">#REF!</definedName>
    <definedName name="___TOP99">#REF!</definedName>
    <definedName name="___TOZ2">#REF!</definedName>
    <definedName name="___TRT1">#REF!</definedName>
    <definedName name="___TV8">#REF!</definedName>
    <definedName name="___TV9598">[8]Makro1!$A$1</definedName>
    <definedName name="___x2" localSheetId="0" hidden="1">{"'Jan - March 2000'!$A$5:$J$46"}</definedName>
    <definedName name="___x2" hidden="1">{"'Jan - March 2000'!$A$5:$J$46"}</definedName>
    <definedName name="___x3" localSheetId="0" hidden="1">{"'Jan - March 2000'!$A$5:$J$46"}</definedName>
    <definedName name="___x3" hidden="1">{"'Jan - March 2000'!$A$5:$J$46"}</definedName>
    <definedName name="___x4" localSheetId="0" hidden="1">{"'Jan - March 2000'!$A$5:$J$46"}</definedName>
    <definedName name="___x4" hidden="1">{"'Jan - March 2000'!$A$5:$J$46"}</definedName>
    <definedName name="___x5" localSheetId="0" hidden="1">{"'Jan - March 2000'!$A$5:$J$46"}</definedName>
    <definedName name="___x5" hidden="1">{"'Jan - March 2000'!$A$5:$J$46"}</definedName>
    <definedName name="___x6" localSheetId="0" hidden="1">{"'Jan - March 2000'!$A$5:$J$46"}</definedName>
    <definedName name="___x6" hidden="1">{"'Jan - March 2000'!$A$5:$J$46"}</definedName>
    <definedName name="___x8" localSheetId="0" hidden="1">{"'Jan - March 2000'!$A$5:$J$46"}</definedName>
    <definedName name="___x8" hidden="1">{"'Jan - March 2000'!$A$5:$J$46"}</definedName>
    <definedName name="___xlfn.BAHTTEXT">#NAME?</definedName>
    <definedName name="__1_?l_?t">[9]Ekim!#REF!</definedName>
    <definedName name="__10_∏l_Ωt">'[15]Hasar Hattı'!#REF!</definedName>
    <definedName name="__12____?l_?t">#N/A</definedName>
    <definedName name="__12∏l_Ωt">'[14]Hasar Hattı'!#REF!</definedName>
    <definedName name="__123Graph_A" hidden="1">'[16]IVA-DEC'!#REF!</definedName>
    <definedName name="__123Graph_B" hidden="1">'[16]IVA-DEC'!#REF!</definedName>
    <definedName name="__123Graph_C" hidden="1">'[16]IVA-DEC'!#REF!</definedName>
    <definedName name="__123Graph_D" hidden="1">'[16]IVA-DEC'!#REF!</definedName>
    <definedName name="__123Graph_E" hidden="1">'[16]IVA-DEC'!#REF!</definedName>
    <definedName name="__123Graph_F" hidden="1">'[16]IVA-DEC'!#REF!</definedName>
    <definedName name="__123Graph_X" hidden="1">[17]PIPELINE!$E$797:$E$814</definedName>
    <definedName name="__2_?l_?t">[13]Ekim!#REF!</definedName>
    <definedName name="__2∏l_Ωt">'[18]Hasar Hattı'!#REF!</definedName>
    <definedName name="__3_?l_?t">[19]Ekim!#REF!</definedName>
    <definedName name="__3_∏l_Ωt">'[15]Hasar Hattı'!#REF!</definedName>
    <definedName name="__4__?l_?t">[12]Ekim!#REF!</definedName>
    <definedName name="__4∏l_Ωt">'[14]Hasar Hattı'!#REF!</definedName>
    <definedName name="__5___?l_?t">[13]Ekim!#REF!</definedName>
    <definedName name="__6____?l_?t">[11]Ekim!#REF!</definedName>
    <definedName name="__7____∏l_Ωt">'[20]Hasar Hattı'!#REF!</definedName>
    <definedName name="__7_?l_?t">[13]Ekim!#REF!</definedName>
    <definedName name="__7∏l_Ωt">'[18]Hasar Hattı'!#REF!</definedName>
    <definedName name="__8___∏l_Ωt">'[14]Hasar Hattı'!#REF!</definedName>
    <definedName name="__9__∏l_Ωt">'[15]Hasar Hattı'!#REF!</definedName>
    <definedName name="__9_?l_?t">[13]Ekim!#REF!</definedName>
    <definedName name="__abc1" localSheetId="0">'Haziran Gerçekleşen Plan'!__abc1</definedName>
    <definedName name="__abc1">[0]!__abc1</definedName>
    <definedName name="__all1">#REF!</definedName>
    <definedName name="__CLP2" localSheetId="0" hidden="1">{#N/A,#N/A,FALSE,"Sheet1 (2)"}</definedName>
    <definedName name="__CLP2" hidden="1">{#N/A,#N/A,FALSE,"Sheet1 (2)"}</definedName>
    <definedName name="__DEF2" localSheetId="0">{"BRAND",0,"Auto","Auto","";"CTY",0,"Auto","Auto",""}</definedName>
    <definedName name="__DEF2">{"BRAND",0,"Auto","Auto","";"CTY",0,"Auto","Auto",""}</definedName>
    <definedName name="__der1">#REF!</definedName>
    <definedName name="__der2">#REF!</definedName>
    <definedName name="__e2" localSheetId="0" hidden="1">{"'Jan - March 2000'!$A$5:$J$46"}</definedName>
    <definedName name="__e2" hidden="1">{"'Jan - March 2000'!$A$5:$J$46"}</definedName>
    <definedName name="__e24" localSheetId="0" hidden="1">{"'Jan - March 2000'!$A$5:$J$46"}</definedName>
    <definedName name="__e24" hidden="1">{"'Jan - March 2000'!$A$5:$J$46"}</definedName>
    <definedName name="__e3" localSheetId="0" hidden="1">{"'Jan - March 2000'!$A$5:$J$46"}</definedName>
    <definedName name="__e3" hidden="1">{"'Jan - March 2000'!$A$5:$J$46"}</definedName>
    <definedName name="__e4" localSheetId="0" hidden="1">{"'Jan - March 2000'!$A$5:$J$46"}</definedName>
    <definedName name="__e4" hidden="1">{"'Jan - March 2000'!$A$5:$J$46"}</definedName>
    <definedName name="__e6" localSheetId="0" hidden="1">{"'Jan - March 2000'!$A$5:$J$46"}</definedName>
    <definedName name="__e6" hidden="1">{"'Jan - March 2000'!$A$5:$J$46"}</definedName>
    <definedName name="__EYEBLASTER__COLUMNS__">'[21]Proposal Details'!$A$3:$Q$3</definedName>
    <definedName name="__GHI2" localSheetId="0">{"VOLUME","SUM(VOLUME)","YNNNN",FALSE}</definedName>
    <definedName name="__GHI2">{"VOLUME","SUM(VOLUME)","YNNNN",FALSE}</definedName>
    <definedName name="__IV90000">[2]TUBORG!#REF!</definedName>
    <definedName name="__Jim1" localSheetId="0" hidden="1">{#N/A,#N/A,FALSE,"L&amp;M Performance";#N/A,#N/A,FALSE,"Brand Performance";#N/A,#N/A,FALSE,"Marlboro Performance"}</definedName>
    <definedName name="__Jim1" hidden="1">{#N/A,#N/A,FALSE,"L&amp;M Performance";#N/A,#N/A,FALSE,"Brand Performance";#N/A,#N/A,FALSE,"Marlboro Performance"}</definedName>
    <definedName name="__jim2" localSheetId="0" hidden="1">{#N/A,#N/A,FALSE,"L&amp;M Performance";#N/A,#N/A,FALSE,"Brand Performance";#N/A,#N/A,FALSE,"Marlboro Performance"}</definedName>
    <definedName name="__jim2" hidden="1">{#N/A,#N/A,FALSE,"L&amp;M Performance";#N/A,#N/A,FALSE,"Brand Performance";#N/A,#N/A,FALSE,"Marlboro Performance"}</definedName>
    <definedName name="__ka7">#REF!</definedName>
    <definedName name="__KAN7">#REF!</definedName>
    <definedName name="__key11" hidden="1">#REF!</definedName>
    <definedName name="__key2" hidden="1">#REF!</definedName>
    <definedName name="__key3" hidden="1">#REF!</definedName>
    <definedName name="__key5" hidden="1">#REF!</definedName>
    <definedName name="__key55" hidden="1">#REF!</definedName>
    <definedName name="__key66" hidden="1">#REF!</definedName>
    <definedName name="__key8" hidden="1">#REF!</definedName>
    <definedName name="__key9" hidden="1">#REF!</definedName>
    <definedName name="__KR11">[4]Foglio1!#REF!</definedName>
    <definedName name="__KR12">[4]Foglio1!#REF!</definedName>
    <definedName name="__KR13">[4]Foglio1!#REF!</definedName>
    <definedName name="__KR14">[4]Foglio1!#REF!</definedName>
    <definedName name="__KR15">[4]Foglio1!#REF!</definedName>
    <definedName name="__KR16">[4]Foglio1!#REF!</definedName>
    <definedName name="__KR17">[4]Foglio1!#REF!</definedName>
    <definedName name="__KR18">[4]Foglio1!#REF!</definedName>
    <definedName name="__KR19">[4]Foglio1!#REF!</definedName>
    <definedName name="__KRF10">[4]Foglio1!#REF!</definedName>
    <definedName name="__KRF6">[4]Foglio1!#REF!</definedName>
    <definedName name="__KRF7">[4]Foglio1!#REF!</definedName>
    <definedName name="__KRF8">[4]Foglio1!#REF!</definedName>
    <definedName name="__KRF9">[4]Foglio1!#REF!</definedName>
    <definedName name="__kry6" hidden="1">#REF!</definedName>
    <definedName name="__KUR2">#REF!</definedName>
    <definedName name="__ky2" hidden="1">#REF!</definedName>
    <definedName name="__ME1">#REF!</definedName>
    <definedName name="__ME2">#REF!</definedName>
    <definedName name="__ME3">#REF!</definedName>
    <definedName name="__ME4">#REF!</definedName>
    <definedName name="__ME5">#REF!</definedName>
    <definedName name="__ME6">#REF!</definedName>
    <definedName name="__ME7">#REF!</definedName>
    <definedName name="__ME8">#REF!</definedName>
    <definedName name="__NBV2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OB03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ooh2" localSheetId="0" hidden="1">{#N/A,#N/A,FALSE,"Sheet1 (2)"}</definedName>
    <definedName name="__ooh2" hidden="1">{#N/A,#N/A,FALSE,"Sheet1 (2)"}</definedName>
    <definedName name="__ooh2_1" localSheetId="0" hidden="1">{#N/A,#N/A,FALSE,"Sheet1 (2)"}</definedName>
    <definedName name="__ooh2_1" hidden="1">{#N/A,#N/A,FALSE,"Sheet1 (2)"}</definedName>
    <definedName name="__ooh2_1_1" localSheetId="0" hidden="1">{#N/A,#N/A,FALSE,"Sheet1 (2)"}</definedName>
    <definedName name="__ooh2_1_1" hidden="1">{#N/A,#N/A,FALSE,"Sheet1 (2)"}</definedName>
    <definedName name="__ooh2_1_2" localSheetId="0" hidden="1">{#N/A,#N/A,FALSE,"Sheet1 (2)"}</definedName>
    <definedName name="__ooh2_1_2" hidden="1">{#N/A,#N/A,FALSE,"Sheet1 (2)"}</definedName>
    <definedName name="__ooh2_1_3" localSheetId="0" hidden="1">{#N/A,#N/A,FALSE,"Sheet1 (2)"}</definedName>
    <definedName name="__ooh2_1_3" hidden="1">{#N/A,#N/A,FALSE,"Sheet1 (2)"}</definedName>
    <definedName name="__ooh2_2" localSheetId="0" hidden="1">{#N/A,#N/A,FALSE,"Sheet1 (2)"}</definedName>
    <definedName name="__ooh2_2" hidden="1">{#N/A,#N/A,FALSE,"Sheet1 (2)"}</definedName>
    <definedName name="__ooh2_2_1" localSheetId="0" hidden="1">{#N/A,#N/A,FALSE,"Sheet1 (2)"}</definedName>
    <definedName name="__ooh2_2_1" hidden="1">{#N/A,#N/A,FALSE,"Sheet1 (2)"}</definedName>
    <definedName name="__ooh2_2_2" localSheetId="0" hidden="1">{#N/A,#N/A,FALSE,"Sheet1 (2)"}</definedName>
    <definedName name="__ooh2_2_2" hidden="1">{#N/A,#N/A,FALSE,"Sheet1 (2)"}</definedName>
    <definedName name="__ooh2_3" localSheetId="0" hidden="1">{#N/A,#N/A,FALSE,"Sheet1 (2)"}</definedName>
    <definedName name="__ooh2_3" hidden="1">{#N/A,#N/A,FALSE,"Sheet1 (2)"}</definedName>
    <definedName name="__ooh2_4" localSheetId="0" hidden="1">{#N/A,#N/A,FALSE,"Sheet1 (2)"}</definedName>
    <definedName name="__ooh2_4" hidden="1">{#N/A,#N/A,FALSE,"Sheet1 (2)"}</definedName>
    <definedName name="__per3">#REF!</definedName>
    <definedName name="__piv3">#REF!</definedName>
    <definedName name="__sr200000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sum1">#REF!</definedName>
    <definedName name="__sum2">#REF!</definedName>
    <definedName name="__TOP2000">#REF!</definedName>
    <definedName name="__TOP97">#REF!</definedName>
    <definedName name="__TOP98">#REF!</definedName>
    <definedName name="__TOP99">#REF!</definedName>
    <definedName name="__TOZ2">#REF!</definedName>
    <definedName name="__TRT1">#REF!</definedName>
    <definedName name="__TV8">#REF!</definedName>
    <definedName name="__TV9598">[8]Makro1!$A$1</definedName>
    <definedName name="__x2" localSheetId="0" hidden="1">{"'Jan - March 2000'!$A$5:$J$46"}</definedName>
    <definedName name="__x2" hidden="1">{"'Jan - March 2000'!$A$5:$J$46"}</definedName>
    <definedName name="__x3" localSheetId="0" hidden="1">{"'Jan - March 2000'!$A$5:$J$46"}</definedName>
    <definedName name="__x3" hidden="1">{"'Jan - March 2000'!$A$5:$J$46"}</definedName>
    <definedName name="__x4" localSheetId="0" hidden="1">{"'Jan - March 2000'!$A$5:$J$46"}</definedName>
    <definedName name="__x4" hidden="1">{"'Jan - March 2000'!$A$5:$J$46"}</definedName>
    <definedName name="__x5" localSheetId="0" hidden="1">{"'Jan - March 2000'!$A$5:$J$46"}</definedName>
    <definedName name="__x5" hidden="1">{"'Jan - March 2000'!$A$5:$J$46"}</definedName>
    <definedName name="__x6" localSheetId="0" hidden="1">{"'Jan - March 2000'!$A$5:$J$46"}</definedName>
    <definedName name="__x6" hidden="1">{"'Jan - March 2000'!$A$5:$J$46"}</definedName>
    <definedName name="__x8" localSheetId="0" hidden="1">{"'Jan - March 2000'!$A$5:$J$46"}</definedName>
    <definedName name="__x8" hidden="1">{"'Jan - March 2000'!$A$5:$J$46"}</definedName>
    <definedName name="__xlfn.BAHTTEXT">#NAME?</definedName>
    <definedName name="_1">#N/A</definedName>
    <definedName name="_1_?l_?t">[22]Ekim!#REF!</definedName>
    <definedName name="_10__________?l_?t">[11]Ekim!#REF!</definedName>
    <definedName name="_10___?l_?t">#N/A</definedName>
    <definedName name="_10__∏l_Ωt">'[20]Hasar Hattı'!#REF!</definedName>
    <definedName name="_10_?l_?t">[13]Ekim!#REF!</definedName>
    <definedName name="_10_∏l_Ωt">'[15]Hasar Hattı'!#REF!</definedName>
    <definedName name="_100__________________________________________________________?l_?t">#N/A</definedName>
    <definedName name="_1010">#REF!</definedName>
    <definedName name="_1011">#REF!</definedName>
    <definedName name="_102____________________________________________________________?l_?t">#N/A</definedName>
    <definedName name="_104_____________________________________________________________?l_?t">#N/A</definedName>
    <definedName name="_106______________________________________________________________?l_?t">#N/A</definedName>
    <definedName name="_108________________________________________________________________?l_?t">#N/A</definedName>
    <definedName name="_10Excel_BuiltIn_Print_Area_1_1">#REF!</definedName>
    <definedName name="_11___?l_?t">[13]Ekim!#REF!</definedName>
    <definedName name="_11__?l_?t">[12]Ekim!#REF!</definedName>
    <definedName name="_11_∏l_Ωt">'[20]Hasar Hattı'!#REF!</definedName>
    <definedName name="_110__________________________________________________________________?l_?t">#N/A</definedName>
    <definedName name="_112____________________________________________________________________?l_?t">#N/A</definedName>
    <definedName name="_114______________________________________________________________________?l_?t">#N/A</definedName>
    <definedName name="_11406">#REF!</definedName>
    <definedName name="_11407">#REF!</definedName>
    <definedName name="_116_______________________________________________________________________?l_?t">#N/A</definedName>
    <definedName name="_11760">#REF!</definedName>
    <definedName name="_11761">#REF!</definedName>
    <definedName name="_11766">#REF!</definedName>
    <definedName name="_11767">#REF!</definedName>
    <definedName name="_11772">#REF!</definedName>
    <definedName name="_11773">#REF!</definedName>
    <definedName name="_11775">#REF!</definedName>
    <definedName name="_11776">#REF!</definedName>
    <definedName name="_11781">#REF!</definedName>
    <definedName name="_11782">#REF!</definedName>
    <definedName name="_118_________________________________________________________________________?l_?t">#N/A</definedName>
    <definedName name="_11Excel_BuiltIn_Print_Area_1_1">#REF!</definedName>
    <definedName name="_12__________∏l_Ωt">'[14]Hasar Hattı'!#REF!</definedName>
    <definedName name="_12______?l_?t">[12]Ekim!#REF!</definedName>
    <definedName name="_12∏l_Ωt">'[14]Hasar Hattı'!#REF!</definedName>
    <definedName name="_120___________________________________________________________________________?l_?t">#N/A</definedName>
    <definedName name="_122_____________________________________________________________________________?l_?t">#N/A</definedName>
    <definedName name="_124_______________________________________________________________________________?l_?t">#N/A</definedName>
    <definedName name="_12477">#REF!</definedName>
    <definedName name="_12478">#REF!</definedName>
    <definedName name="_12483">#REF!</definedName>
    <definedName name="_12484">#REF!</definedName>
    <definedName name="_12489">#REF!</definedName>
    <definedName name="_12490">#REF!</definedName>
    <definedName name="_12492">#REF!</definedName>
    <definedName name="_12493">#REF!</definedName>
    <definedName name="_12498">#REF!</definedName>
    <definedName name="_12499">#REF!</definedName>
    <definedName name="_126________________________________________________________________________________?l_?t">#N/A</definedName>
    <definedName name="_128_________________________________________________________________________________?l_?t">#N/A</definedName>
    <definedName name="_12840">#REF!</definedName>
    <definedName name="_12841">#REF!</definedName>
    <definedName name="_13____?l_?t">[11]Ekim!#REF!</definedName>
    <definedName name="_13___?l_?t">[13]Ekim!#REF!</definedName>
    <definedName name="_13_∏l_Ωt">'[15]Hasar Hattı'!#REF!</definedName>
    <definedName name="_130__________________________________________________________________________________?l_?t">#N/A</definedName>
    <definedName name="_132___________________________________________________________________________________?l_?t">#N/A</definedName>
    <definedName name="_134____________________________________________________________________________________?l_?t">#N/A</definedName>
    <definedName name="_136_____________________________________________________________________________________?l_?t">#N/A</definedName>
    <definedName name="_138______________________________________________________________________________________?l_?t">#N/A</definedName>
    <definedName name="_13915">#REF!</definedName>
    <definedName name="_13916">#REF!</definedName>
    <definedName name="_14______∏l_Ωt">'[14]Hasar Hattı'!#REF!</definedName>
    <definedName name="_14_____?l_?t">#N/A</definedName>
    <definedName name="_140_______________________________________________________________________________________?l_?t">#N/A</definedName>
    <definedName name="_142________________________________________________________________________________________?l_?t">#N/A</definedName>
    <definedName name="_144_________________________________________________________________________________________?l_?t">#N/A</definedName>
    <definedName name="_146__________________________________________________________________________________________?l_?t">#N/A</definedName>
    <definedName name="_148___________________________________________________________________________________________?l_?t">#N/A</definedName>
    <definedName name="_14990">#REF!</definedName>
    <definedName name="_14991">#REF!</definedName>
    <definedName name="_15_________?l_?t">[13]Ekim!#REF!</definedName>
    <definedName name="_15____?l_?t">[11]Ekim!#REF!</definedName>
    <definedName name="_15____∏l_Ωt">'[20]Hasar Hattı'!#REF!</definedName>
    <definedName name="_150____________________________________________________________________________________________?l_?t">#N/A</definedName>
    <definedName name="_152______________________________________________________________________________________________?l_?t">#N/A</definedName>
    <definedName name="_154_________________________________________________________________________________________________?l_?t">#N/A</definedName>
    <definedName name="_156___________________________________________________________________________________________________?l_?t">#N/A</definedName>
    <definedName name="_158_____________________________________________________________________________________________________?l_?t">#N/A</definedName>
    <definedName name="_16______?l_?t">#N/A</definedName>
    <definedName name="_16_____∏l_Ωt">'[20]Hasar Hattı'!#REF!</definedName>
    <definedName name="_160______________________________________________________________________________________________________?l_?t">#N/A</definedName>
    <definedName name="_162________________________________________________________________________________________________________?l_?t">#N/A</definedName>
    <definedName name="_164__________________________________________________________________________________________________________?l_?t">#N/A</definedName>
    <definedName name="_166____________________________________________________________________________________________________________?l_?t">#N/A</definedName>
    <definedName name="_16784">#REF!</definedName>
    <definedName name="_16785">#REF!</definedName>
    <definedName name="_168______________________________________________________________________________________________________________?l_?t">#N/A</definedName>
    <definedName name="_17____∏l_Ωt">'[20]Hasar Hattı'!#REF!</definedName>
    <definedName name="_17___∏l_Ωt">'[14]Hasar Hattı'!#REF!</definedName>
    <definedName name="_17_?l_?t">[13]Ekim!#REF!</definedName>
    <definedName name="_170________________________________________________________________________________________________________________?l_?t">#N/A</definedName>
    <definedName name="_17141">#REF!</definedName>
    <definedName name="_17142">#REF!</definedName>
    <definedName name="_172_________________________________________________________________________________________________________________?l_?t">#N/A</definedName>
    <definedName name="_174___________________________________________________________________________________________________________________?l_?t">#N/A</definedName>
    <definedName name="_176____________________________________________________________________________________________________________________?l_?t">#N/A</definedName>
    <definedName name="_178_____________________________________________________________________________________________________________________?l_?t">#N/A</definedName>
    <definedName name="_18__________?l_?t">[11]Ekim!#REF!</definedName>
    <definedName name="_18_______?l_?t">#N/A</definedName>
    <definedName name="_18__∏l_Ωt">'[20]Hasar Hattı'!#REF!</definedName>
    <definedName name="_180_______________________________________________________________________________________________________________________?l_?t">#N/A</definedName>
    <definedName name="_182_________________________________________________________________________________________________________________________?l_?t">#N/A</definedName>
    <definedName name="_18217">#REF!</definedName>
    <definedName name="_18218">#REF!</definedName>
    <definedName name="_184___________________________________________________________________________________________________________________________?l_?t">#N/A</definedName>
    <definedName name="_186_____________________________________________________________________________________________________________________________?l_?t">#N/A</definedName>
    <definedName name="_188______________________________________________________________________________________________________________________________?l_?t">#N/A</definedName>
    <definedName name="_19___∏l_Ωt">'[14]Hasar Hattı'!#REF!</definedName>
    <definedName name="_19__∏l_Ωt">'[15]Hasar Hattı'!#REF!</definedName>
    <definedName name="_190________________________________________________________________________________________________________________________________?l_?t">#N/A</definedName>
    <definedName name="_192__________________________________________________________________________________________________________________________________?l_?t">#N/A</definedName>
    <definedName name="_194____________________________________________________________________________________________________________________________________?l_?t">#N/A</definedName>
    <definedName name="_196______________________________________________________________________________________________________________________________________?l_?t">#N/A</definedName>
    <definedName name="_198_______________________________________________________________________________________________________________________________________?l_?t">#N/A</definedName>
    <definedName name="_2">#N/A</definedName>
    <definedName name="_2__?l_?t">[9]Ekim!#REF!</definedName>
    <definedName name="_2_?l_?t">[23]Ekim!#REF!</definedName>
    <definedName name="_2∏l_Ωt">'[24]Hasar Hattı'!#REF!</definedName>
    <definedName name="_20________?l_?t">#N/A</definedName>
    <definedName name="_20_∏l_Ωt">'[20]Hasar Hattı'!#REF!</definedName>
    <definedName name="_20∏l_Ωt">'[14]Hasar Hattı'!#REF!</definedName>
    <definedName name="_200________________________________________________________________________________________________________________________________________?l_?t">#N/A</definedName>
    <definedName name="_20009">#REF!</definedName>
    <definedName name="_20010">#REF!</definedName>
    <definedName name="_20011">#REF!</definedName>
    <definedName name="_20012">#REF!</definedName>
    <definedName name="_202_________________________________________________________________________________________________________________________________________?l_?t">#N/A</definedName>
    <definedName name="_204__________________________________________________________________________________________________________________________________________?l_?t">#N/A</definedName>
    <definedName name="_206___________________________________________________________________________________________________________________________________________?l_?t">#N/A</definedName>
    <definedName name="_208____________________________________________________________________________________________________________________________________________?l_?t">#N/A</definedName>
    <definedName name="_21__________∏l_Ωt">'[14]Hasar Hattı'!#REF!</definedName>
    <definedName name="_21__∏l_Ωt">'[15]Hasar Hattı'!#REF!</definedName>
    <definedName name="_210_____________________________________________________________________________________________________________________________________________?l_?t">#N/A</definedName>
    <definedName name="_21086">#REF!</definedName>
    <definedName name="_21087">#REF!</definedName>
    <definedName name="_212______________________________________________________________________________________________________________________________________________?l_?t">#N/A</definedName>
    <definedName name="_214_______________________________________________________________________________________________________________________________________________?l_?t">#N/A</definedName>
    <definedName name="_21443">#REF!</definedName>
    <definedName name="_21444">#REF!</definedName>
    <definedName name="_216________________________________________________________________________________________________________________________________________________?l_?t">#N/A</definedName>
    <definedName name="_218_________________________________________________________________________________________________________________________________________________?l_?t">#N/A</definedName>
    <definedName name="_22_________?l_?t">#N/A</definedName>
    <definedName name="_22_∏l_Ωt">'[15]Hasar Hattı'!#REF!</definedName>
    <definedName name="_220__________________________________________________________________________________________________________________________________________________?l_?t">#N/A</definedName>
    <definedName name="_22161">#REF!</definedName>
    <definedName name="_22162">#REF!</definedName>
    <definedName name="_222___________________________________________________________________________________________________________________________________________________?l_?t">#N/A</definedName>
    <definedName name="_224____________________________________________________________________________________________________________________________________________________?l_?t">#N/A</definedName>
    <definedName name="_226_____________________________________________________________________________________________________________________________________________________?l_?t">#N/A</definedName>
    <definedName name="_228______________________________________________________________________________________________________________________________________________________?l_?t">#N/A</definedName>
    <definedName name="_22877">#REF!</definedName>
    <definedName name="_22878">#REF!</definedName>
    <definedName name="_230_______________________________________________________________________________________________________________________________________________________?l_?t">#N/A</definedName>
    <definedName name="_232________________________________________________________________________________________________________________________________________________________?l_?t">#N/A</definedName>
    <definedName name="_23236">#REF!</definedName>
    <definedName name="_23237">#REF!</definedName>
    <definedName name="_234_________________________________________________________________________________________________________________________________________________________?l_?t">#N/A</definedName>
    <definedName name="_236__________________________________________________________________________________________________________________________________________________________?l_?t">#N/A</definedName>
    <definedName name="_238___________________________________________________________________________________________________________________________________________________________?l_?t">#N/A</definedName>
    <definedName name="_23952">#REF!</definedName>
    <definedName name="_23953">#REF!</definedName>
    <definedName name="_24__________?l_?t">#N/A</definedName>
    <definedName name="_24______∏l_Ωt">'[14]Hasar Hattı'!#REF!</definedName>
    <definedName name="_24__?l_?t">[12]Ekim!#REF!</definedName>
    <definedName name="_240____________________________________________________________________________________________________________________________________________________________?l_?t">#N/A</definedName>
    <definedName name="_242_____________________________________________________________________________________________________________________________________________________________?l_?t">#N/A</definedName>
    <definedName name="_24311">#REF!</definedName>
    <definedName name="_24312">#REF!</definedName>
    <definedName name="_244______________________________________________________________________________________________________________________________________________________________?l_?t">#N/A</definedName>
    <definedName name="_2443">#REF!</definedName>
    <definedName name="_2444">#REF!</definedName>
    <definedName name="_246_______________________________________________________________________________________________________________________________________________________________?l_?t">#N/A</definedName>
    <definedName name="_248________________________________________________________________________________________________________________________________________________________________?l_?t">#N/A</definedName>
    <definedName name="_25_∏l_Ωt">'[15]Hasar Hattı'!#REF!</definedName>
    <definedName name="_250_________________________________________________________________________________________________________________________________________________________________?l_?t">#N/A</definedName>
    <definedName name="_252__________________________________________________________________________________________________________________________________________________________________?l_?t">#N/A</definedName>
    <definedName name="_254___________________________________________________________________________________________________________________________________________________________________?l_?t">#N/A</definedName>
    <definedName name="_256____________________________________________________________________________________________________________________________________________________________________?l_?t">#N/A</definedName>
    <definedName name="_258_____________________________________________________________________________________________________________________________________________________________________?l_?t">#N/A</definedName>
    <definedName name="_26___________?l_?t">#N/A</definedName>
    <definedName name="_26∏l_Ωt">'[14]Hasar Hattı'!#REF!</definedName>
    <definedName name="_260______________________________________________________________________________________________________________________________________________________________________?l_?t">#N/A</definedName>
    <definedName name="_262_______________________________________________________________________________________________________________________________________________________________________?l_?t">#N/A</definedName>
    <definedName name="_264________________________________________________________________________________________________________________________________________________________________________?l_?t">#N/A</definedName>
    <definedName name="_26462">#REF!</definedName>
    <definedName name="_26463">#REF!</definedName>
    <definedName name="_26464">#REF!</definedName>
    <definedName name="_266_________________________________________________________________________________________________________________________________________________________________________?l_?t">#N/A</definedName>
    <definedName name="_268__________________________________________________________________________________________________________________________________________________________________________?l_?t">#N/A</definedName>
    <definedName name="_27_____∏l_Ωt">'[20]Hasar Hattı'!#REF!</definedName>
    <definedName name="_270___________________________________________________________________________________________________________________________________________________________________________?l_?t">#N/A</definedName>
    <definedName name="_27179">#REF!</definedName>
    <definedName name="_27180">#REF!</definedName>
    <definedName name="_272____________________________________________________________________________________________________________________________________________________________________________?l_?t">#N/A</definedName>
    <definedName name="_274_____________________________________________________________________________________________________________________________________________________________________________?l_?t">#N/A</definedName>
    <definedName name="_276______________________________________________________________________________________________________________________________________________________________________________?l_?t">#N/A</definedName>
    <definedName name="_278_______________________________________________________________________________________________________________________________________________________________________________?l_?t">#N/A</definedName>
    <definedName name="_27897">#REF!</definedName>
    <definedName name="_27898">#REF!</definedName>
    <definedName name="_28____________?l_?t">#N/A</definedName>
    <definedName name="_280________________________________________________________________________________________________________________________________________________________________________________?l_?t">#N/A</definedName>
    <definedName name="_282_________________________________________________________________________________________________________________________________________________________________________________?l_?t">#N/A</definedName>
    <definedName name="_284__________________________________________________________________________________________________________________________________________________________________________________?l_?t">#N/A</definedName>
    <definedName name="_286___________________________________________________________________________________________________________________________________________________________________________________?l_?t">#N/A</definedName>
    <definedName name="_28613">#REF!</definedName>
    <definedName name="_28614">#REF!</definedName>
    <definedName name="_288____________________________________________________________________________________________________________________________________________________________________________________?l_?t">#N/A</definedName>
    <definedName name="_290_____________________________________________________________________________________________________________________________________________________________________________________?l_?t">#N/A</definedName>
    <definedName name="_292______________________________________________________________________________________________________________________________________________________________________________________?l_?t">#N/A</definedName>
    <definedName name="_293Excel_BuiltIn_Print_Area_1_1">#REF!</definedName>
    <definedName name="_294_______________________________________________________________________________________________________________________________________________________________________________________?l_?t">#N/A</definedName>
    <definedName name="_296_______________________________________________________________________________________________________________________________________________________________________________________∏l_Ωt">#N/A</definedName>
    <definedName name="_296Excel_BuiltIn_Print_Area_1_1">#REF!</definedName>
    <definedName name="_297Excel_BuiltIn_Print_Area_1_1">#REF!</definedName>
    <definedName name="_298____________________________________________________________________________________________________________________________________________________________________________________∏l_Ωt">#N/A</definedName>
    <definedName name="_3__?l_?t">[11]Ekim!#REF!</definedName>
    <definedName name="_3__∏l_Ωt">'[15]Hasar Hattı'!#REF!</definedName>
    <definedName name="_3_?l_?t">[19]Ekim!#REF!</definedName>
    <definedName name="_3_∏l_Ωt">'[15]Hasar Hattı'!#REF!</definedName>
    <definedName name="_3∏l_Ωt">'[25]Hasar Hattı'!#REF!</definedName>
    <definedName name="_30_____________?l_?t">#N/A</definedName>
    <definedName name="_30__∏l_Ωt">'[20]Hasar Hattı'!#REF!</definedName>
    <definedName name="_30∏l_Ωt">'[14]Hasar Hattı'!#REF!</definedName>
    <definedName name="_300__________________________________________________________________________________________________________________________________________________________________________________∏l_Ωt">#N/A</definedName>
    <definedName name="_30047">#REF!</definedName>
    <definedName name="_30048">#REF!</definedName>
    <definedName name="_30049">#REF!</definedName>
    <definedName name="_30050">#REF!</definedName>
    <definedName name="_302________________________________________________________________________________________________________________________________________________________________________________∏l_Ωt">#N/A</definedName>
    <definedName name="_304______________________________________________________________________________________________________________________________________________________________________________∏l_Ωt">#N/A</definedName>
    <definedName name="_30407">#REF!</definedName>
    <definedName name="_30408">#REF!</definedName>
    <definedName name="_306_____________________________________________________________________________________________________________________________________________________________________________∏l_Ωt">#N/A</definedName>
    <definedName name="_308___________________________________________________________________________________________________________________________________________________________________________∏l_Ωt">#N/A</definedName>
    <definedName name="_31___?l_?t">[13]Ekim!#REF!</definedName>
    <definedName name="_310_________________________________________________________________________________________________________________________________________________________________________∏l_Ωt">#N/A</definedName>
    <definedName name="_312_______________________________________________________________________________________________________________________________________________________________________∏l_Ωt">#N/A</definedName>
    <definedName name="_314_____________________________________________________________________________________________________________________________________________________________________∏l_Ωt">#N/A</definedName>
    <definedName name="_31481">#REF!</definedName>
    <definedName name="_31482">#REF!</definedName>
    <definedName name="_316___________________________________________________________________________________________________________________________________________________________________∏l_Ωt">#N/A</definedName>
    <definedName name="_318_________________________________________________________________________________________________________________________________________________________________∏l_Ωt">#N/A</definedName>
    <definedName name="_32______________?l_?t">#N/A</definedName>
    <definedName name="_320_______________________________________________________________________________________________________________________________________________________________∏l_Ωt">#N/A</definedName>
    <definedName name="_322_____________________________________________________________________________________________________________________________________________________________∏l_Ωt">#N/A</definedName>
    <definedName name="_32201">#REF!</definedName>
    <definedName name="_32202">#REF!</definedName>
    <definedName name="_324____________________________________________________________________________________________________________________________________________________________∏l_Ωt">#N/A</definedName>
    <definedName name="_326__________________________________________________________________________________________________________________________________________________________∏l_Ωt">#N/A</definedName>
    <definedName name="_328________________________________________________________________________________________________________________________________________________________∏l_Ωt">#N/A</definedName>
    <definedName name="_33_∏l_Ωt">'[20]Hasar Hattı'!#REF!</definedName>
    <definedName name="_330______________________________________________________________________________________________________________________________________________________∏l_Ωt">#N/A</definedName>
    <definedName name="_332____________________________________________________________________________________________________________________________________________________∏l_Ωt">#N/A</definedName>
    <definedName name="_33276">#REF!</definedName>
    <definedName name="_33277">#REF!</definedName>
    <definedName name="_334___________________________________________________________________________________________________________________________________________________∏l_Ωt">#N/A</definedName>
    <definedName name="_336_________________________________________________________________________________________________________________________________________________∏l_Ωt">#N/A</definedName>
    <definedName name="_338________________________________________________________________________________________________________________________________________________∏l_Ωt">#N/A</definedName>
    <definedName name="_34_______________?l_?t">#N/A</definedName>
    <definedName name="_340_______________________________________________________________________________________________________________________________________________∏l_Ωt">#N/A</definedName>
    <definedName name="_342_____________________________________________________________________________________________________________________________________________∏l_Ωt">#N/A</definedName>
    <definedName name="_344____________________________________________________________________________________________________________________________________________∏l_Ωt">#N/A</definedName>
    <definedName name="_346___________________________________________________________________________________________________________________________________________∏l_Ωt">#N/A</definedName>
    <definedName name="_348__________________________________________________________________________________________________________________________________________∏l_Ωt">#N/A</definedName>
    <definedName name="_350_________________________________________________________________________________________________________________________________________∏l_Ωt">#N/A</definedName>
    <definedName name="_35070">#REF!</definedName>
    <definedName name="_35071">#REF!</definedName>
    <definedName name="_3519">#REF!</definedName>
    <definedName name="_352________________________________________________________________________________________________________________________________________∏l_Ωt">#N/A</definedName>
    <definedName name="_3520">#REF!</definedName>
    <definedName name="_3521">#REF!</definedName>
    <definedName name="_354_______________________________________________________________________________________________________________________________________∏l_Ωt">#N/A</definedName>
    <definedName name="_356______________________________________________________________________________________________________________________________________∏l_Ωt">#N/A</definedName>
    <definedName name="_358_____________________________________________________________________________________________________________________________________∏l_Ωt">#N/A</definedName>
    <definedName name="_36________________?l_?t">#N/A</definedName>
    <definedName name="_36∏l_Ωt">'[20]Hasar Hattı'!#REF!</definedName>
    <definedName name="_360____________________________________________________________________________________________________________________________________∏l_Ωt">#N/A</definedName>
    <definedName name="_362___________________________________________________________________________________________________________________________________∏l_Ωt">#N/A</definedName>
    <definedName name="_364__________________________________________________________________________________________________________________________________∏l_Ωt">#N/A</definedName>
    <definedName name="_366_________________________________________________________________________________________________________________________________∏l_Ωt">#N/A</definedName>
    <definedName name="_368________________________________________________________________________________________________________________________________∏l_Ωt">#N/A</definedName>
    <definedName name="_370_______________________________________________________________________________________________________________________________∏l_Ωt">#N/A</definedName>
    <definedName name="_372______________________________________________________________________________________________________________________________∏l_Ωt">#N/A</definedName>
    <definedName name="_37222">#REF!</definedName>
    <definedName name="_37223">#REF!</definedName>
    <definedName name="_374_____________________________________________________________________________________________________________________________∏l_Ωt">#N/A</definedName>
    <definedName name="_376____________________________________________________________________________________________________________________________∏l_Ωt">#N/A</definedName>
    <definedName name="_378___________________________________________________________________________________________________________________________∏l_Ωt">#N/A</definedName>
    <definedName name="_38_________________?l_?t">#N/A</definedName>
    <definedName name="_38____?l_?t">[11]Ekim!#REF!</definedName>
    <definedName name="_380__________________________________________________________________________________________________________________________∏l_Ωt">#N/A</definedName>
    <definedName name="_382_________________________________________________________________________________________________________________________∏l_Ωt">#N/A</definedName>
    <definedName name="_38298">#REF!</definedName>
    <definedName name="_38299">#REF!</definedName>
    <definedName name="_384________________________________________________________________________________________________________________________∏l_Ωt">#N/A</definedName>
    <definedName name="_386_______________________________________________________________________________________________________________________∏l_Ωt">#N/A</definedName>
    <definedName name="_388______________________________________________________________________________________________________________________∏l_Ωt">#N/A</definedName>
    <definedName name="_390_____________________________________________________________________________________________________________________∏l_Ωt">#N/A</definedName>
    <definedName name="_392____________________________________________________________________________________________________________________∏l_Ωt">#N/A</definedName>
    <definedName name="_394___________________________________________________________________________________________________________________∏l_Ωt">#N/A</definedName>
    <definedName name="_396__________________________________________________________________________________________________________________∏l_Ωt">#N/A</definedName>
    <definedName name="_39731">#REF!</definedName>
    <definedName name="_39732">#REF!</definedName>
    <definedName name="_398_________________________________________________________________________________________________________________∏l_Ωt">#N/A</definedName>
    <definedName name="_3Excel_BuiltIn_Print_Area_1_1">#REF!</definedName>
    <definedName name="_4______?l_?t">[12]Ekim!#REF!</definedName>
    <definedName name="_4__?l_?t">[12]Ekim!#REF!</definedName>
    <definedName name="_4_?l_?t">[19]Ekim!#REF!</definedName>
    <definedName name="_4_∏l_Ωt">'[15]Hasar Hattı'!#REF!</definedName>
    <definedName name="_4∏l_Ωt">'[26]Hasar Hattı'!#REF!</definedName>
    <definedName name="_40__________________?l_?t">#N/A</definedName>
    <definedName name="_400________________________________________________________________________________________________________________∏l_Ωt">#N/A</definedName>
    <definedName name="_402_______________________________________________________________________________________________________________∏l_Ωt">#N/A</definedName>
    <definedName name="_404______________________________________________________________________________________________________________∏l_Ωt">#N/A</definedName>
    <definedName name="_406_____________________________________________________________________________________________________________∏l_Ωt">#N/A</definedName>
    <definedName name="_408____________________________________________________________________________________________________________∏l_Ωt">#N/A</definedName>
    <definedName name="_410___________________________________________________________________________________________________________∏l_Ωt">#N/A</definedName>
    <definedName name="_412__________________________________________________________________________________________________________∏l_Ωt">#N/A</definedName>
    <definedName name="_414_________________________________________________________________________________________________________∏l_Ωt">#N/A</definedName>
    <definedName name="_41525">#REF!</definedName>
    <definedName name="_41526">#REF!</definedName>
    <definedName name="_416________________________________________________________________________________________________________∏l_Ωt">#N/A</definedName>
    <definedName name="_418_______________________________________________________________________________________________________∏l_Ωt">#N/A</definedName>
    <definedName name="_42___________________?l_?t">#N/A</definedName>
    <definedName name="_420______________________________________________________________________________________________________∏l_Ωt">#N/A</definedName>
    <definedName name="_422_____________________________________________________________________________________________________∏l_Ωt">#N/A</definedName>
    <definedName name="_4235">#REF!</definedName>
    <definedName name="_4236">#REF!</definedName>
    <definedName name="_4238">#REF!</definedName>
    <definedName name="_4239">#REF!</definedName>
    <definedName name="_424____________________________________________________________________________________________________∏l_Ωt">#N/A</definedName>
    <definedName name="_4241">#REF!</definedName>
    <definedName name="_4242">#REF!</definedName>
    <definedName name="_4244">#REF!</definedName>
    <definedName name="_4245">#REF!</definedName>
    <definedName name="_4247">#REF!</definedName>
    <definedName name="_4248">#REF!</definedName>
    <definedName name="_4250">#REF!</definedName>
    <definedName name="_4251">#REF!</definedName>
    <definedName name="_426___________________________________________________________________________________________________∏l_Ωt">#N/A</definedName>
    <definedName name="_428__________________________________________________________________________________________________∏l_Ωt">#N/A</definedName>
    <definedName name="_42959">#REF!</definedName>
    <definedName name="_42960">#REF!</definedName>
    <definedName name="_430_________________________________________________________________________________________________∏l_Ωt">#N/A</definedName>
    <definedName name="_432________________________________________________________________________________________________∏l_Ωt">#N/A</definedName>
    <definedName name="_434_______________________________________________________________________________________________∏l_Ωt">#N/A</definedName>
    <definedName name="_436______________________________________________________________________________________________∏l_Ωt">#N/A</definedName>
    <definedName name="_438_____________________________________________________________________________________________∏l_Ωt">#N/A</definedName>
    <definedName name="_44____________________?l_?t">#N/A</definedName>
    <definedName name="_440____________________________________________________________________________________________∏l_Ωt">#N/A</definedName>
    <definedName name="_442_________________________________________________________________________________________∏l_Ωt">#N/A</definedName>
    <definedName name="_444_______________________________________________________________________________________∏l_Ωt">#N/A</definedName>
    <definedName name="_446_____________________________________________________________________________________∏l_Ωt">#N/A</definedName>
    <definedName name="_44753">#REF!</definedName>
    <definedName name="_44754">#REF!</definedName>
    <definedName name="_448___________________________________________________________________________________∏l_Ωt">#N/A</definedName>
    <definedName name="_45____∏l_Ωt">'[20]Hasar Hattı'!#REF!</definedName>
    <definedName name="_450__________________________________________________________________________________∏l_Ωt">#N/A</definedName>
    <definedName name="_452________________________________________________________________________________∏l_Ωt">#N/A</definedName>
    <definedName name="_454______________________________________________________________________________∏l_Ωt">#N/A</definedName>
    <definedName name="_456____________________________________________________________________________∏l_Ωt">#N/A</definedName>
    <definedName name="_458__________________________________________________________________________∏l_Ωt">#N/A</definedName>
    <definedName name="_46_____________________?l_?t">#N/A</definedName>
    <definedName name="_460________________________________________________________________________∏l_Ωt">#N/A</definedName>
    <definedName name="_462______________________________________________________________________∏l_Ωt">#N/A</definedName>
    <definedName name="_464____________________________________________________________________∏l_Ωt">#N/A</definedName>
    <definedName name="_466__________________________________________________________________∏l_Ωt">#N/A</definedName>
    <definedName name="_468_________________________________________________________________∏l_Ωt">#N/A</definedName>
    <definedName name="_470_______________________________________________________________∏l_Ωt">#N/A</definedName>
    <definedName name="_472_____________________________________________________________∏l_Ωt">#N/A</definedName>
    <definedName name="_47263">#REF!</definedName>
    <definedName name="_47264">#REF!</definedName>
    <definedName name="_474___________________________________________________________∏l_Ωt">#N/A</definedName>
    <definedName name="_476_________________________________________________________∏l_Ωt">#N/A</definedName>
    <definedName name="_478________________________________________________________∏l_Ωt">#N/A</definedName>
    <definedName name="_48______________________?l_?t">#N/A</definedName>
    <definedName name="_480______________________________________________________∏l_Ωt">#N/A</definedName>
    <definedName name="_482_____________________________________________________∏l_Ωt">#N/A</definedName>
    <definedName name="_484____________________________________________________∏l_Ωt">#N/A</definedName>
    <definedName name="_486__________________________________________________∏l_Ωt">#N/A</definedName>
    <definedName name="_488_________________________________________________∏l_Ωt">#N/A</definedName>
    <definedName name="_490________________________________________________∏l_Ωt">#N/A</definedName>
    <definedName name="_492_______________________________________________∏l_Ωt">#N/A</definedName>
    <definedName name="_494______________________________________________∏l_Ωt">#N/A</definedName>
    <definedName name="_496_____________________________________________∏l_Ωt">#N/A</definedName>
    <definedName name="_498____________________________________________∏l_Ωt">#N/A</definedName>
    <definedName name="_5_________?l_?t">[13]Ekim!#REF!</definedName>
    <definedName name="_5___?l_?t">[13]Ekim!#REF!</definedName>
    <definedName name="_5_?l_?t">[12]Ekim!#REF!</definedName>
    <definedName name="_50_______________________?l_?t">#N/A</definedName>
    <definedName name="_500___________________________________________∏l_Ωt">#N/A</definedName>
    <definedName name="_50132">#REF!</definedName>
    <definedName name="_50133">#REF!</definedName>
    <definedName name="_502__________________________________________∏l_Ωt">#N/A</definedName>
    <definedName name="_504_________________________________________∏l_Ωt">#N/A</definedName>
    <definedName name="_506________________________________________∏l_Ωt">#N/A</definedName>
    <definedName name="_508_______________________________________∏l_Ωt">#N/A</definedName>
    <definedName name="_510______________________________________∏l_Ωt">#N/A</definedName>
    <definedName name="_512_____________________________________∏l_Ωt">#N/A</definedName>
    <definedName name="_514____________________________________∏l_Ωt">#N/A</definedName>
    <definedName name="_51565">#REF!</definedName>
    <definedName name="_51566">#REF!</definedName>
    <definedName name="_516___________________________________∏l_Ωt">#N/A</definedName>
    <definedName name="_518__________________________________∏l_Ωt">#N/A</definedName>
    <definedName name="_52________________________?l_?t">#N/A</definedName>
    <definedName name="_52___∏l_Ωt">'[14]Hasar Hattı'!#REF!</definedName>
    <definedName name="_520_________________________________∏l_Ωt">#N/A</definedName>
    <definedName name="_522________________________________∏l_Ωt">#N/A</definedName>
    <definedName name="_524_______________________________∏l_Ωt">#N/A</definedName>
    <definedName name="_526______________________________∏l_Ωt">#N/A</definedName>
    <definedName name="_528_____________________________∏l_Ωt">#N/A</definedName>
    <definedName name="_530____________________________∏l_Ωt">#N/A</definedName>
    <definedName name="_532___________________________∏l_Ωt">#N/A</definedName>
    <definedName name="_53359">#REF!</definedName>
    <definedName name="_53360">#REF!</definedName>
    <definedName name="_534__________________________∏l_Ωt">#N/A</definedName>
    <definedName name="_536_________________________∏l_Ωt">#N/A</definedName>
    <definedName name="_53718">#REF!</definedName>
    <definedName name="_53719">#REF!</definedName>
    <definedName name="_538________________________∏l_Ωt">#N/A</definedName>
    <definedName name="_54_________________________?l_?t">#N/A</definedName>
    <definedName name="_540_______________________∏l_Ωt">#N/A</definedName>
    <definedName name="_54077">#REF!</definedName>
    <definedName name="_54078">#REF!</definedName>
    <definedName name="_542______________________∏l_Ωt">#N/A</definedName>
    <definedName name="_544_____________________∏l_Ωt">#N/A</definedName>
    <definedName name="_54436">#REF!</definedName>
    <definedName name="_54437">#REF!</definedName>
    <definedName name="_546____________________∏l_Ωt">#N/A</definedName>
    <definedName name="_54795">#REF!</definedName>
    <definedName name="_54796">#REF!</definedName>
    <definedName name="_548___________________∏l_Ωt">#N/A</definedName>
    <definedName name="_550__________________∏l_Ωt">#N/A</definedName>
    <definedName name="_55153">#REF!</definedName>
    <definedName name="_55154">#REF!</definedName>
    <definedName name="_552_________________∏l_Ωt">#N/A</definedName>
    <definedName name="_554________________∏l_Ωt">#N/A</definedName>
    <definedName name="_556_______________∏l_Ωt">#N/A</definedName>
    <definedName name="_558______________∏l_Ωt">#N/A</definedName>
    <definedName name="_56__________________________?l_?t">#N/A</definedName>
    <definedName name="_560_____________∏l_Ωt">#N/A</definedName>
    <definedName name="_562____________∏l_Ωt">#N/A</definedName>
    <definedName name="_564___________∏l_Ωt">#N/A</definedName>
    <definedName name="_566__________∏l_Ωt">#N/A</definedName>
    <definedName name="_5671">#REF!</definedName>
    <definedName name="_5672">#REF!</definedName>
    <definedName name="_568_________∏l_Ωt">#N/A</definedName>
    <definedName name="_56947">#REF!</definedName>
    <definedName name="_56948">#REF!</definedName>
    <definedName name="_570________∏l_Ωt">#N/A</definedName>
    <definedName name="_572_______∏l_Ωt">#N/A</definedName>
    <definedName name="_574______∏l_Ωt">#N/A</definedName>
    <definedName name="_576_____∏l_Ωt">#N/A</definedName>
    <definedName name="_578____∏l_Ωt">#N/A</definedName>
    <definedName name="_58___________________________?l_?t">#N/A</definedName>
    <definedName name="_580___∏l_Ωt">#N/A</definedName>
    <definedName name="_583_∏l_Ωt">#N/A</definedName>
    <definedName name="_59__∏l_Ωt">'[15]Hasar Hattı'!#REF!</definedName>
    <definedName name="_590Excel_BuiltIn_Print_Area_1_1">#REF!</definedName>
    <definedName name="_59457">#REF!</definedName>
    <definedName name="_59458">#REF!</definedName>
    <definedName name="_59816">#REF!</definedName>
    <definedName name="_59817">#REF!</definedName>
    <definedName name="_5Excel_BuiltIn_Print_Area_1_1">#REF!</definedName>
    <definedName name="_6__________?l_?t">[11]Ekim!#REF!</definedName>
    <definedName name="_6______?l_?t">[12]Ekim!#REF!</definedName>
    <definedName name="_6____?l_?t">[11]Ekim!#REF!</definedName>
    <definedName name="_6_?l_?t">[11]Ekim!#REF!</definedName>
    <definedName name="_6∏l_Ωt">'[27]Hasar Hattı'!#REF!</definedName>
    <definedName name="_60____________________________?l_?t">#N/A</definedName>
    <definedName name="_60175">#REF!</definedName>
    <definedName name="_60176">#REF!</definedName>
    <definedName name="_60534">#REF!</definedName>
    <definedName name="_60535">#REF!</definedName>
    <definedName name="_60893">#REF!</definedName>
    <definedName name="_60894">#REF!</definedName>
    <definedName name="_61251">#REF!</definedName>
    <definedName name="_61252">#REF!</definedName>
    <definedName name="_61610">#REF!</definedName>
    <definedName name="_61611">#REF!</definedName>
    <definedName name="_61969">#REF!</definedName>
    <definedName name="_61970">#REF!</definedName>
    <definedName name="_62_____________________________?l_?t">#N/A</definedName>
    <definedName name="_62328">#REF!</definedName>
    <definedName name="_62329">#REF!</definedName>
    <definedName name="_62687">#REF!</definedName>
    <definedName name="_62688">#REF!</definedName>
    <definedName name="_63045">#REF!</definedName>
    <definedName name="_63046">#REF!</definedName>
    <definedName name="_63404">#REF!</definedName>
    <definedName name="_63405">#REF!</definedName>
    <definedName name="_63763">#REF!</definedName>
    <definedName name="_63764">#REF!</definedName>
    <definedName name="_64______________________________?l_?t">#N/A</definedName>
    <definedName name="_64122">#REF!</definedName>
    <definedName name="_64123">#REF!</definedName>
    <definedName name="_64481">#REF!</definedName>
    <definedName name="_64482">#REF!</definedName>
    <definedName name="_64839">#REF!</definedName>
    <definedName name="_64840">#REF!</definedName>
    <definedName name="_65198">#REF!</definedName>
    <definedName name="_65199">#REF!</definedName>
    <definedName name="_65557">#REF!</definedName>
    <definedName name="_65558">#REF!</definedName>
    <definedName name="_65916">#REF!</definedName>
    <definedName name="_65917">#REF!</definedName>
    <definedName name="_66_______________________________?l_?t">#N/A</definedName>
    <definedName name="_66275">#REF!</definedName>
    <definedName name="_66276">#REF!</definedName>
    <definedName name="_66633">#REF!</definedName>
    <definedName name="_66634">#REF!</definedName>
    <definedName name="_66992">#REF!</definedName>
    <definedName name="_66993">#REF!</definedName>
    <definedName name="_67_∏l_Ωt">'[15]Hasar Hattı'!#REF!</definedName>
    <definedName name="_67351">#REF!</definedName>
    <definedName name="_67352">#REF!</definedName>
    <definedName name="_6746">#REF!</definedName>
    <definedName name="_6747">#REF!</definedName>
    <definedName name="_67710">#REF!</definedName>
    <definedName name="_67711">#REF!</definedName>
    <definedName name="_68________________________________?l_?t">#N/A</definedName>
    <definedName name="_68069">#REF!</definedName>
    <definedName name="_68070">#REF!</definedName>
    <definedName name="_68427">#REF!</definedName>
    <definedName name="_68428">#REF!</definedName>
    <definedName name="_68786">#REF!</definedName>
    <definedName name="_68787">#REF!</definedName>
    <definedName name="_69145">#REF!</definedName>
    <definedName name="_69146">#REF!</definedName>
    <definedName name="_69504">#REF!</definedName>
    <definedName name="_69505">#REF!</definedName>
    <definedName name="_69863">#REF!</definedName>
    <definedName name="_69864">#REF!</definedName>
    <definedName name="_6Excel_BuiltIn_Print_Area_1_1">#REF!</definedName>
    <definedName name="_7__________∏l_Ωt">'[14]Hasar Hattı'!#REF!</definedName>
    <definedName name="_7____∏l_Ωt">'[20]Hasar Hattı'!#REF!</definedName>
    <definedName name="_7_?l_?t">[12]Ekim!#REF!</definedName>
    <definedName name="_7∏l_Ωt">'[18]Hasar Hattı'!#REF!</definedName>
    <definedName name="_70_________________________________?l_?t">#N/A</definedName>
    <definedName name="_70221">#REF!</definedName>
    <definedName name="_70222">#REF!</definedName>
    <definedName name="_70580">#REF!</definedName>
    <definedName name="_70581">#REF!</definedName>
    <definedName name="_70939">#REF!</definedName>
    <definedName name="_70940">#REF!</definedName>
    <definedName name="_71298">#REF!</definedName>
    <definedName name="_71299">#REF!</definedName>
    <definedName name="_71656">#REF!</definedName>
    <definedName name="_71657">#REF!</definedName>
    <definedName name="_72__________________________________?l_?t">#N/A</definedName>
    <definedName name="_72015">#REF!</definedName>
    <definedName name="_72016">#REF!</definedName>
    <definedName name="_72374">#REF!</definedName>
    <definedName name="_72375">#REF!</definedName>
    <definedName name="_72733">#REF!</definedName>
    <definedName name="_72734">#REF!</definedName>
    <definedName name="_73092">#REF!</definedName>
    <definedName name="_73093">#REF!</definedName>
    <definedName name="_73450">#REF!</definedName>
    <definedName name="_73451">#REF!</definedName>
    <definedName name="_74___________________________________?l_?t">#N/A</definedName>
    <definedName name="_75602">#REF!</definedName>
    <definedName name="_75603">#REF!</definedName>
    <definedName name="_76____________________________________?l_?t">#N/A</definedName>
    <definedName name="_76∏l_Ωt">'[14]Hasar Hattı'!#REF!</definedName>
    <definedName name="_77754">#REF!</definedName>
    <definedName name="_77755">#REF!</definedName>
    <definedName name="_78_____________________________________?l_?t">#N/A</definedName>
    <definedName name="_7821">#REF!</definedName>
    <definedName name="_7822">#REF!</definedName>
    <definedName name="_78829">#REF!</definedName>
    <definedName name="_78830">#REF!</definedName>
    <definedName name="_79546">#REF!</definedName>
    <definedName name="_79547">#REF!</definedName>
    <definedName name="_7Excel_BuiltIn_Print_Area_1_1">#REF!</definedName>
    <definedName name="_8_________?l_?t">[13]Ekim!#REF!</definedName>
    <definedName name="_8______∏l_Ωt">'[14]Hasar Hattı'!#REF!</definedName>
    <definedName name="_8___∏l_Ωt">'[14]Hasar Hattı'!#REF!</definedName>
    <definedName name="_8∏l_Ωt">'[27]Hasar Hattı'!#REF!</definedName>
    <definedName name="_80_______________________________________?l_?t">#N/A</definedName>
    <definedName name="_80263">#REF!</definedName>
    <definedName name="_80264">#REF!</definedName>
    <definedName name="_81338">#REF!</definedName>
    <definedName name="_81339">#REF!</definedName>
    <definedName name="_82__________________________________________?l_?t">#N/A</definedName>
    <definedName name="_83132">#REF!</definedName>
    <definedName name="_83133">#REF!</definedName>
    <definedName name="_84____________________________________________?l_?t">#N/A</definedName>
    <definedName name="_84207">#REF!</definedName>
    <definedName name="_84208">#REF!</definedName>
    <definedName name="_84924">#REF!</definedName>
    <definedName name="_84925">#REF!</definedName>
    <definedName name="_86______________________________________________?l_?t">#N/A</definedName>
    <definedName name="_87434">#REF!</definedName>
    <definedName name="_87435">#REF!</definedName>
    <definedName name="_88_______________________________________________?l_?t">#N/A</definedName>
    <definedName name="_88151">#REF!</definedName>
    <definedName name="_88152">#REF!</definedName>
    <definedName name="_8898">#REF!</definedName>
    <definedName name="_8899">#REF!</definedName>
    <definedName name="_89584">#REF!</definedName>
    <definedName name="_89585">#REF!</definedName>
    <definedName name="_9_____∏l_Ωt">'[20]Hasar Hattı'!#REF!</definedName>
    <definedName name="_9__?l_?t">[12]Ekim!#REF!</definedName>
    <definedName name="_9__∏l_Ωt">'[15]Hasar Hattı'!#REF!</definedName>
    <definedName name="_9_?l_?t">[12]Ekim!#REF!</definedName>
    <definedName name="_9∏l_Ωt">'[18]Hasar Hattı'!#REF!</definedName>
    <definedName name="_90_________________________________________________?l_?t">#N/A</definedName>
    <definedName name="_91736">#REF!</definedName>
    <definedName name="_91737">#REF!</definedName>
    <definedName name="_92___________________________________________________?l_?t">#N/A</definedName>
    <definedName name="_93888">#REF!</definedName>
    <definedName name="_93889">#REF!</definedName>
    <definedName name="_94_____________________________________________________?l_?t">#N/A</definedName>
    <definedName name="_94964">#REF!</definedName>
    <definedName name="_94965">#REF!</definedName>
    <definedName name="_96_______________________________________________________?l_?t">#N/A</definedName>
    <definedName name="_97474">#REF!</definedName>
    <definedName name="_97475">#REF!</definedName>
    <definedName name="_98_________________________________________________________?l_?t">#N/A</definedName>
    <definedName name="_99268">#REF!</definedName>
    <definedName name="_99269">#REF!</definedName>
    <definedName name="_99627">#REF!</definedName>
    <definedName name="_99628">#REF!</definedName>
    <definedName name="_9973">#REF!</definedName>
    <definedName name="_9974">#REF!</definedName>
    <definedName name="_99985">#REF!</definedName>
    <definedName name="_99986">#REF!</definedName>
    <definedName name="_a">#REF!</definedName>
    <definedName name="_a_2">#REF!</definedName>
    <definedName name="_a_3">#REF!</definedName>
    <definedName name="_a_4">#REF!</definedName>
    <definedName name="_a_5">#REF!</definedName>
    <definedName name="_a_6">#REF!</definedName>
    <definedName name="_a_7">#REF!</definedName>
    <definedName name="_A33">[28]Foglio1!#REF!</definedName>
    <definedName name="_A644444">#REF!</definedName>
    <definedName name="_abc1" localSheetId="0">'Haziran Gerçekleşen Plan'!_abc1</definedName>
    <definedName name="_abc1">[0]!_abc1</definedName>
    <definedName name="_all1">#REF!</definedName>
    <definedName name="_BQ4.1" hidden="1">#REF!</definedName>
    <definedName name="_BQ4.10" hidden="1">#REF!</definedName>
    <definedName name="_BQ4.2" hidden="1">#REF!</definedName>
    <definedName name="_BQ4.3" hidden="1">#REF!</definedName>
    <definedName name="_BQ4.6" hidden="1">#REF!</definedName>
    <definedName name="_BQ4.7" hidden="1">#REF!</definedName>
    <definedName name="_BQ4.8" hidden="1">#REF!</definedName>
    <definedName name="_BQ4.9" hidden="1">#REF!</definedName>
    <definedName name="_ccc1" localSheetId="0" hidden="1">{#N/A,#N/A,FALSE,"Sheet1 (2)"}</definedName>
    <definedName name="_ccc1" hidden="1">{#N/A,#N/A,FALSE,"Sheet1 (2)"}</definedName>
    <definedName name="_CLP2" localSheetId="0" hidden="1">{#N/A,#N/A,FALSE,"Sheet1 (2)"}</definedName>
    <definedName name="_CLP2" hidden="1">{#N/A,#N/A,FALSE,"Sheet1 (2)"}</definedName>
    <definedName name="_d1" localSheetId="0" hidden="1">{#N/A,#N/A,FALSE,"Sheet1 (2)"}</definedName>
    <definedName name="_d1" hidden="1">{#N/A,#N/A,FALSE,"Sheet1 (2)"}</definedName>
    <definedName name="_d2" localSheetId="0" hidden="1">{#N/A,#N/A,FALSE,"Sheet1 (2)"}</definedName>
    <definedName name="_d2" hidden="1">{#N/A,#N/A,FALSE,"Sheet1 (2)"}</definedName>
    <definedName name="_d3" localSheetId="0" hidden="1">{#N/A,#N/A,FALSE,"Sheet1 (2)"}</definedName>
    <definedName name="_d3" hidden="1">{#N/A,#N/A,FALSE,"Sheet1 (2)"}</definedName>
    <definedName name="_d4" localSheetId="0" hidden="1">{#N/A,#N/A,FALSE,"Sheet1 (2)"}</definedName>
    <definedName name="_d4" hidden="1">{#N/A,#N/A,FALSE,"Sheet1 (2)"}</definedName>
    <definedName name="_ddd1" localSheetId="0" hidden="1">{#N/A,#N/A,FALSE,"Sheet1 (2)"}</definedName>
    <definedName name="_ddd1" hidden="1">{#N/A,#N/A,FALSE,"Sheet1 (2)"}</definedName>
    <definedName name="_DEF2" localSheetId="0">{"BRAND",0,"Auto","Auto","";"CTY",0,"Auto","Auto",""}</definedName>
    <definedName name="_DEF2">{"BRAND",0,"Auto","Auto","";"CTY",0,"Auto","Auto",""}</definedName>
    <definedName name="_der1">#REF!</definedName>
    <definedName name="_der2">#REF!</definedName>
    <definedName name="_Dist_Bin" hidden="1">#REF!</definedName>
    <definedName name="_Dist_Values" hidden="1">#REF!</definedName>
    <definedName name="_e1" localSheetId="0" hidden="1">{#N/A,#N/A,FALSE,"Sheet1 (2)"}</definedName>
    <definedName name="_e1" hidden="1">{#N/A,#N/A,FALSE,"Sheet1 (2)"}</definedName>
    <definedName name="_e2" localSheetId="0" hidden="1">{"'Jan - March 2000'!$A$5:$J$46"}</definedName>
    <definedName name="_e2" hidden="1">{"'Jan - March 2000'!$A$5:$J$46"}</definedName>
    <definedName name="_e24" localSheetId="0" hidden="1">{"'Jan - March 2000'!$A$5:$J$46"}</definedName>
    <definedName name="_e24" hidden="1">{"'Jan - March 2000'!$A$5:$J$46"}</definedName>
    <definedName name="_e3" localSheetId="0" hidden="1">{"'Jan - March 2000'!$A$5:$J$46"}</definedName>
    <definedName name="_e3" hidden="1">{"'Jan - March 2000'!$A$5:$J$46"}</definedName>
    <definedName name="_e4" localSheetId="0" hidden="1">{"'Jan - March 2000'!$A$5:$J$46"}</definedName>
    <definedName name="_e4" hidden="1">{"'Jan - March 2000'!$A$5:$J$46"}</definedName>
    <definedName name="_e5" localSheetId="0" hidden="1">{#N/A,#N/A,FALSE,"Sheet1 (2)"}</definedName>
    <definedName name="_e5" hidden="1">{#N/A,#N/A,FALSE,"Sheet1 (2)"}</definedName>
    <definedName name="_e6" localSheetId="0" hidden="1">{"'Jan - March 2000'!$A$5:$J$46"}</definedName>
    <definedName name="_e6" hidden="1">{"'Jan - March 2000'!$A$5:$J$46"}</definedName>
    <definedName name="_f" hidden="1">#REF!</definedName>
    <definedName name="_Fill" hidden="1">#REF!</definedName>
    <definedName name="_Fill1" hidden="1">#REF!</definedName>
    <definedName name="_xlnm._FilterDatabase" localSheetId="0" hidden="1">'Haziran Gerçekleşen Plan'!$B$12:$O$12</definedName>
    <definedName name="_xlnm._FilterDatabase" hidden="1">#REF!</definedName>
    <definedName name="_GHI2" localSheetId="0">{"VOLUME","SUM(VOLUME)","YNNNN",FALSE}</definedName>
    <definedName name="_GHI2">{"VOLUME","SUM(VOLUME)","YNNNN",FALSE}</definedName>
    <definedName name="_IV90000">[2]TUBORG!#REF!</definedName>
    <definedName name="_Jim1" localSheetId="0" hidden="1">{#N/A,#N/A,FALSE,"L&amp;M Performance";#N/A,#N/A,FALSE,"Brand Performance";#N/A,#N/A,FALSE,"Marlboro Performance"}</definedName>
    <definedName name="_Jim1" hidden="1">{#N/A,#N/A,FALSE,"L&amp;M Performance";#N/A,#N/A,FALSE,"Brand Performance";#N/A,#N/A,FALSE,"Marlboro Performance"}</definedName>
    <definedName name="_jim2" localSheetId="0" hidden="1">{#N/A,#N/A,FALSE,"L&amp;M Performance";#N/A,#N/A,FALSE,"Brand Performance";#N/A,#N/A,FALSE,"Marlboro Performance"}</definedName>
    <definedName name="_jim2" hidden="1">{#N/A,#N/A,FALSE,"L&amp;M Performance";#N/A,#N/A,FALSE,"Brand Performance";#N/A,#N/A,FALSE,"Marlboro Performance"}</definedName>
    <definedName name="_ka7">#REF!</definedName>
    <definedName name="_KAN7">#REF!</definedName>
    <definedName name="_Key1" hidden="1">#REF!</definedName>
    <definedName name="_key11" hidden="1">#REF!</definedName>
    <definedName name="_Key2" hidden="1">#REF!</definedName>
    <definedName name="_Key3" hidden="1">#REF!</definedName>
    <definedName name="_Key4" hidden="1">#REF!</definedName>
    <definedName name="_key5" hidden="1">#REF!</definedName>
    <definedName name="_key55" hidden="1">#REF!</definedName>
    <definedName name="_key66" hidden="1">#REF!</definedName>
    <definedName name="_key8" hidden="1">#REF!</definedName>
    <definedName name="_key9" hidden="1">#REF!</definedName>
    <definedName name="_KR11">[4]Foglio1!#REF!</definedName>
    <definedName name="_KR12">[4]Foglio1!#REF!</definedName>
    <definedName name="_KR13">[4]Foglio1!#REF!</definedName>
    <definedName name="_KR14">[4]Foglio1!#REF!</definedName>
    <definedName name="_KR15">[4]Foglio1!#REF!</definedName>
    <definedName name="_KR16">[4]Foglio1!#REF!</definedName>
    <definedName name="_KR17">[4]Foglio1!#REF!</definedName>
    <definedName name="_KR18">[4]Foglio1!#REF!</definedName>
    <definedName name="_KR19">[4]Foglio1!#REF!</definedName>
    <definedName name="_KRF10">[4]Foglio1!#REF!</definedName>
    <definedName name="_KRF6">[4]Foglio1!#REF!</definedName>
    <definedName name="_KRF7">[4]Foglio1!#REF!</definedName>
    <definedName name="_KRF8">[4]Foglio1!#REF!</definedName>
    <definedName name="_KRF9">[4]Foglio1!#REF!</definedName>
    <definedName name="_kry6" hidden="1">#REF!</definedName>
    <definedName name="_KUR2">#REF!</definedName>
    <definedName name="_ky2" hidden="1">#REF!</definedName>
    <definedName name="_l_?t">[29]Ekim!#REF!</definedName>
    <definedName name="_l_Ωt">#REF!</definedName>
    <definedName name="_ME1">#REF!</definedName>
    <definedName name="_ME2">#REF!</definedName>
    <definedName name="_ME3">#REF!</definedName>
    <definedName name="_ME4">#REF!</definedName>
    <definedName name="_ME5">#REF!</definedName>
    <definedName name="_ME6">#REF!</definedName>
    <definedName name="_ME7">#REF!</definedName>
    <definedName name="_ME8">#REF!</definedName>
    <definedName name="_NBV2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OB03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ooh2" localSheetId="0" hidden="1">{#N/A,#N/A,FALSE,"Sheet1 (2)"}</definedName>
    <definedName name="_ooh2" hidden="1">{#N/A,#N/A,FALSE,"Sheet1 (2)"}</definedName>
    <definedName name="_ooh2_1" localSheetId="0" hidden="1">{#N/A,#N/A,FALSE,"Sheet1 (2)"}</definedName>
    <definedName name="_ooh2_1" hidden="1">{#N/A,#N/A,FALSE,"Sheet1 (2)"}</definedName>
    <definedName name="_ooh2_1_1" localSheetId="0" hidden="1">{#N/A,#N/A,FALSE,"Sheet1 (2)"}</definedName>
    <definedName name="_ooh2_1_1" hidden="1">{#N/A,#N/A,FALSE,"Sheet1 (2)"}</definedName>
    <definedName name="_ooh2_1_2" localSheetId="0" hidden="1">{#N/A,#N/A,FALSE,"Sheet1 (2)"}</definedName>
    <definedName name="_ooh2_1_2" hidden="1">{#N/A,#N/A,FALSE,"Sheet1 (2)"}</definedName>
    <definedName name="_ooh2_1_3" localSheetId="0" hidden="1">{#N/A,#N/A,FALSE,"Sheet1 (2)"}</definedName>
    <definedName name="_ooh2_1_3" hidden="1">{#N/A,#N/A,FALSE,"Sheet1 (2)"}</definedName>
    <definedName name="_ooh2_2" localSheetId="0" hidden="1">{#N/A,#N/A,FALSE,"Sheet1 (2)"}</definedName>
    <definedName name="_ooh2_2" hidden="1">{#N/A,#N/A,FALSE,"Sheet1 (2)"}</definedName>
    <definedName name="_ooh2_2_1" localSheetId="0" hidden="1">{#N/A,#N/A,FALSE,"Sheet1 (2)"}</definedName>
    <definedName name="_ooh2_2_1" hidden="1">{#N/A,#N/A,FALSE,"Sheet1 (2)"}</definedName>
    <definedName name="_ooh2_2_2" localSheetId="0" hidden="1">{#N/A,#N/A,FALSE,"Sheet1 (2)"}</definedName>
    <definedName name="_ooh2_2_2" hidden="1">{#N/A,#N/A,FALSE,"Sheet1 (2)"}</definedName>
    <definedName name="_ooh2_3" localSheetId="0" hidden="1">{#N/A,#N/A,FALSE,"Sheet1 (2)"}</definedName>
    <definedName name="_ooh2_3" hidden="1">{#N/A,#N/A,FALSE,"Sheet1 (2)"}</definedName>
    <definedName name="_ooh2_4" localSheetId="0" hidden="1">{#N/A,#N/A,FALSE,"Sheet1 (2)"}</definedName>
    <definedName name="_ooh2_4" hidden="1">{#N/A,#N/A,FALSE,"Sheet1 (2)"}</definedName>
    <definedName name="_Order1">255</definedName>
    <definedName name="_Order2">255</definedName>
    <definedName name="_per3">#REF!</definedName>
    <definedName name="_piv3">#REF!</definedName>
    <definedName name="_Print_Area">#N/A</definedName>
    <definedName name="_Regression_Int">1</definedName>
    <definedName name="_SAU42">#REF!</definedName>
    <definedName name="_SL3">#REF!</definedName>
    <definedName name="_Sort" hidden="1">#REF!</definedName>
    <definedName name="_Sort2" hidden="1">#REF!</definedName>
    <definedName name="_sr200000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sum1">#REF!</definedName>
    <definedName name="_sum2">#REF!</definedName>
    <definedName name="_TOP2000">#REF!</definedName>
    <definedName name="_TOP97">#REF!</definedName>
    <definedName name="_TOP98">#REF!</definedName>
    <definedName name="_TOP99">#REF!</definedName>
    <definedName name="_TOZ2">#REF!</definedName>
    <definedName name="_TRT1">#REF!</definedName>
    <definedName name="_TV8">#REF!</definedName>
    <definedName name="_TV9598">[8]Makro1!$A$1</definedName>
    <definedName name="_x2" localSheetId="0" hidden="1">{"'Jan - March 2000'!$A$5:$J$46"}</definedName>
    <definedName name="_x2" hidden="1">{"'Jan - March 2000'!$A$5:$J$46"}</definedName>
    <definedName name="_x3" localSheetId="0" hidden="1">{"'Jan - March 2000'!$A$5:$J$46"}</definedName>
    <definedName name="_x3" hidden="1">{"'Jan - March 2000'!$A$5:$J$46"}</definedName>
    <definedName name="_x4" localSheetId="0" hidden="1">{"'Jan - March 2000'!$A$5:$J$46"}</definedName>
    <definedName name="_x4" hidden="1">{"'Jan - March 2000'!$A$5:$J$46"}</definedName>
    <definedName name="_x5" localSheetId="0" hidden="1">{"'Jan - March 2000'!$A$5:$J$46"}</definedName>
    <definedName name="_x5" hidden="1">{"'Jan - March 2000'!$A$5:$J$46"}</definedName>
    <definedName name="_x6" localSheetId="0" hidden="1">{"'Jan - March 2000'!$A$5:$J$46"}</definedName>
    <definedName name="_x6" hidden="1">{"'Jan - March 2000'!$A$5:$J$46"}</definedName>
    <definedName name="_x8" localSheetId="0" hidden="1">{"'Jan - March 2000'!$A$5:$J$46"}</definedName>
    <definedName name="_x8" hidden="1">{"'Jan - March 2000'!$A$5:$J$46"}</definedName>
    <definedName name="\a">#REF!</definedName>
    <definedName name="\HRHF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\HRH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">#REF!</definedName>
    <definedName name="A_new">#REF!</definedName>
    <definedName name="aa" localSheetId="0" hidden="1">{#N/A,#N/A,FALSE,"Sheet1 (2)"}</definedName>
    <definedName name="aa" hidden="1">{#N/A,#N/A,FALSE,"Sheet1 (2)"}</definedName>
    <definedName name="aa_1" localSheetId="0" hidden="1">{#N/A,#N/A,FALSE,"Sheet1 (2)"}</definedName>
    <definedName name="aa_1" hidden="1">{#N/A,#N/A,FALSE,"Sheet1 (2)"}</definedName>
    <definedName name="aa_1_1" localSheetId="0" hidden="1">{#N/A,#N/A,FALSE,"Sheet1 (2)"}</definedName>
    <definedName name="aa_1_1" hidden="1">{#N/A,#N/A,FALSE,"Sheet1 (2)"}</definedName>
    <definedName name="aa_1_2" localSheetId="0" hidden="1">{#N/A,#N/A,FALSE,"Sheet1 (2)"}</definedName>
    <definedName name="aa_1_2" hidden="1">{#N/A,#N/A,FALSE,"Sheet1 (2)"}</definedName>
    <definedName name="aa_1_3" localSheetId="0" hidden="1">{#N/A,#N/A,FALSE,"Sheet1 (2)"}</definedName>
    <definedName name="aa_1_3" hidden="1">{#N/A,#N/A,FALSE,"Sheet1 (2)"}</definedName>
    <definedName name="aa_2" localSheetId="0" hidden="1">{#N/A,#N/A,FALSE,"Sheet1 (2)"}</definedName>
    <definedName name="aa_2" hidden="1">{#N/A,#N/A,FALSE,"Sheet1 (2)"}</definedName>
    <definedName name="aa_2_1" localSheetId="0" hidden="1">{#N/A,#N/A,FALSE,"Sheet1 (2)"}</definedName>
    <definedName name="aa_2_1" hidden="1">{#N/A,#N/A,FALSE,"Sheet1 (2)"}</definedName>
    <definedName name="aa_2_2" localSheetId="0" hidden="1">{#N/A,#N/A,FALSE,"Sheet1 (2)"}</definedName>
    <definedName name="aa_2_2" hidden="1">{#N/A,#N/A,FALSE,"Sheet1 (2)"}</definedName>
    <definedName name="aa_3" localSheetId="0" hidden="1">{#N/A,#N/A,FALSE,"Sheet1 (2)"}</definedName>
    <definedName name="aa_3" hidden="1">{#N/A,#N/A,FALSE,"Sheet1 (2)"}</definedName>
    <definedName name="aa_4" localSheetId="0" hidden="1">{#N/A,#N/A,FALSE,"Sheet1 (2)"}</definedName>
    <definedName name="aa_4" hidden="1">{#N/A,#N/A,FALSE,"Sheet1 (2)"}</definedName>
    <definedName name="aaa">#REF!</definedName>
    <definedName name="aaa_2">#REF!</definedName>
    <definedName name="aaa_3">#REF!</definedName>
    <definedName name="aaa_4">#REF!</definedName>
    <definedName name="aaa_5">#REF!</definedName>
    <definedName name="aaa_6">#REF!</definedName>
    <definedName name="aaa_7">#REF!</definedName>
    <definedName name="aaaa" localSheetId="0">'Haziran Gerçekleşen Plan'!aaaa</definedName>
    <definedName name="aaaa">[0]!aaaa</definedName>
    <definedName name="aaaaa" localSheetId="0" hidden="1">{#N/A,#N/A,FALSE,"Sheet1 (2)"}</definedName>
    <definedName name="aaaaa" hidden="1">{#N/A,#N/A,FALSE,"Sheet1 (2)"}</definedName>
    <definedName name="aaaaaaa" localSheetId="0" hidden="1">{#N/A,#N/A,FALSE,"Sheet1 (2)"}</definedName>
    <definedName name="aaaaaaa" hidden="1">{#N/A,#N/A,FALSE,"Sheet1 (2)"}</definedName>
    <definedName name="aaaaaaa_1" localSheetId="0" hidden="1">{#N/A,#N/A,FALSE,"Sheet1 (2)"}</definedName>
    <definedName name="aaaaaaa_1" hidden="1">{#N/A,#N/A,FALSE,"Sheet1 (2)"}</definedName>
    <definedName name="aaaaaaa_1_1" localSheetId="0" hidden="1">{#N/A,#N/A,FALSE,"Sheet1 (2)"}</definedName>
    <definedName name="aaaaaaa_1_1" hidden="1">{#N/A,#N/A,FALSE,"Sheet1 (2)"}</definedName>
    <definedName name="aaaaaaa_1_2" localSheetId="0" hidden="1">{#N/A,#N/A,FALSE,"Sheet1 (2)"}</definedName>
    <definedName name="aaaaaaa_1_2" hidden="1">{#N/A,#N/A,FALSE,"Sheet1 (2)"}</definedName>
    <definedName name="aaaaaaa_1_3" localSheetId="0" hidden="1">{#N/A,#N/A,FALSE,"Sheet1 (2)"}</definedName>
    <definedName name="aaaaaaa_1_3" hidden="1">{#N/A,#N/A,FALSE,"Sheet1 (2)"}</definedName>
    <definedName name="aaaaaaa_2" localSheetId="0" hidden="1">{#N/A,#N/A,FALSE,"Sheet1 (2)"}</definedName>
    <definedName name="aaaaaaa_2" hidden="1">{#N/A,#N/A,FALSE,"Sheet1 (2)"}</definedName>
    <definedName name="aaaaaaa_2_1" localSheetId="0" hidden="1">{#N/A,#N/A,FALSE,"Sheet1 (2)"}</definedName>
    <definedName name="aaaaaaa_2_1" hidden="1">{#N/A,#N/A,FALSE,"Sheet1 (2)"}</definedName>
    <definedName name="aaaaaaa_2_2" localSheetId="0" hidden="1">{#N/A,#N/A,FALSE,"Sheet1 (2)"}</definedName>
    <definedName name="aaaaaaa_2_2" hidden="1">{#N/A,#N/A,FALSE,"Sheet1 (2)"}</definedName>
    <definedName name="aaaaaaa_3" localSheetId="0" hidden="1">{#N/A,#N/A,FALSE,"Sheet1 (2)"}</definedName>
    <definedName name="aaaaaaa_3" hidden="1">{#N/A,#N/A,FALSE,"Sheet1 (2)"}</definedName>
    <definedName name="aaaaaaa_4" localSheetId="0" hidden="1">{#N/A,#N/A,FALSE,"Sheet1 (2)"}</definedName>
    <definedName name="aaaaaaa_4" hidden="1">{#N/A,#N/A,FALSE,"Sheet1 (2)"}</definedName>
    <definedName name="AAAAAAAA" localSheetId="0" hidden="1">{#N/A,#N/A,FALSE,"Sheet1 (2)"}</definedName>
    <definedName name="AAAAAAAA" hidden="1">{#N/A,#N/A,FALSE,"Sheet1 (2)"}</definedName>
    <definedName name="AAAAAAAA_1" localSheetId="0" hidden="1">{#N/A,#N/A,FALSE,"Sheet1 (2)"}</definedName>
    <definedName name="AAAAAAAA_1" hidden="1">{#N/A,#N/A,FALSE,"Sheet1 (2)"}</definedName>
    <definedName name="AAAAAAAA_1_1" localSheetId="0" hidden="1">{#N/A,#N/A,FALSE,"Sheet1 (2)"}</definedName>
    <definedName name="AAAAAAAA_1_1" hidden="1">{#N/A,#N/A,FALSE,"Sheet1 (2)"}</definedName>
    <definedName name="AAAAAAAA_1_2" localSheetId="0" hidden="1">{#N/A,#N/A,FALSE,"Sheet1 (2)"}</definedName>
    <definedName name="AAAAAAAA_1_2" hidden="1">{#N/A,#N/A,FALSE,"Sheet1 (2)"}</definedName>
    <definedName name="AAAAAAAA_1_3" localSheetId="0" hidden="1">{#N/A,#N/A,FALSE,"Sheet1 (2)"}</definedName>
    <definedName name="AAAAAAAA_1_3" hidden="1">{#N/A,#N/A,FALSE,"Sheet1 (2)"}</definedName>
    <definedName name="AAAAAAAA_2" localSheetId="0" hidden="1">{#N/A,#N/A,FALSE,"Sheet1 (2)"}</definedName>
    <definedName name="AAAAAAAA_2" hidden="1">{#N/A,#N/A,FALSE,"Sheet1 (2)"}</definedName>
    <definedName name="AAAAAAAA_2_1" localSheetId="0" hidden="1">{#N/A,#N/A,FALSE,"Sheet1 (2)"}</definedName>
    <definedName name="AAAAAAAA_2_1" hidden="1">{#N/A,#N/A,FALSE,"Sheet1 (2)"}</definedName>
    <definedName name="AAAAAAAA_2_2" localSheetId="0" hidden="1">{#N/A,#N/A,FALSE,"Sheet1 (2)"}</definedName>
    <definedName name="AAAAAAAA_2_2" hidden="1">{#N/A,#N/A,FALSE,"Sheet1 (2)"}</definedName>
    <definedName name="AAAAAAAA_3" localSheetId="0" hidden="1">{#N/A,#N/A,FALSE,"Sheet1 (2)"}</definedName>
    <definedName name="AAAAAAAA_3" hidden="1">{#N/A,#N/A,FALSE,"Sheet1 (2)"}</definedName>
    <definedName name="AAAAAAAA_4" localSheetId="0" hidden="1">{#N/A,#N/A,FALSE,"Sheet1 (2)"}</definedName>
    <definedName name="AAAAAAAA_4" hidden="1">{#N/A,#N/A,FALSE,"Sheet1 (2)"}</definedName>
    <definedName name="aaaaaaaaa" localSheetId="0" hidden="1">{#N/A,#N/A,FALSE,"Sheet1 (2)"}</definedName>
    <definedName name="aaaaaaaaa" hidden="1">{#N/A,#N/A,FALSE,"Sheet1 (2)"}</definedName>
    <definedName name="aaaaaaaaa_1" localSheetId="0" hidden="1">{#N/A,#N/A,FALSE,"Sheet1 (2)"}</definedName>
    <definedName name="aaaaaaaaa_1" hidden="1">{#N/A,#N/A,FALSE,"Sheet1 (2)"}</definedName>
    <definedName name="aaaaaaaaa_1_1" localSheetId="0" hidden="1">{#N/A,#N/A,FALSE,"Sheet1 (2)"}</definedName>
    <definedName name="aaaaaaaaa_1_1" hidden="1">{#N/A,#N/A,FALSE,"Sheet1 (2)"}</definedName>
    <definedName name="aaaaaaaaa_1_2" localSheetId="0" hidden="1">{#N/A,#N/A,FALSE,"Sheet1 (2)"}</definedName>
    <definedName name="aaaaaaaaa_1_2" hidden="1">{#N/A,#N/A,FALSE,"Sheet1 (2)"}</definedName>
    <definedName name="aaaaaaaaa_1_3" localSheetId="0" hidden="1">{#N/A,#N/A,FALSE,"Sheet1 (2)"}</definedName>
    <definedName name="aaaaaaaaa_1_3" hidden="1">{#N/A,#N/A,FALSE,"Sheet1 (2)"}</definedName>
    <definedName name="aaaaaaaaa_2" localSheetId="0" hidden="1">{#N/A,#N/A,FALSE,"Sheet1 (2)"}</definedName>
    <definedName name="aaaaaaaaa_2" hidden="1">{#N/A,#N/A,FALSE,"Sheet1 (2)"}</definedName>
    <definedName name="aaaaaaaaa_2_1" localSheetId="0" hidden="1">{#N/A,#N/A,FALSE,"Sheet1 (2)"}</definedName>
    <definedName name="aaaaaaaaa_2_1" hidden="1">{#N/A,#N/A,FALSE,"Sheet1 (2)"}</definedName>
    <definedName name="aaaaaaaaa_2_2" localSheetId="0" hidden="1">{#N/A,#N/A,FALSE,"Sheet1 (2)"}</definedName>
    <definedName name="aaaaaaaaa_2_2" hidden="1">{#N/A,#N/A,FALSE,"Sheet1 (2)"}</definedName>
    <definedName name="aaaaaaaaa_3" localSheetId="0" hidden="1">{#N/A,#N/A,FALSE,"Sheet1 (2)"}</definedName>
    <definedName name="aaaaaaaaa_3" hidden="1">{#N/A,#N/A,FALSE,"Sheet1 (2)"}</definedName>
    <definedName name="aaaaaaaaa_4" localSheetId="0" hidden="1">{#N/A,#N/A,FALSE,"Sheet1 (2)"}</definedName>
    <definedName name="aaaaaaaaa_4" hidden="1">{#N/A,#N/A,FALSE,"Sheet1 (2)"}</definedName>
    <definedName name="AAAAAAAAAAA" localSheetId="0" hidden="1">{#N/A,#N/A,FALSE,"Sheet1 (2)"}</definedName>
    <definedName name="AAAAAAAAAAA" hidden="1">{#N/A,#N/A,FALSE,"Sheet1 (2)"}</definedName>
    <definedName name="AAAAAAAAAAA_1" localSheetId="0" hidden="1">{#N/A,#N/A,FALSE,"Sheet1 (2)"}</definedName>
    <definedName name="AAAAAAAAAAA_1" hidden="1">{#N/A,#N/A,FALSE,"Sheet1 (2)"}</definedName>
    <definedName name="AAAAAAAAAAA_1_1" localSheetId="0" hidden="1">{#N/A,#N/A,FALSE,"Sheet1 (2)"}</definedName>
    <definedName name="AAAAAAAAAAA_1_1" hidden="1">{#N/A,#N/A,FALSE,"Sheet1 (2)"}</definedName>
    <definedName name="AAAAAAAAAAA_1_2" localSheetId="0" hidden="1">{#N/A,#N/A,FALSE,"Sheet1 (2)"}</definedName>
    <definedName name="AAAAAAAAAAA_1_2" hidden="1">{#N/A,#N/A,FALSE,"Sheet1 (2)"}</definedName>
    <definedName name="AAAAAAAAAAA_1_3" localSheetId="0" hidden="1">{#N/A,#N/A,FALSE,"Sheet1 (2)"}</definedName>
    <definedName name="AAAAAAAAAAA_1_3" hidden="1">{#N/A,#N/A,FALSE,"Sheet1 (2)"}</definedName>
    <definedName name="AAAAAAAAAAA_2" localSheetId="0" hidden="1">{#N/A,#N/A,FALSE,"Sheet1 (2)"}</definedName>
    <definedName name="AAAAAAAAAAA_2" hidden="1">{#N/A,#N/A,FALSE,"Sheet1 (2)"}</definedName>
    <definedName name="AAAAAAAAAAA_2_1" localSheetId="0" hidden="1">{#N/A,#N/A,FALSE,"Sheet1 (2)"}</definedName>
    <definedName name="AAAAAAAAAAA_2_1" hidden="1">{#N/A,#N/A,FALSE,"Sheet1 (2)"}</definedName>
    <definedName name="AAAAAAAAAAA_2_2" localSheetId="0" hidden="1">{#N/A,#N/A,FALSE,"Sheet1 (2)"}</definedName>
    <definedName name="AAAAAAAAAAA_2_2" hidden="1">{#N/A,#N/A,FALSE,"Sheet1 (2)"}</definedName>
    <definedName name="AAAAAAAAAAA_3" localSheetId="0" hidden="1">{#N/A,#N/A,FALSE,"Sheet1 (2)"}</definedName>
    <definedName name="AAAAAAAAAAA_3" hidden="1">{#N/A,#N/A,FALSE,"Sheet1 (2)"}</definedName>
    <definedName name="AAAAAAAAAAA_4" localSheetId="0" hidden="1">{#N/A,#N/A,FALSE,"Sheet1 (2)"}</definedName>
    <definedName name="AAAAAAAAAAA_4" hidden="1">{#N/A,#N/A,FALSE,"Sheet1 (2)"}</definedName>
    <definedName name="aaaaaaaaaaaa" localSheetId="0" hidden="1">{#N/A,#N/A,FALSE,"Sheet1 (2)"}</definedName>
    <definedName name="aaaaaaaaaaaa" hidden="1">{#N/A,#N/A,FALSE,"Sheet1 (2)"}</definedName>
    <definedName name="aaaaaaaaaaaa_1" localSheetId="0" hidden="1">{#N/A,#N/A,FALSE,"Sheet1 (2)"}</definedName>
    <definedName name="aaaaaaaaaaaa_1" hidden="1">{#N/A,#N/A,FALSE,"Sheet1 (2)"}</definedName>
    <definedName name="AAAAAAAAAAAAA" localSheetId="0" hidden="1">{#N/A,#N/A,FALSE,"Sheet1 (2)"}</definedName>
    <definedName name="AAAAAAAAAAAAA" hidden="1">{#N/A,#N/A,FALSE,"Sheet1 (2)"}</definedName>
    <definedName name="AAAAAAAAAAAAA_1" localSheetId="0" hidden="1">{#N/A,#N/A,FALSE,"Sheet1 (2)"}</definedName>
    <definedName name="AAAAAAAAAAAAA_1" hidden="1">{#N/A,#N/A,FALSE,"Sheet1 (2)"}</definedName>
    <definedName name="AAAAAAAAAAAAA_1_1" localSheetId="0" hidden="1">{#N/A,#N/A,FALSE,"Sheet1 (2)"}</definedName>
    <definedName name="AAAAAAAAAAAAA_1_1" hidden="1">{#N/A,#N/A,FALSE,"Sheet1 (2)"}</definedName>
    <definedName name="AAAAAAAAAAAAA_1_2" localSheetId="0" hidden="1">{#N/A,#N/A,FALSE,"Sheet1 (2)"}</definedName>
    <definedName name="AAAAAAAAAAAAA_1_2" hidden="1">{#N/A,#N/A,FALSE,"Sheet1 (2)"}</definedName>
    <definedName name="AAAAAAAAAAAAA_1_3" localSheetId="0" hidden="1">{#N/A,#N/A,FALSE,"Sheet1 (2)"}</definedName>
    <definedName name="AAAAAAAAAAAAA_1_3" hidden="1">{#N/A,#N/A,FALSE,"Sheet1 (2)"}</definedName>
    <definedName name="AAAAAAAAAAAAA_2" localSheetId="0" hidden="1">{#N/A,#N/A,FALSE,"Sheet1 (2)"}</definedName>
    <definedName name="AAAAAAAAAAAAA_2" hidden="1">{#N/A,#N/A,FALSE,"Sheet1 (2)"}</definedName>
    <definedName name="AAAAAAAAAAAAA_2_1" localSheetId="0" hidden="1">{#N/A,#N/A,FALSE,"Sheet1 (2)"}</definedName>
    <definedName name="AAAAAAAAAAAAA_2_1" hidden="1">{#N/A,#N/A,FALSE,"Sheet1 (2)"}</definedName>
    <definedName name="AAAAAAAAAAAAA_2_2" localSheetId="0" hidden="1">{#N/A,#N/A,FALSE,"Sheet1 (2)"}</definedName>
    <definedName name="AAAAAAAAAAAAA_2_2" hidden="1">{#N/A,#N/A,FALSE,"Sheet1 (2)"}</definedName>
    <definedName name="AAAAAAAAAAAAA_3" localSheetId="0" hidden="1">{#N/A,#N/A,FALSE,"Sheet1 (2)"}</definedName>
    <definedName name="AAAAAAAAAAAAA_3" hidden="1">{#N/A,#N/A,FALSE,"Sheet1 (2)"}</definedName>
    <definedName name="AAAAAAAAAAAAA_4" localSheetId="0" hidden="1">{#N/A,#N/A,FALSE,"Sheet1 (2)"}</definedName>
    <definedName name="AAAAAAAAAAAAA_4" hidden="1">{#N/A,#N/A,FALSE,"Sheet1 (2)"}</definedName>
    <definedName name="aaaaaaaaaaaaaaa" localSheetId="0" hidden="1">{#N/A,#N/A,FALSE,"Sheet1 (2)"}</definedName>
    <definedName name="aaaaaaaaaaaaaaa" hidden="1">{#N/A,#N/A,FALSE,"Sheet1 (2)"}</definedName>
    <definedName name="aaaaaaaaaaaaaaa_1" localSheetId="0" hidden="1">{#N/A,#N/A,FALSE,"Sheet1 (2)"}</definedName>
    <definedName name="aaaaaaaaaaaaaaa_1" hidden="1">{#N/A,#N/A,FALSE,"Sheet1 (2)"}</definedName>
    <definedName name="aaaaaaaaaaaaaaa_1_1" localSheetId="0" hidden="1">{#N/A,#N/A,FALSE,"Sheet1 (2)"}</definedName>
    <definedName name="aaaaaaaaaaaaaaa_1_1" hidden="1">{#N/A,#N/A,FALSE,"Sheet1 (2)"}</definedName>
    <definedName name="aaaaaaaaaaaaaaa_1_2" localSheetId="0" hidden="1">{#N/A,#N/A,FALSE,"Sheet1 (2)"}</definedName>
    <definedName name="aaaaaaaaaaaaaaa_1_2" hidden="1">{#N/A,#N/A,FALSE,"Sheet1 (2)"}</definedName>
    <definedName name="aaaaaaaaaaaaaaa_1_3" localSheetId="0" hidden="1">{#N/A,#N/A,FALSE,"Sheet1 (2)"}</definedName>
    <definedName name="aaaaaaaaaaaaaaa_1_3" hidden="1">{#N/A,#N/A,FALSE,"Sheet1 (2)"}</definedName>
    <definedName name="aaaaaaaaaaaaaaa_2" localSheetId="0" hidden="1">{#N/A,#N/A,FALSE,"Sheet1 (2)"}</definedName>
    <definedName name="aaaaaaaaaaaaaaa_2" hidden="1">{#N/A,#N/A,FALSE,"Sheet1 (2)"}</definedName>
    <definedName name="aaaaaaaaaaaaaaa_2_1" localSheetId="0" hidden="1">{#N/A,#N/A,FALSE,"Sheet1 (2)"}</definedName>
    <definedName name="aaaaaaaaaaaaaaa_2_1" hidden="1">{#N/A,#N/A,FALSE,"Sheet1 (2)"}</definedName>
    <definedName name="aaaaaaaaaaaaaaa_2_2" localSheetId="0" hidden="1">{#N/A,#N/A,FALSE,"Sheet1 (2)"}</definedName>
    <definedName name="aaaaaaaaaaaaaaa_2_2" hidden="1">{#N/A,#N/A,FALSE,"Sheet1 (2)"}</definedName>
    <definedName name="aaaaaaaaaaaaaaa_3" localSheetId="0" hidden="1">{#N/A,#N/A,FALSE,"Sheet1 (2)"}</definedName>
    <definedName name="aaaaaaaaaaaaaaa_3" hidden="1">{#N/A,#N/A,FALSE,"Sheet1 (2)"}</definedName>
    <definedName name="aaaaaaaaaaaaaaa_4" localSheetId="0" hidden="1">{#N/A,#N/A,FALSE,"Sheet1 (2)"}</definedName>
    <definedName name="aaaaaaaaaaaaaaa_4" hidden="1">{#N/A,#N/A,FALSE,"Sheet1 (2)"}</definedName>
    <definedName name="aaaaaaaaaaaaaaaaa" localSheetId="0" hidden="1">{#N/A,#N/A,FALSE,"Sheet1 (2)"}</definedName>
    <definedName name="aaaaaaaaaaaaaaaaa" hidden="1">{#N/A,#N/A,FALSE,"Sheet1 (2)"}</definedName>
    <definedName name="aaaaaaaaaaaaaaaaa_1" localSheetId="0" hidden="1">{#N/A,#N/A,FALSE,"Sheet1 (2)"}</definedName>
    <definedName name="aaaaaaaaaaaaaaaaa_1" hidden="1">{#N/A,#N/A,FALSE,"Sheet1 (2)"}</definedName>
    <definedName name="aaaaaaaaaaaaaaaaa_1_1" localSheetId="0" hidden="1">{#N/A,#N/A,FALSE,"Sheet1 (2)"}</definedName>
    <definedName name="aaaaaaaaaaaaaaaaa_1_1" hidden="1">{#N/A,#N/A,FALSE,"Sheet1 (2)"}</definedName>
    <definedName name="aaaaaaaaaaaaaaaaa_1_2" localSheetId="0" hidden="1">{#N/A,#N/A,FALSE,"Sheet1 (2)"}</definedName>
    <definedName name="aaaaaaaaaaaaaaaaa_1_2" hidden="1">{#N/A,#N/A,FALSE,"Sheet1 (2)"}</definedName>
    <definedName name="aaaaaaaaaaaaaaaaa_1_3" localSheetId="0" hidden="1">{#N/A,#N/A,FALSE,"Sheet1 (2)"}</definedName>
    <definedName name="aaaaaaaaaaaaaaaaa_1_3" hidden="1">{#N/A,#N/A,FALSE,"Sheet1 (2)"}</definedName>
    <definedName name="aaaaaaaaaaaaaaaaa_2" localSheetId="0" hidden="1">{#N/A,#N/A,FALSE,"Sheet1 (2)"}</definedName>
    <definedName name="aaaaaaaaaaaaaaaaa_2" hidden="1">{#N/A,#N/A,FALSE,"Sheet1 (2)"}</definedName>
    <definedName name="aaaaaaaaaaaaaaaaa_2_1" localSheetId="0" hidden="1">{#N/A,#N/A,FALSE,"Sheet1 (2)"}</definedName>
    <definedName name="aaaaaaaaaaaaaaaaa_2_1" hidden="1">{#N/A,#N/A,FALSE,"Sheet1 (2)"}</definedName>
    <definedName name="aaaaaaaaaaaaaaaaa_2_2" localSheetId="0" hidden="1">{#N/A,#N/A,FALSE,"Sheet1 (2)"}</definedName>
    <definedName name="aaaaaaaaaaaaaaaaa_2_2" hidden="1">{#N/A,#N/A,FALSE,"Sheet1 (2)"}</definedName>
    <definedName name="aaaaaaaaaaaaaaaaa_3" localSheetId="0" hidden="1">{#N/A,#N/A,FALSE,"Sheet1 (2)"}</definedName>
    <definedName name="aaaaaaaaaaaaaaaaa_3" hidden="1">{#N/A,#N/A,FALSE,"Sheet1 (2)"}</definedName>
    <definedName name="aaaaaaaaaaaaaaaaa_4" localSheetId="0" hidden="1">{#N/A,#N/A,FALSE,"Sheet1 (2)"}</definedName>
    <definedName name="aaaaaaaaaaaaaaaaa_4" hidden="1">{#N/A,#N/A,FALSE,"Sheet1 (2)"}</definedName>
    <definedName name="aaaaaaaaaaaaaaaaaaaa">#REF!</definedName>
    <definedName name="aaaaaaaaaaaaaaaaaaaaa">#N/A</definedName>
    <definedName name="aaaaaaaaaaaaaaaaaaaaaaaa" localSheetId="0" hidden="1">{#N/A,#N/A,FALSE,"Sheet1 (2)"}</definedName>
    <definedName name="aaaaaaaaaaaaaaaaaaaaaaaa" hidden="1">{#N/A,#N/A,FALSE,"Sheet1 (2)"}</definedName>
    <definedName name="aaaaaaaaaaaaaaaaaaaaaaaa_1" localSheetId="0" hidden="1">{#N/A,#N/A,FALSE,"Sheet1 (2)"}</definedName>
    <definedName name="aaaaaaaaaaaaaaaaaaaaaaaa_1" hidden="1">{#N/A,#N/A,FALSE,"Sheet1 (2)"}</definedName>
    <definedName name="aaaaaaaaaaaaaaaaaaaaaaaa_1_1" localSheetId="0" hidden="1">{#N/A,#N/A,FALSE,"Sheet1 (2)"}</definedName>
    <definedName name="aaaaaaaaaaaaaaaaaaaaaaaa_1_1" hidden="1">{#N/A,#N/A,FALSE,"Sheet1 (2)"}</definedName>
    <definedName name="aaaaaaaaaaaaaaaaaaaaaaaa_1_2" localSheetId="0" hidden="1">{#N/A,#N/A,FALSE,"Sheet1 (2)"}</definedName>
    <definedName name="aaaaaaaaaaaaaaaaaaaaaaaa_1_2" hidden="1">{#N/A,#N/A,FALSE,"Sheet1 (2)"}</definedName>
    <definedName name="aaaaaaaaaaaaaaaaaaaaaaaa_1_3" localSheetId="0" hidden="1">{#N/A,#N/A,FALSE,"Sheet1 (2)"}</definedName>
    <definedName name="aaaaaaaaaaaaaaaaaaaaaaaa_1_3" hidden="1">{#N/A,#N/A,FALSE,"Sheet1 (2)"}</definedName>
    <definedName name="aaaaaaaaaaaaaaaaaaaaaaaa_2" localSheetId="0" hidden="1">{#N/A,#N/A,FALSE,"Sheet1 (2)"}</definedName>
    <definedName name="aaaaaaaaaaaaaaaaaaaaaaaa_2" hidden="1">{#N/A,#N/A,FALSE,"Sheet1 (2)"}</definedName>
    <definedName name="aaaaaaaaaaaaaaaaaaaaaaaa_2_1" localSheetId="0" hidden="1">{#N/A,#N/A,FALSE,"Sheet1 (2)"}</definedName>
    <definedName name="aaaaaaaaaaaaaaaaaaaaaaaa_2_1" hidden="1">{#N/A,#N/A,FALSE,"Sheet1 (2)"}</definedName>
    <definedName name="aaaaaaaaaaaaaaaaaaaaaaaa_2_2" localSheetId="0" hidden="1">{#N/A,#N/A,FALSE,"Sheet1 (2)"}</definedName>
    <definedName name="aaaaaaaaaaaaaaaaaaaaaaaa_2_2" hidden="1">{#N/A,#N/A,FALSE,"Sheet1 (2)"}</definedName>
    <definedName name="aaaaaaaaaaaaaaaaaaaaaaaa_3" localSheetId="0" hidden="1">{#N/A,#N/A,FALSE,"Sheet1 (2)"}</definedName>
    <definedName name="aaaaaaaaaaaaaaaaaaaaaaaa_3" hidden="1">{#N/A,#N/A,FALSE,"Sheet1 (2)"}</definedName>
    <definedName name="aaaaaaaaaaaaaaaaaaaaaaaa_4" localSheetId="0" hidden="1">{#N/A,#N/A,FALSE,"Sheet1 (2)"}</definedName>
    <definedName name="aaaaaaaaaaaaaaaaaaaaaaaa_4" hidden="1">{#N/A,#N/A,FALSE,"Sheet1 (2)"}</definedName>
    <definedName name="AAAAAAAAAAAAAAAAAAAAAAAAAAAAA" localSheetId="0" hidden="1">{#N/A,#N/A,FALSE,"Sheet1 (2)"}</definedName>
    <definedName name="AAAAAAAAAAAAAAAAAAAAAAAAAAAAA" hidden="1">{#N/A,#N/A,FALSE,"Sheet1 (2)"}</definedName>
    <definedName name="AAAAAAAAAAAAAAAAAAAAAAAAAAAAA_1" localSheetId="0" hidden="1">{#N/A,#N/A,FALSE,"Sheet1 (2)"}</definedName>
    <definedName name="AAAAAAAAAAAAAAAAAAAAAAAAAAAAA_1" hidden="1">{#N/A,#N/A,FALSE,"Sheet1 (2)"}</definedName>
    <definedName name="AAAAAAAAAB" localSheetId="0" hidden="1">{#N/A,#N/A,FALSE,"Sheet1 (2)"}</definedName>
    <definedName name="AAAAAAAAAB" hidden="1">{#N/A,#N/A,FALSE,"Sheet1 (2)"}</definedName>
    <definedName name="aadd" localSheetId="0" hidden="1">{#N/A,#N/A,FALSE,"Sheet1 (2)"}</definedName>
    <definedName name="aadd" hidden="1">{#N/A,#N/A,FALSE,"Sheet1 (2)"}</definedName>
    <definedName name="aadd_1" localSheetId="0" hidden="1">{#N/A,#N/A,FALSE,"Sheet1 (2)"}</definedName>
    <definedName name="aadd_1" hidden="1">{#N/A,#N/A,FALSE,"Sheet1 (2)"}</definedName>
    <definedName name="aadd_1_1" localSheetId="0" hidden="1">{#N/A,#N/A,FALSE,"Sheet1 (2)"}</definedName>
    <definedName name="aadd_1_1" hidden="1">{#N/A,#N/A,FALSE,"Sheet1 (2)"}</definedName>
    <definedName name="aadd_1_2" localSheetId="0" hidden="1">{#N/A,#N/A,FALSE,"Sheet1 (2)"}</definedName>
    <definedName name="aadd_1_2" hidden="1">{#N/A,#N/A,FALSE,"Sheet1 (2)"}</definedName>
    <definedName name="aadd_1_3" localSheetId="0" hidden="1">{#N/A,#N/A,FALSE,"Sheet1 (2)"}</definedName>
    <definedName name="aadd_1_3" hidden="1">{#N/A,#N/A,FALSE,"Sheet1 (2)"}</definedName>
    <definedName name="aadd_2" localSheetId="0" hidden="1">{#N/A,#N/A,FALSE,"Sheet1 (2)"}</definedName>
    <definedName name="aadd_2" hidden="1">{#N/A,#N/A,FALSE,"Sheet1 (2)"}</definedName>
    <definedName name="aadd_2_1" localSheetId="0" hidden="1">{#N/A,#N/A,FALSE,"Sheet1 (2)"}</definedName>
    <definedName name="aadd_2_1" hidden="1">{#N/A,#N/A,FALSE,"Sheet1 (2)"}</definedName>
    <definedName name="aadd_2_2" localSheetId="0" hidden="1">{#N/A,#N/A,FALSE,"Sheet1 (2)"}</definedName>
    <definedName name="aadd_2_2" hidden="1">{#N/A,#N/A,FALSE,"Sheet1 (2)"}</definedName>
    <definedName name="aadd_3" localSheetId="0" hidden="1">{#N/A,#N/A,FALSE,"Sheet1 (2)"}</definedName>
    <definedName name="aadd_3" hidden="1">{#N/A,#N/A,FALSE,"Sheet1 (2)"}</definedName>
    <definedName name="aadd_4" localSheetId="0" hidden="1">{#N/A,#N/A,FALSE,"Sheet1 (2)"}</definedName>
    <definedName name="aadd_4" hidden="1">{#N/A,#N/A,FALSE,"Sheet1 (2)"}</definedName>
    <definedName name="aadfrger" localSheetId="0" hidden="1">{#N/A,#N/A,FALSE,"Sheet1 (2)"}</definedName>
    <definedName name="aadfrger" hidden="1">{#N/A,#N/A,FALSE,"Sheet1 (2)"}</definedName>
    <definedName name="aadfrger_1" localSheetId="0" hidden="1">{#N/A,#N/A,FALSE,"Sheet1 (2)"}</definedName>
    <definedName name="aadfrger_1" hidden="1">{#N/A,#N/A,FALSE,"Sheet1 (2)"}</definedName>
    <definedName name="AasAS">#REF!</definedName>
    <definedName name="aasfbhg" localSheetId="0" hidden="1">{#N/A,#N/A,FALSE,"Sheet1 (2)"}</definedName>
    <definedName name="aasfbhg" hidden="1">{#N/A,#N/A,FALSE,"Sheet1 (2)"}</definedName>
    <definedName name="aasfbhg_1" localSheetId="0" hidden="1">{#N/A,#N/A,FALSE,"Sheet1 (2)"}</definedName>
    <definedName name="aasfbhg_1" hidden="1">{#N/A,#N/A,FALSE,"Sheet1 (2)"}</definedName>
    <definedName name="aasfbhg_1_1" localSheetId="0" hidden="1">{#N/A,#N/A,FALSE,"Sheet1 (2)"}</definedName>
    <definedName name="aasfbhg_1_1" hidden="1">{#N/A,#N/A,FALSE,"Sheet1 (2)"}</definedName>
    <definedName name="aasfbhg_1_2" localSheetId="0" hidden="1">{#N/A,#N/A,FALSE,"Sheet1 (2)"}</definedName>
    <definedName name="aasfbhg_1_2" hidden="1">{#N/A,#N/A,FALSE,"Sheet1 (2)"}</definedName>
    <definedName name="aasfbhg_1_3" localSheetId="0" hidden="1">{#N/A,#N/A,FALSE,"Sheet1 (2)"}</definedName>
    <definedName name="aasfbhg_1_3" hidden="1">{#N/A,#N/A,FALSE,"Sheet1 (2)"}</definedName>
    <definedName name="aasfbhg_2" localSheetId="0" hidden="1">{#N/A,#N/A,FALSE,"Sheet1 (2)"}</definedName>
    <definedName name="aasfbhg_2" hidden="1">{#N/A,#N/A,FALSE,"Sheet1 (2)"}</definedName>
    <definedName name="aasfbhg_2_1" localSheetId="0" hidden="1">{#N/A,#N/A,FALSE,"Sheet1 (2)"}</definedName>
    <definedName name="aasfbhg_2_1" hidden="1">{#N/A,#N/A,FALSE,"Sheet1 (2)"}</definedName>
    <definedName name="aasfbhg_2_2" localSheetId="0" hidden="1">{#N/A,#N/A,FALSE,"Sheet1 (2)"}</definedName>
    <definedName name="aasfbhg_2_2" hidden="1">{#N/A,#N/A,FALSE,"Sheet1 (2)"}</definedName>
    <definedName name="aasfbhg_3" localSheetId="0" hidden="1">{#N/A,#N/A,FALSE,"Sheet1 (2)"}</definedName>
    <definedName name="aasfbhg_3" hidden="1">{#N/A,#N/A,FALSE,"Sheet1 (2)"}</definedName>
    <definedName name="aasfbhg_4" localSheetId="0" hidden="1">{#N/A,#N/A,FALSE,"Sheet1 (2)"}</definedName>
    <definedName name="aasfbhg_4" hidden="1">{#N/A,#N/A,FALSE,"Sheet1 (2)"}</definedName>
    <definedName name="aass" localSheetId="0" hidden="1">{#N/A,#N/A,FALSE,"Sheet1 (2)"}</definedName>
    <definedName name="aass" hidden="1">{#N/A,#N/A,FALSE,"Sheet1 (2)"}</definedName>
    <definedName name="aawfewae" localSheetId="0" hidden="1">{#N/A,#N/A,FALSE,"Sheet1 (2)"}</definedName>
    <definedName name="aawfewae" hidden="1">{#N/A,#N/A,FALSE,"Sheet1 (2)"}</definedName>
    <definedName name="aawfewae_1" localSheetId="0" hidden="1">{#N/A,#N/A,FALSE,"Sheet1 (2)"}</definedName>
    <definedName name="aawfewae_1" hidden="1">{#N/A,#N/A,FALSE,"Sheet1 (2)"}</definedName>
    <definedName name="aawfewae_1_1" localSheetId="0" hidden="1">{#N/A,#N/A,FALSE,"Sheet1 (2)"}</definedName>
    <definedName name="aawfewae_1_1" hidden="1">{#N/A,#N/A,FALSE,"Sheet1 (2)"}</definedName>
    <definedName name="aawfewae_1_2" localSheetId="0" hidden="1">{#N/A,#N/A,FALSE,"Sheet1 (2)"}</definedName>
    <definedName name="aawfewae_1_2" hidden="1">{#N/A,#N/A,FALSE,"Sheet1 (2)"}</definedName>
    <definedName name="aawfewae_1_3" localSheetId="0" hidden="1">{#N/A,#N/A,FALSE,"Sheet1 (2)"}</definedName>
    <definedName name="aawfewae_1_3" hidden="1">{#N/A,#N/A,FALSE,"Sheet1 (2)"}</definedName>
    <definedName name="aawfewae_2" localSheetId="0" hidden="1">{#N/A,#N/A,FALSE,"Sheet1 (2)"}</definedName>
    <definedName name="aawfewae_2" hidden="1">{#N/A,#N/A,FALSE,"Sheet1 (2)"}</definedName>
    <definedName name="aawfewae_2_1" localSheetId="0" hidden="1">{#N/A,#N/A,FALSE,"Sheet1 (2)"}</definedName>
    <definedName name="aawfewae_2_1" hidden="1">{#N/A,#N/A,FALSE,"Sheet1 (2)"}</definedName>
    <definedName name="aawfewae_2_2" localSheetId="0" hidden="1">{#N/A,#N/A,FALSE,"Sheet1 (2)"}</definedName>
    <definedName name="aawfewae_2_2" hidden="1">{#N/A,#N/A,FALSE,"Sheet1 (2)"}</definedName>
    <definedName name="aawfewae_3" localSheetId="0" hidden="1">{#N/A,#N/A,FALSE,"Sheet1 (2)"}</definedName>
    <definedName name="aawfewae_3" hidden="1">{#N/A,#N/A,FALSE,"Sheet1 (2)"}</definedName>
    <definedName name="aawfewae_4" localSheetId="0" hidden="1">{#N/A,#N/A,FALSE,"Sheet1 (2)"}</definedName>
    <definedName name="aawfewae_4" hidden="1">{#N/A,#N/A,FALSE,"Sheet1 (2)"}</definedName>
    <definedName name="ab" localSheetId="0" hidden="1">{#N/A,#N/A,FALSE,"Sheet1 (2)"}</definedName>
    <definedName name="ab" hidden="1">{#N/A,#N/A,FALSE,"Sheet1 (2)"}</definedName>
    <definedName name="ab_1" localSheetId="0" hidden="1">{#N/A,#N/A,FALSE,"Sheet1 (2)"}</definedName>
    <definedName name="ab_1" hidden="1">{#N/A,#N/A,FALSE,"Sheet1 (2)"}</definedName>
    <definedName name="abc" localSheetId="0">'Haziran Gerçekleşen Plan'!abc</definedName>
    <definedName name="abc">[0]!abc</definedName>
    <definedName name="abc_1" localSheetId="0" hidden="1">{#N/A,#N/A,FALSE,"Sheet1 (2)"}</definedName>
    <definedName name="abc_1" hidden="1">{#N/A,#N/A,FALSE,"Sheet1 (2)"}</definedName>
    <definedName name="abc_1_1" localSheetId="0" hidden="1">{#N/A,#N/A,FALSE,"Sheet1 (2)"}</definedName>
    <definedName name="abc_1_1" hidden="1">{#N/A,#N/A,FALSE,"Sheet1 (2)"}</definedName>
    <definedName name="abc_1_2" localSheetId="0" hidden="1">{#N/A,#N/A,FALSE,"Sheet1 (2)"}</definedName>
    <definedName name="abc_1_2" hidden="1">{#N/A,#N/A,FALSE,"Sheet1 (2)"}</definedName>
    <definedName name="abc_1_3" localSheetId="0" hidden="1">{#N/A,#N/A,FALSE,"Sheet1 (2)"}</definedName>
    <definedName name="abc_1_3" hidden="1">{#N/A,#N/A,FALSE,"Sheet1 (2)"}</definedName>
    <definedName name="abc_2" localSheetId="0" hidden="1">{#N/A,#N/A,FALSE,"Sheet1 (2)"}</definedName>
    <definedName name="abc_2" hidden="1">{#N/A,#N/A,FALSE,"Sheet1 (2)"}</definedName>
    <definedName name="abc_2_1" localSheetId="0" hidden="1">{#N/A,#N/A,FALSE,"Sheet1 (2)"}</definedName>
    <definedName name="abc_2_1" hidden="1">{#N/A,#N/A,FALSE,"Sheet1 (2)"}</definedName>
    <definedName name="abc_2_2" localSheetId="0" hidden="1">{#N/A,#N/A,FALSE,"Sheet1 (2)"}</definedName>
    <definedName name="abc_2_2" hidden="1">{#N/A,#N/A,FALSE,"Sheet1 (2)"}</definedName>
    <definedName name="abc_3" localSheetId="0" hidden="1">{#N/A,#N/A,FALSE,"Sheet1 (2)"}</definedName>
    <definedName name="abc_3" hidden="1">{#N/A,#N/A,FALSE,"Sheet1 (2)"}</definedName>
    <definedName name="abc_4" localSheetId="0" hidden="1">{#N/A,#N/A,FALSE,"Sheet1 (2)"}</definedName>
    <definedName name="abc_4" hidden="1">{#N/A,#N/A,FALSE,"Sheet1 (2)"}</definedName>
    <definedName name="Accepted_Media_Types">#REF!</definedName>
    <definedName name="AccessDatabase" hidden="1">"C:\My Documents\x FILES\BUCURESTI.mdb"</definedName>
    <definedName name="ace" localSheetId="0" hidden="1">{#N/A,#N/A,FALSE,"Sheet1 (2)"}</definedName>
    <definedName name="ace" hidden="1">{#N/A,#N/A,FALSE,"Sheet1 (2)"}</definedName>
    <definedName name="ace_1" localSheetId="0" hidden="1">{#N/A,#N/A,FALSE,"Sheet1 (2)"}</definedName>
    <definedName name="ace_1" hidden="1">{#N/A,#N/A,FALSE,"Sheet1 (2)"}</definedName>
    <definedName name="ace_1_1" localSheetId="0" hidden="1">{#N/A,#N/A,FALSE,"Sheet1 (2)"}</definedName>
    <definedName name="ace_1_1" hidden="1">{#N/A,#N/A,FALSE,"Sheet1 (2)"}</definedName>
    <definedName name="ace_1_2" localSheetId="0" hidden="1">{#N/A,#N/A,FALSE,"Sheet1 (2)"}</definedName>
    <definedName name="ace_1_2" hidden="1">{#N/A,#N/A,FALSE,"Sheet1 (2)"}</definedName>
    <definedName name="ace_1_3" localSheetId="0" hidden="1">{#N/A,#N/A,FALSE,"Sheet1 (2)"}</definedName>
    <definedName name="ace_1_3" hidden="1">{#N/A,#N/A,FALSE,"Sheet1 (2)"}</definedName>
    <definedName name="ace_2" localSheetId="0" hidden="1">{#N/A,#N/A,FALSE,"Sheet1 (2)"}</definedName>
    <definedName name="ace_2" hidden="1">{#N/A,#N/A,FALSE,"Sheet1 (2)"}</definedName>
    <definedName name="ace_2_1" localSheetId="0" hidden="1">{#N/A,#N/A,FALSE,"Sheet1 (2)"}</definedName>
    <definedName name="ace_2_1" hidden="1">{#N/A,#N/A,FALSE,"Sheet1 (2)"}</definedName>
    <definedName name="ace_2_2" localSheetId="0" hidden="1">{#N/A,#N/A,FALSE,"Sheet1 (2)"}</definedName>
    <definedName name="ace_2_2" hidden="1">{#N/A,#N/A,FALSE,"Sheet1 (2)"}</definedName>
    <definedName name="ace_3" localSheetId="0" hidden="1">{#N/A,#N/A,FALSE,"Sheet1 (2)"}</definedName>
    <definedName name="ace_3" hidden="1">{#N/A,#N/A,FALSE,"Sheet1 (2)"}</definedName>
    <definedName name="ace_4" localSheetId="0" hidden="1">{#N/A,#N/A,FALSE,"Sheet1 (2)"}</definedName>
    <definedName name="ace_4" hidden="1">{#N/A,#N/A,FALSE,"Sheet1 (2)"}</definedName>
    <definedName name="acelya" localSheetId="0" hidden="1">{#N/A,#N/A,FALSE,"Sheet1 (2)"}</definedName>
    <definedName name="acelya" hidden="1">{#N/A,#N/A,FALSE,"Sheet1 (2)"}</definedName>
    <definedName name="acelya_1" localSheetId="0" hidden="1">{#N/A,#N/A,FALSE,"Sheet1 (2)"}</definedName>
    <definedName name="acelya_1" hidden="1">{#N/A,#N/A,FALSE,"Sheet1 (2)"}</definedName>
    <definedName name="acelya_1_1" localSheetId="0" hidden="1">{#N/A,#N/A,FALSE,"Sheet1 (2)"}</definedName>
    <definedName name="acelya_1_1" hidden="1">{#N/A,#N/A,FALSE,"Sheet1 (2)"}</definedName>
    <definedName name="acelya_1_2" localSheetId="0" hidden="1">{#N/A,#N/A,FALSE,"Sheet1 (2)"}</definedName>
    <definedName name="acelya_1_2" hidden="1">{#N/A,#N/A,FALSE,"Sheet1 (2)"}</definedName>
    <definedName name="acelya_1_3" localSheetId="0" hidden="1">{#N/A,#N/A,FALSE,"Sheet1 (2)"}</definedName>
    <definedName name="acelya_1_3" hidden="1">{#N/A,#N/A,FALSE,"Sheet1 (2)"}</definedName>
    <definedName name="acelya_2" localSheetId="0" hidden="1">{#N/A,#N/A,FALSE,"Sheet1 (2)"}</definedName>
    <definedName name="acelya_2" hidden="1">{#N/A,#N/A,FALSE,"Sheet1 (2)"}</definedName>
    <definedName name="acelya_2_1" localSheetId="0" hidden="1">{#N/A,#N/A,FALSE,"Sheet1 (2)"}</definedName>
    <definedName name="acelya_2_1" hidden="1">{#N/A,#N/A,FALSE,"Sheet1 (2)"}</definedName>
    <definedName name="acelya_2_2" localSheetId="0" hidden="1">{#N/A,#N/A,FALSE,"Sheet1 (2)"}</definedName>
    <definedName name="acelya_2_2" hidden="1">{#N/A,#N/A,FALSE,"Sheet1 (2)"}</definedName>
    <definedName name="acelya_3" localSheetId="0" hidden="1">{#N/A,#N/A,FALSE,"Sheet1 (2)"}</definedName>
    <definedName name="acelya_3" hidden="1">{#N/A,#N/A,FALSE,"Sheet1 (2)"}</definedName>
    <definedName name="acelya_4" localSheetId="0" hidden="1">{#N/A,#N/A,FALSE,"Sheet1 (2)"}</definedName>
    <definedName name="acelya_4" hidden="1">{#N/A,#N/A,FALSE,"Sheet1 (2)"}</definedName>
    <definedName name="acikhava_06">#REF!</definedName>
    <definedName name="acikhava_07">#REF!</definedName>
    <definedName name="acikhava_08">#REF!</definedName>
    <definedName name="acık" localSheetId="0" hidden="1">{#N/A,#N/A,FALSE,"Sheet1 (2)"}</definedName>
    <definedName name="acık" hidden="1">{#N/A,#N/A,FALSE,"Sheet1 (2)"}</definedName>
    <definedName name="acık_1" localSheetId="0" hidden="1">{#N/A,#N/A,FALSE,"Sheet1 (2)"}</definedName>
    <definedName name="acık_1" hidden="1">{#N/A,#N/A,FALSE,"Sheet1 (2)"}</definedName>
    <definedName name="acık_1_1" localSheetId="0" hidden="1">{#N/A,#N/A,FALSE,"Sheet1 (2)"}</definedName>
    <definedName name="acık_1_1" hidden="1">{#N/A,#N/A,FALSE,"Sheet1 (2)"}</definedName>
    <definedName name="acık_1_2" localSheetId="0" hidden="1">{#N/A,#N/A,FALSE,"Sheet1 (2)"}</definedName>
    <definedName name="acık_1_2" hidden="1">{#N/A,#N/A,FALSE,"Sheet1 (2)"}</definedName>
    <definedName name="acık_1_3" localSheetId="0" hidden="1">{#N/A,#N/A,FALSE,"Sheet1 (2)"}</definedName>
    <definedName name="acık_1_3" hidden="1">{#N/A,#N/A,FALSE,"Sheet1 (2)"}</definedName>
    <definedName name="acık_2" localSheetId="0" hidden="1">{#N/A,#N/A,FALSE,"Sheet1 (2)"}</definedName>
    <definedName name="acık_2" hidden="1">{#N/A,#N/A,FALSE,"Sheet1 (2)"}</definedName>
    <definedName name="acık_2_1" localSheetId="0" hidden="1">{#N/A,#N/A,FALSE,"Sheet1 (2)"}</definedName>
    <definedName name="acık_2_1" hidden="1">{#N/A,#N/A,FALSE,"Sheet1 (2)"}</definedName>
    <definedName name="acık_2_2" localSheetId="0" hidden="1">{#N/A,#N/A,FALSE,"Sheet1 (2)"}</definedName>
    <definedName name="acık_2_2" hidden="1">{#N/A,#N/A,FALSE,"Sheet1 (2)"}</definedName>
    <definedName name="acık_3" localSheetId="0" hidden="1">{#N/A,#N/A,FALSE,"Sheet1 (2)"}</definedName>
    <definedName name="acık_3" hidden="1">{#N/A,#N/A,FALSE,"Sheet1 (2)"}</definedName>
    <definedName name="acık_4" localSheetId="0" hidden="1">{#N/A,#N/A,FALSE,"Sheet1 (2)"}</definedName>
    <definedName name="acık_4" hidden="1">{#N/A,#N/A,FALSE,"Sheet1 (2)"}</definedName>
    <definedName name="Acıkha" hidden="1">#REF!</definedName>
    <definedName name="açıkhava" localSheetId="0" hidden="1">{#N/A,#N/A,FALSE,"Sheet1 (2)"}</definedName>
    <definedName name="açıkhava" hidden="1">{#N/A,#N/A,FALSE,"Sheet1 (2)"}</definedName>
    <definedName name="açıkhava_1" localSheetId="0" hidden="1">{#N/A,#N/A,FALSE,"Sheet1 (2)"}</definedName>
    <definedName name="açıkhava_1" hidden="1">{#N/A,#N/A,FALSE,"Sheet1 (2)"}</definedName>
    <definedName name="açıkhava_1_1" localSheetId="0" hidden="1">{#N/A,#N/A,FALSE,"Sheet1 (2)"}</definedName>
    <definedName name="açıkhava_1_1" hidden="1">{#N/A,#N/A,FALSE,"Sheet1 (2)"}</definedName>
    <definedName name="açıkhava_1_2" localSheetId="0" hidden="1">{#N/A,#N/A,FALSE,"Sheet1 (2)"}</definedName>
    <definedName name="açıkhava_1_2" hidden="1">{#N/A,#N/A,FALSE,"Sheet1 (2)"}</definedName>
    <definedName name="açıkhava_1_3" localSheetId="0" hidden="1">{#N/A,#N/A,FALSE,"Sheet1 (2)"}</definedName>
    <definedName name="açıkhava_1_3" hidden="1">{#N/A,#N/A,FALSE,"Sheet1 (2)"}</definedName>
    <definedName name="açıkhava_2" localSheetId="0" hidden="1">{#N/A,#N/A,FALSE,"Sheet1 (2)"}</definedName>
    <definedName name="açıkhava_2" hidden="1">{#N/A,#N/A,FALSE,"Sheet1 (2)"}</definedName>
    <definedName name="açıkhava_2_1" localSheetId="0" hidden="1">{#N/A,#N/A,FALSE,"Sheet1 (2)"}</definedName>
    <definedName name="açıkhava_2_1" hidden="1">{#N/A,#N/A,FALSE,"Sheet1 (2)"}</definedName>
    <definedName name="açıkhava_2_2" localSheetId="0" hidden="1">{#N/A,#N/A,FALSE,"Sheet1 (2)"}</definedName>
    <definedName name="açıkhava_2_2" hidden="1">{#N/A,#N/A,FALSE,"Sheet1 (2)"}</definedName>
    <definedName name="açıkhava_3" localSheetId="0" hidden="1">{#N/A,#N/A,FALSE,"Sheet1 (2)"}</definedName>
    <definedName name="açıkhava_3" hidden="1">{#N/A,#N/A,FALSE,"Sheet1 (2)"}</definedName>
    <definedName name="açıkhava_4" localSheetId="0" hidden="1">{#N/A,#N/A,FALSE,"Sheet1 (2)"}</definedName>
    <definedName name="açıkhava_4" hidden="1">{#N/A,#N/A,FALSE,"Sheet1 (2)"}</definedName>
    <definedName name="Açıkhava1">#REF!</definedName>
    <definedName name="actuale" localSheetId="0" hidden="1">{"'Jan - March 2000'!$A$5:$J$46"}</definedName>
    <definedName name="actuale" hidden="1">{"'Jan - March 2000'!$A$5:$J$46"}</definedName>
    <definedName name="ACUNMEDYA">#REF!</definedName>
    <definedName name="ACUNN">#REF!</definedName>
    <definedName name="ACwvu.steve." hidden="1">#REF!</definedName>
    <definedName name="AD">#REF!</definedName>
    <definedName name="ad_1" localSheetId="0" hidden="1">{#N/A,#N/A,FALSE,"Sheet1 (2)"}</definedName>
    <definedName name="ad_1" hidden="1">{#N/A,#N/A,FALSE,"Sheet1 (2)"}</definedName>
    <definedName name="ad_1_1" localSheetId="0" hidden="1">{#N/A,#N/A,FALSE,"Sheet1 (2)"}</definedName>
    <definedName name="ad_1_1" hidden="1">{#N/A,#N/A,FALSE,"Sheet1 (2)"}</definedName>
    <definedName name="ad_1_2" localSheetId="0" hidden="1">{#N/A,#N/A,FALSE,"Sheet1 (2)"}</definedName>
    <definedName name="ad_1_2" hidden="1">{#N/A,#N/A,FALSE,"Sheet1 (2)"}</definedName>
    <definedName name="ad_1_3" localSheetId="0" hidden="1">{#N/A,#N/A,FALSE,"Sheet1 (2)"}</definedName>
    <definedName name="ad_1_3" hidden="1">{#N/A,#N/A,FALSE,"Sheet1 (2)"}</definedName>
    <definedName name="ad_2" localSheetId="0" hidden="1">{#N/A,#N/A,FALSE,"Sheet1 (2)"}</definedName>
    <definedName name="ad_2" hidden="1">{#N/A,#N/A,FALSE,"Sheet1 (2)"}</definedName>
    <definedName name="ad_2_1" localSheetId="0" hidden="1">{#N/A,#N/A,FALSE,"Sheet1 (2)"}</definedName>
    <definedName name="ad_2_1" hidden="1">{#N/A,#N/A,FALSE,"Sheet1 (2)"}</definedName>
    <definedName name="ad_2_2" localSheetId="0" hidden="1">{#N/A,#N/A,FALSE,"Sheet1 (2)"}</definedName>
    <definedName name="ad_2_2" hidden="1">{#N/A,#N/A,FALSE,"Sheet1 (2)"}</definedName>
    <definedName name="ad_3" localSheetId="0" hidden="1">{#N/A,#N/A,FALSE,"Sheet1 (2)"}</definedName>
    <definedName name="ad_3" hidden="1">{#N/A,#N/A,FALSE,"Sheet1 (2)"}</definedName>
    <definedName name="ad_4" localSheetId="0" hidden="1">{#N/A,#N/A,FALSE,"Sheet1 (2)"}</definedName>
    <definedName name="ad_4" hidden="1">{#N/A,#N/A,FALSE,"Sheet1 (2)"}</definedName>
    <definedName name="Ad_Dimensions">#REF!</definedName>
    <definedName name="Ad_Format">[30]Dropdown!$A$4:$A$16</definedName>
    <definedName name="Ad_Serving">[30]Dropdown!$C$4:$C$6</definedName>
    <definedName name="Ad_Tag">#REF!</definedName>
    <definedName name="Ad_Unit">#REF!</definedName>
    <definedName name="Ad_Units_2">[31]Data!$AQ$4:$AQ$27</definedName>
    <definedName name="adada" localSheetId="0" hidden="1">{#N/A,#N/A,FALSE,"Sheet1 (2)"}</definedName>
    <definedName name="adada" hidden="1">{#N/A,#N/A,FALSE,"Sheet1 (2)"}</definedName>
    <definedName name="adadas" localSheetId="0" hidden="1">{"'Jan - March 2000'!$A$5:$J$46"}</definedName>
    <definedName name="adadas" hidden="1">{"'Jan - March 2000'!$A$5:$J$46"}</definedName>
    <definedName name="adADCdfAD">#REF!</definedName>
    <definedName name="ADANA">#REF!</definedName>
    <definedName name="ADANII">#REF!</definedName>
    <definedName name="adasdas" hidden="1">#REF!</definedName>
    <definedName name="adc" localSheetId="0" hidden="1">{#N/A,#N/A,FALSE,"Sheet1 (2)"}</definedName>
    <definedName name="adc" hidden="1">{#N/A,#N/A,FALSE,"Sheet1 (2)"}</definedName>
    <definedName name="adc_1" localSheetId="0" hidden="1">{#N/A,#N/A,FALSE,"Sheet1 (2)"}</definedName>
    <definedName name="adc_1" hidden="1">{#N/A,#N/A,FALSE,"Sheet1 (2)"}</definedName>
    <definedName name="adc_1_1" localSheetId="0" hidden="1">{#N/A,#N/A,FALSE,"Sheet1 (2)"}</definedName>
    <definedName name="adc_1_1" hidden="1">{#N/A,#N/A,FALSE,"Sheet1 (2)"}</definedName>
    <definedName name="adc_1_2" localSheetId="0" hidden="1">{#N/A,#N/A,FALSE,"Sheet1 (2)"}</definedName>
    <definedName name="adc_1_2" hidden="1">{#N/A,#N/A,FALSE,"Sheet1 (2)"}</definedName>
    <definedName name="adc_1_3" localSheetId="0" hidden="1">{#N/A,#N/A,FALSE,"Sheet1 (2)"}</definedName>
    <definedName name="adc_1_3" hidden="1">{#N/A,#N/A,FALSE,"Sheet1 (2)"}</definedName>
    <definedName name="adc_2" localSheetId="0" hidden="1">{#N/A,#N/A,FALSE,"Sheet1 (2)"}</definedName>
    <definedName name="adc_2" hidden="1">{#N/A,#N/A,FALSE,"Sheet1 (2)"}</definedName>
    <definedName name="adc_2_1" localSheetId="0" hidden="1">{#N/A,#N/A,FALSE,"Sheet1 (2)"}</definedName>
    <definedName name="adc_2_1" hidden="1">{#N/A,#N/A,FALSE,"Sheet1 (2)"}</definedName>
    <definedName name="adc_2_2" localSheetId="0" hidden="1">{#N/A,#N/A,FALSE,"Sheet1 (2)"}</definedName>
    <definedName name="adc_2_2" hidden="1">{#N/A,#N/A,FALSE,"Sheet1 (2)"}</definedName>
    <definedName name="adc_3" localSheetId="0" hidden="1">{#N/A,#N/A,FALSE,"Sheet1 (2)"}</definedName>
    <definedName name="adc_3" hidden="1">{#N/A,#N/A,FALSE,"Sheet1 (2)"}</definedName>
    <definedName name="adc_4" localSheetId="0" hidden="1">{#N/A,#N/A,FALSE,"Sheet1 (2)"}</definedName>
    <definedName name="adc_4" hidden="1">{#N/A,#N/A,FALSE,"Sheet1 (2)"}</definedName>
    <definedName name="addasdasd">#REF!</definedName>
    <definedName name="ADDDD" localSheetId="0" hidden="1">{#N/A,#N/A,FALSE,"MALİTABLOLAR";#N/A,#N/A,FALSE,"PERS MSRMRZ";#N/A,#N/A,FALSE,"MALİTABLOLAR";#N/A,#N/A,FALSE,"İskonto"}</definedName>
    <definedName name="ADDDD" hidden="1">{#N/A,#N/A,FALSE,"MALİTABLOLAR";#N/A,#N/A,FALSE,"PERS MSRMRZ";#N/A,#N/A,FALSE,"MALİTABLOLAR";#N/A,#N/A,FALSE,"İskonto"}</definedName>
    <definedName name="ADDDD_1" localSheetId="0" hidden="1">{#N/A,#N/A,FALSE,"MALİTABLOLAR";#N/A,#N/A,FALSE,"PERS MSRMRZ";#N/A,#N/A,FALSE,"MALİTABLOLAR";#N/A,#N/A,FALSE,"İskonto"}</definedName>
    <definedName name="ADDDD_1" hidden="1">{#N/A,#N/A,FALSE,"MALİTABLOLAR";#N/A,#N/A,FALSE,"PERS MSRMRZ";#N/A,#N/A,FALSE,"MALİTABLOLAR";#N/A,#N/A,FALSE,"İskonto"}</definedName>
    <definedName name="ADDDD_1_1" localSheetId="0" hidden="1">{#N/A,#N/A,FALSE,"MALİTABLOLAR";#N/A,#N/A,FALSE,"PERS MSRMRZ";#N/A,#N/A,FALSE,"MALİTABLOLAR";#N/A,#N/A,FALSE,"İskonto"}</definedName>
    <definedName name="ADDDD_1_1" hidden="1">{#N/A,#N/A,FALSE,"MALİTABLOLAR";#N/A,#N/A,FALSE,"PERS MSRMRZ";#N/A,#N/A,FALSE,"MALİTABLOLAR";#N/A,#N/A,FALSE,"İskonto"}</definedName>
    <definedName name="ADDDD_1_2" localSheetId="0" hidden="1">{#N/A,#N/A,FALSE,"MALİTABLOLAR";#N/A,#N/A,FALSE,"PERS MSRMRZ";#N/A,#N/A,FALSE,"MALİTABLOLAR";#N/A,#N/A,FALSE,"İskonto"}</definedName>
    <definedName name="ADDDD_1_2" hidden="1">{#N/A,#N/A,FALSE,"MALİTABLOLAR";#N/A,#N/A,FALSE,"PERS MSRMRZ";#N/A,#N/A,FALSE,"MALİTABLOLAR";#N/A,#N/A,FALSE,"İskonto"}</definedName>
    <definedName name="ADDDD_1_3" localSheetId="0" hidden="1">{#N/A,#N/A,FALSE,"MALİTABLOLAR";#N/A,#N/A,FALSE,"PERS MSRMRZ";#N/A,#N/A,FALSE,"MALİTABLOLAR";#N/A,#N/A,FALSE,"İskonto"}</definedName>
    <definedName name="ADDDD_1_3" hidden="1">{#N/A,#N/A,FALSE,"MALİTABLOLAR";#N/A,#N/A,FALSE,"PERS MSRMRZ";#N/A,#N/A,FALSE,"MALİTABLOLAR";#N/A,#N/A,FALSE,"İskonto"}</definedName>
    <definedName name="ADDDD_2" localSheetId="0" hidden="1">{#N/A,#N/A,FALSE,"MALİTABLOLAR";#N/A,#N/A,FALSE,"PERS MSRMRZ";#N/A,#N/A,FALSE,"MALİTABLOLAR";#N/A,#N/A,FALSE,"İskonto"}</definedName>
    <definedName name="ADDDD_2" hidden="1">{#N/A,#N/A,FALSE,"MALİTABLOLAR";#N/A,#N/A,FALSE,"PERS MSRMRZ";#N/A,#N/A,FALSE,"MALİTABLOLAR";#N/A,#N/A,FALSE,"İskonto"}</definedName>
    <definedName name="ADDDD_2_1" localSheetId="0" hidden="1">{#N/A,#N/A,FALSE,"MALİTABLOLAR";#N/A,#N/A,FALSE,"PERS MSRMRZ";#N/A,#N/A,FALSE,"MALİTABLOLAR";#N/A,#N/A,FALSE,"İskonto"}</definedName>
    <definedName name="ADDDD_2_1" hidden="1">{#N/A,#N/A,FALSE,"MALİTABLOLAR";#N/A,#N/A,FALSE,"PERS MSRMRZ";#N/A,#N/A,FALSE,"MALİTABLOLAR";#N/A,#N/A,FALSE,"İskonto"}</definedName>
    <definedName name="ADDDD_2_2" localSheetId="0" hidden="1">{#N/A,#N/A,FALSE,"MALİTABLOLAR";#N/A,#N/A,FALSE,"PERS MSRMRZ";#N/A,#N/A,FALSE,"MALİTABLOLAR";#N/A,#N/A,FALSE,"İskonto"}</definedName>
    <definedName name="ADDDD_2_2" hidden="1">{#N/A,#N/A,FALSE,"MALİTABLOLAR";#N/A,#N/A,FALSE,"PERS MSRMRZ";#N/A,#N/A,FALSE,"MALİTABLOLAR";#N/A,#N/A,FALSE,"İskonto"}</definedName>
    <definedName name="ADDDD_3" localSheetId="0" hidden="1">{#N/A,#N/A,FALSE,"MALİTABLOLAR";#N/A,#N/A,FALSE,"PERS MSRMRZ";#N/A,#N/A,FALSE,"MALİTABLOLAR";#N/A,#N/A,FALSE,"İskonto"}</definedName>
    <definedName name="ADDDD_3" hidden="1">{#N/A,#N/A,FALSE,"MALİTABLOLAR";#N/A,#N/A,FALSE,"PERS MSRMRZ";#N/A,#N/A,FALSE,"MALİTABLOLAR";#N/A,#N/A,FALSE,"İskonto"}</definedName>
    <definedName name="ADDDD_4" localSheetId="0" hidden="1">{#N/A,#N/A,FALSE,"MALİTABLOLAR";#N/A,#N/A,FALSE,"PERS MSRMRZ";#N/A,#N/A,FALSE,"MALİTABLOLAR";#N/A,#N/A,FALSE,"İskonto"}</definedName>
    <definedName name="ADDDD_4" hidden="1">{#N/A,#N/A,FALSE,"MALİTABLOLAR";#N/A,#N/A,FALSE,"PERS MSRMRZ";#N/A,#N/A,FALSE,"MALİTABLOLAR";#N/A,#N/A,FALSE,"İskonto"}</definedName>
    <definedName name="adert" localSheetId="0">'Haziran Gerçekleşen Plan'!adert</definedName>
    <definedName name="adert">[0]!adert</definedName>
    <definedName name="ADET">#REF!</definedName>
    <definedName name="ADFASDFA" localSheetId="0" hidden="1">{#N/A,#N/A,FALSE,"Sheet1 (2)"}</definedName>
    <definedName name="ADFASDFA" hidden="1">{#N/A,#N/A,FALSE,"Sheet1 (2)"}</definedName>
    <definedName name="ADFASDFA_1" localSheetId="0" hidden="1">{#N/A,#N/A,FALSE,"Sheet1 (2)"}</definedName>
    <definedName name="ADFASDFA_1" hidden="1">{#N/A,#N/A,FALSE,"Sheet1 (2)"}</definedName>
    <definedName name="ADFASDFA_1_1" localSheetId="0" hidden="1">{#N/A,#N/A,FALSE,"Sheet1 (2)"}</definedName>
    <definedName name="ADFASDFA_1_1" hidden="1">{#N/A,#N/A,FALSE,"Sheet1 (2)"}</definedName>
    <definedName name="ADFASDFA_1_2" localSheetId="0" hidden="1">{#N/A,#N/A,FALSE,"Sheet1 (2)"}</definedName>
    <definedName name="ADFASDFA_1_2" hidden="1">{#N/A,#N/A,FALSE,"Sheet1 (2)"}</definedName>
    <definedName name="ADFASDFA_1_3" localSheetId="0" hidden="1">{#N/A,#N/A,FALSE,"Sheet1 (2)"}</definedName>
    <definedName name="ADFASDFA_1_3" hidden="1">{#N/A,#N/A,FALSE,"Sheet1 (2)"}</definedName>
    <definedName name="ADFASDFA_2" localSheetId="0" hidden="1">{#N/A,#N/A,FALSE,"Sheet1 (2)"}</definedName>
    <definedName name="ADFASDFA_2" hidden="1">{#N/A,#N/A,FALSE,"Sheet1 (2)"}</definedName>
    <definedName name="ADFASDFA_2_1" localSheetId="0" hidden="1">{#N/A,#N/A,FALSE,"Sheet1 (2)"}</definedName>
    <definedName name="ADFASDFA_2_1" hidden="1">{#N/A,#N/A,FALSE,"Sheet1 (2)"}</definedName>
    <definedName name="ADFASDFA_2_2" localSheetId="0" hidden="1">{#N/A,#N/A,FALSE,"Sheet1 (2)"}</definedName>
    <definedName name="ADFASDFA_2_2" hidden="1">{#N/A,#N/A,FALSE,"Sheet1 (2)"}</definedName>
    <definedName name="ADFASDFA_3" localSheetId="0" hidden="1">{#N/A,#N/A,FALSE,"Sheet1 (2)"}</definedName>
    <definedName name="ADFASDFA_3" hidden="1">{#N/A,#N/A,FALSE,"Sheet1 (2)"}</definedName>
    <definedName name="ADFASDFA_4" localSheetId="0" hidden="1">{#N/A,#N/A,FALSE,"Sheet1 (2)"}</definedName>
    <definedName name="ADFASDFA_4" hidden="1">{#N/A,#N/A,FALSE,"Sheet1 (2)"}</definedName>
    <definedName name="adfgdf" localSheetId="0">{"YR",0,"Auto","Auto",""}</definedName>
    <definedName name="adfgdf">{"YR",0,"Auto","Auto",""}</definedName>
    <definedName name="AdFormatAbbrev">[32]DataFields!$K$5:$L$7</definedName>
    <definedName name="adfpajfoasf" localSheetId="0" hidden="1">{#N/A,#N/A,FALSE,"Sheet1 (2)"}</definedName>
    <definedName name="adfpajfoasf" hidden="1">{#N/A,#N/A,FALSE,"Sheet1 (2)"}</definedName>
    <definedName name="adg">#REF!</definedName>
    <definedName name="ADHOUSE">#REF!</definedName>
    <definedName name="ADİNT">#REF!</definedName>
    <definedName name="ADIYAMAN">#REF!</definedName>
    <definedName name="ADJUST">#REF!</definedName>
    <definedName name="ADMATİC">#REF!</definedName>
    <definedName name="ADML" localSheetId="0" hidden="1">{#N/A,#N/A,FALSE,"Sheet1 (2)"}</definedName>
    <definedName name="ADML" hidden="1">{#N/A,#N/A,FALSE,"Sheet1 (2)"}</definedName>
    <definedName name="ADS" localSheetId="0" hidden="1">{#N/A,#N/A,FALSE,"Sheet1 (2)"}</definedName>
    <definedName name="ADS" hidden="1">{#N/A,#N/A,FALSE,"Sheet1 (2)"}</definedName>
    <definedName name="ADS_1" localSheetId="0" hidden="1">{#N/A,#N/A,FALSE,"Sheet1 (2)"}</definedName>
    <definedName name="ADS_1" hidden="1">{#N/A,#N/A,FALSE,"Sheet1 (2)"}</definedName>
    <definedName name="ADS_1_1" localSheetId="0" hidden="1">{#N/A,#N/A,FALSE,"Sheet1 (2)"}</definedName>
    <definedName name="ADS_1_1" hidden="1">{#N/A,#N/A,FALSE,"Sheet1 (2)"}</definedName>
    <definedName name="ADS_1_2" localSheetId="0" hidden="1">{#N/A,#N/A,FALSE,"Sheet1 (2)"}</definedName>
    <definedName name="ADS_1_2" hidden="1">{#N/A,#N/A,FALSE,"Sheet1 (2)"}</definedName>
    <definedName name="ADS_1_3" localSheetId="0" hidden="1">{#N/A,#N/A,FALSE,"Sheet1 (2)"}</definedName>
    <definedName name="ADS_1_3" hidden="1">{#N/A,#N/A,FALSE,"Sheet1 (2)"}</definedName>
    <definedName name="ADS_2" localSheetId="0" hidden="1">{#N/A,#N/A,FALSE,"Sheet1 (2)"}</definedName>
    <definedName name="ADS_2" hidden="1">{#N/A,#N/A,FALSE,"Sheet1 (2)"}</definedName>
    <definedName name="ADS_2_1" localSheetId="0" hidden="1">{#N/A,#N/A,FALSE,"Sheet1 (2)"}</definedName>
    <definedName name="ADS_2_1" hidden="1">{#N/A,#N/A,FALSE,"Sheet1 (2)"}</definedName>
    <definedName name="ADS_2_2" localSheetId="0" hidden="1">{#N/A,#N/A,FALSE,"Sheet1 (2)"}</definedName>
    <definedName name="ADS_2_2" hidden="1">{#N/A,#N/A,FALSE,"Sheet1 (2)"}</definedName>
    <definedName name="ADS_3" localSheetId="0" hidden="1">{#N/A,#N/A,FALSE,"Sheet1 (2)"}</definedName>
    <definedName name="ADS_3" hidden="1">{#N/A,#N/A,FALSE,"Sheet1 (2)"}</definedName>
    <definedName name="ADS_4" localSheetId="0" hidden="1">{#N/A,#N/A,FALSE,"Sheet1 (2)"}</definedName>
    <definedName name="ADS_4" hidden="1">{#N/A,#N/A,FALSE,"Sheet1 (2)"}</definedName>
    <definedName name="adsad" localSheetId="0" hidden="1">{#N/A,#N/A,FALSE,"Sheet1 (2)"}</definedName>
    <definedName name="adsad" hidden="1">{#N/A,#N/A,FALSE,"Sheet1 (2)"}</definedName>
    <definedName name="adsf" hidden="1">#REF!</definedName>
    <definedName name="ADT" localSheetId="0" hidden="1">{#N/A,#N/A,FALSE,"Sheet1 (2)"}</definedName>
    <definedName name="ADT" hidden="1">{#N/A,#N/A,FALSE,"Sheet1 (2)"}</definedName>
    <definedName name="ADULTS">#REF!</definedName>
    <definedName name="adv" localSheetId="0" hidden="1">{#N/A,#N/A,FALSE,"Sheet1 (2)"}</definedName>
    <definedName name="adv" hidden="1">{#N/A,#N/A,FALSE,"Sheet1 (2)"}</definedName>
    <definedName name="adv_1" localSheetId="0" hidden="1">{#N/A,#N/A,FALSE,"Sheet1 (2)"}</definedName>
    <definedName name="adv_1" hidden="1">{#N/A,#N/A,FALSE,"Sheet1 (2)"}</definedName>
    <definedName name="adv_1_1" localSheetId="0" hidden="1">{#N/A,#N/A,FALSE,"Sheet1 (2)"}</definedName>
    <definedName name="adv_1_1" hidden="1">{#N/A,#N/A,FALSE,"Sheet1 (2)"}</definedName>
    <definedName name="adv_1_2" localSheetId="0" hidden="1">{#N/A,#N/A,FALSE,"Sheet1 (2)"}</definedName>
    <definedName name="adv_1_2" hidden="1">{#N/A,#N/A,FALSE,"Sheet1 (2)"}</definedName>
    <definedName name="adv_1_3" localSheetId="0" hidden="1">{#N/A,#N/A,FALSE,"Sheet1 (2)"}</definedName>
    <definedName name="adv_1_3" hidden="1">{#N/A,#N/A,FALSE,"Sheet1 (2)"}</definedName>
    <definedName name="adv_2" localSheetId="0" hidden="1">{#N/A,#N/A,FALSE,"Sheet1 (2)"}</definedName>
    <definedName name="adv_2" hidden="1">{#N/A,#N/A,FALSE,"Sheet1 (2)"}</definedName>
    <definedName name="adv_2_1" localSheetId="0" hidden="1">{#N/A,#N/A,FALSE,"Sheet1 (2)"}</definedName>
    <definedName name="adv_2_1" hidden="1">{#N/A,#N/A,FALSE,"Sheet1 (2)"}</definedName>
    <definedName name="adv_2_2" localSheetId="0" hidden="1">{#N/A,#N/A,FALSE,"Sheet1 (2)"}</definedName>
    <definedName name="adv_2_2" hidden="1">{#N/A,#N/A,FALSE,"Sheet1 (2)"}</definedName>
    <definedName name="adv_3" localSheetId="0" hidden="1">{#N/A,#N/A,FALSE,"Sheet1 (2)"}</definedName>
    <definedName name="adv_3" hidden="1">{#N/A,#N/A,FALSE,"Sheet1 (2)"}</definedName>
    <definedName name="adv_4" localSheetId="0" hidden="1">{#N/A,#N/A,FALSE,"Sheet1 (2)"}</definedName>
    <definedName name="adv_4" hidden="1">{#N/A,#N/A,FALSE,"Sheet1 (2)"}</definedName>
    <definedName name="Advertiser_Code">#REF!</definedName>
    <definedName name="adx" localSheetId="0">'Haziran Gerçekleşen Plan'!adx</definedName>
    <definedName name="adx">[0]!adx</definedName>
    <definedName name="ae" localSheetId="0" hidden="1">{#N/A,#N/A,FALSE,"Sheet1 (2)"}</definedName>
    <definedName name="ae" hidden="1">{#N/A,#N/A,FALSE,"Sheet1 (2)"}</definedName>
    <definedName name="AEGIS">#REF!</definedName>
    <definedName name="aerd" localSheetId="0" hidden="1">{#N/A,#N/A,FALSE,"Sheet1 (2)"}</definedName>
    <definedName name="aerd" hidden="1">{#N/A,#N/A,FALSE,"Sheet1 (2)"}</definedName>
    <definedName name="aerd_1" localSheetId="0" hidden="1">{#N/A,#N/A,FALSE,"Sheet1 (2)"}</definedName>
    <definedName name="aerd_1" hidden="1">{#N/A,#N/A,FALSE,"Sheet1 (2)"}</definedName>
    <definedName name="aerd_1_1" localSheetId="0" hidden="1">{#N/A,#N/A,FALSE,"Sheet1 (2)"}</definedName>
    <definedName name="aerd_1_1" hidden="1">{#N/A,#N/A,FALSE,"Sheet1 (2)"}</definedName>
    <definedName name="aerd_1_2" localSheetId="0" hidden="1">{#N/A,#N/A,FALSE,"Sheet1 (2)"}</definedName>
    <definedName name="aerd_1_2" hidden="1">{#N/A,#N/A,FALSE,"Sheet1 (2)"}</definedName>
    <definedName name="aerd_1_3" localSheetId="0" hidden="1">{#N/A,#N/A,FALSE,"Sheet1 (2)"}</definedName>
    <definedName name="aerd_1_3" hidden="1">{#N/A,#N/A,FALSE,"Sheet1 (2)"}</definedName>
    <definedName name="aerd_2" localSheetId="0" hidden="1">{#N/A,#N/A,FALSE,"Sheet1 (2)"}</definedName>
    <definedName name="aerd_2" hidden="1">{#N/A,#N/A,FALSE,"Sheet1 (2)"}</definedName>
    <definedName name="aerd_2_1" localSheetId="0" hidden="1">{#N/A,#N/A,FALSE,"Sheet1 (2)"}</definedName>
    <definedName name="aerd_2_1" hidden="1">{#N/A,#N/A,FALSE,"Sheet1 (2)"}</definedName>
    <definedName name="aerd_2_2" localSheetId="0" hidden="1">{#N/A,#N/A,FALSE,"Sheet1 (2)"}</definedName>
    <definedName name="aerd_2_2" hidden="1">{#N/A,#N/A,FALSE,"Sheet1 (2)"}</definedName>
    <definedName name="aerd_3" localSheetId="0" hidden="1">{#N/A,#N/A,FALSE,"Sheet1 (2)"}</definedName>
    <definedName name="aerd_3" hidden="1">{#N/A,#N/A,FALSE,"Sheet1 (2)"}</definedName>
    <definedName name="aerd_4" localSheetId="0" hidden="1">{#N/A,#N/A,FALSE,"Sheet1 (2)"}</definedName>
    <definedName name="aerd_4" hidden="1">{#N/A,#N/A,FALSE,"Sheet1 (2)"}</definedName>
    <definedName name="afdsfafd" localSheetId="0" hidden="1">{#N/A,#N/A,FALSE,"Sheet1 (2)"}</definedName>
    <definedName name="afdsfafd" hidden="1">{#N/A,#N/A,FALSE,"Sheet1 (2)"}</definedName>
    <definedName name="afdsfafd_1" localSheetId="0" hidden="1">{#N/A,#N/A,FALSE,"Sheet1 (2)"}</definedName>
    <definedName name="afdsfafd_1" hidden="1">{#N/A,#N/A,FALSE,"Sheet1 (2)"}</definedName>
    <definedName name="afdsfafd_1_1" localSheetId="0" hidden="1">{#N/A,#N/A,FALSE,"Sheet1 (2)"}</definedName>
    <definedName name="afdsfafd_1_1" hidden="1">{#N/A,#N/A,FALSE,"Sheet1 (2)"}</definedName>
    <definedName name="afdsfafd_1_2" localSheetId="0" hidden="1">{#N/A,#N/A,FALSE,"Sheet1 (2)"}</definedName>
    <definedName name="afdsfafd_1_2" hidden="1">{#N/A,#N/A,FALSE,"Sheet1 (2)"}</definedName>
    <definedName name="afdsfafd_1_3" localSheetId="0" hidden="1">{#N/A,#N/A,FALSE,"Sheet1 (2)"}</definedName>
    <definedName name="afdsfafd_1_3" hidden="1">{#N/A,#N/A,FALSE,"Sheet1 (2)"}</definedName>
    <definedName name="afdsfafd_2" localSheetId="0" hidden="1">{#N/A,#N/A,FALSE,"Sheet1 (2)"}</definedName>
    <definedName name="afdsfafd_2" hidden="1">{#N/A,#N/A,FALSE,"Sheet1 (2)"}</definedName>
    <definedName name="afdsfafd_2_1" localSheetId="0" hidden="1">{#N/A,#N/A,FALSE,"Sheet1 (2)"}</definedName>
    <definedName name="afdsfafd_2_1" hidden="1">{#N/A,#N/A,FALSE,"Sheet1 (2)"}</definedName>
    <definedName name="afdsfafd_2_2" localSheetId="0" hidden="1">{#N/A,#N/A,FALSE,"Sheet1 (2)"}</definedName>
    <definedName name="afdsfafd_2_2" hidden="1">{#N/A,#N/A,FALSE,"Sheet1 (2)"}</definedName>
    <definedName name="afdsfafd_3" localSheetId="0" hidden="1">{#N/A,#N/A,FALSE,"Sheet1 (2)"}</definedName>
    <definedName name="afdsfafd_3" hidden="1">{#N/A,#N/A,FALSE,"Sheet1 (2)"}</definedName>
    <definedName name="afdsfafd_4" localSheetId="0" hidden="1">{#N/A,#N/A,FALSE,"Sheet1 (2)"}</definedName>
    <definedName name="afdsfafd_4" hidden="1">{#N/A,#N/A,FALSE,"Sheet1 (2)"}</definedName>
    <definedName name="Affluent">#REF!</definedName>
    <definedName name="afsfsh" localSheetId="0" hidden="1">{#N/A,#N/A,FALSE,"Sheet1 (2)"}</definedName>
    <definedName name="afsfsh" hidden="1">{#N/A,#N/A,FALSE,"Sheet1 (2)"}</definedName>
    <definedName name="AFYONKARAHİSAR">#REF!</definedName>
    <definedName name="agdfsdgh" localSheetId="0" hidden="1">{"'Jan - March 2000'!$A$5:$J$46"}</definedName>
    <definedName name="agdfsdgh" hidden="1">{"'Jan - March 2000'!$A$5:$J$46"}</definedName>
    <definedName name="AGENCY_DISCOUNTS">#REF!</definedName>
    <definedName name="AGENDA">#N/A</definedName>
    <definedName name="agfga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g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ggASFCostMethodNamesCPM">#REF!</definedName>
    <definedName name="AggASFCostMethodNamesOther">#REF!</definedName>
    <definedName name="AggCostMethodNames">#REF!</definedName>
    <definedName name="AggCostMethodNamesCPM">#REF!</definedName>
    <definedName name="AggCostMethodNamesOther">#REF!</definedName>
    <definedName name="AggCreativeCategoryNames">#REF!</definedName>
    <definedName name="AggCreativeSizeNames">#REF!</definedName>
    <definedName name="AggCreativeSizeNamesCPM">#REF!</definedName>
    <definedName name="AggCreativeSizeNamesOther">#REF!</definedName>
    <definedName name="AggCreativeTypeNames">#REF!</definedName>
    <definedName name="AggCreativeTypeNamesOther">#REF!</definedName>
    <definedName name="agggggggggggf" localSheetId="0" hidden="1">{"'Jan - March 2000'!$A$5:$J$46"}</definedName>
    <definedName name="agggggggggggf" hidden="1">{"'Jan - March 2000'!$A$5:$J$46"}</definedName>
    <definedName name="AggPlacementGenre">#REF!</definedName>
    <definedName name="AggPlacementGenreCPM">#REF!</definedName>
    <definedName name="AggPlacementGenreNames">#REF!</definedName>
    <definedName name="AggPlacementGenreNamesCPM">#REF!</definedName>
    <definedName name="AggPlacementGenreNamesOther">#REF!</definedName>
    <definedName name="AggPlacementGenreOther">#REF!</definedName>
    <definedName name="AggPlacementNames">#REF!</definedName>
    <definedName name="AggPlacementNamesCPM">#REF!</definedName>
    <definedName name="AggPlacementNamesOther">#REF!</definedName>
    <definedName name="AggPlacementTypeNames">#REF!</definedName>
    <definedName name="AggRichMediaTypeNames">#REF!</definedName>
    <definedName name="AggSiteGenreNames">#REF!</definedName>
    <definedName name="AggSiteGenreNamesCPM">#REF!</definedName>
    <definedName name="AggSiteGenreNamesOther">#REF!</definedName>
    <definedName name="AggSiteNames">#REF!</definedName>
    <definedName name="AggSiteNamesCPM">#REF!</definedName>
    <definedName name="AggSiteNamesOther">#REF!</definedName>
    <definedName name="Agirlikli_Ort_Sayfa_M">#REF!</definedName>
    <definedName name="AĞRI">#REF!</definedName>
    <definedName name="agsdfg" localSheetId="0" hidden="1">{#N/A,#N/A,FALSE,"Summary"}</definedName>
    <definedName name="agsdfg" hidden="1">{#N/A,#N/A,FALSE,"Summary"}</definedName>
    <definedName name="Agustos" localSheetId="0" hidden="1">{#N/A,#N/A,FALSE,"Sheet1 (2)"}</definedName>
    <definedName name="Agustos" hidden="1">{#N/A,#N/A,FALSE,"Sheet1 (2)"}</definedName>
    <definedName name="AĞUSTOSGAZETE">#REF!</definedName>
    <definedName name="AĞUSTOSRADYO">#REF!</definedName>
    <definedName name="AĞUSTOSTV">#REF!</definedName>
    <definedName name="agysdfhdfgh" localSheetId="0" hidden="1">{"'Jan - March 2000'!$A$5:$J$46"}</definedName>
    <definedName name="agysdfhdfgh" hidden="1">{"'Jan - March 2000'!$A$5:$J$46"}</definedName>
    <definedName name="ahmet" localSheetId="0">[22]Ekim!#REF!</definedName>
    <definedName name="ahmet">[33]Ekim!#REF!</definedName>
    <definedName name="AHMETORHAN">#REF!</definedName>
    <definedName name="AJANS">#REF!</definedName>
    <definedName name="AJANSA">#REF!</definedName>
    <definedName name="AJANSHABER">#REF!</definedName>
    <definedName name="AKAKÇE">#REF!</definedName>
    <definedName name="AKBAN" localSheetId="0" hidden="1">{#N/A,#N/A,FALSE,"Sheet1 (2)"}</definedName>
    <definedName name="AKBAN" hidden="1">{#N/A,#N/A,FALSE,"Sheet1 (2)"}</definedName>
    <definedName name="AKDENİZMEDYA">#REF!</definedName>
    <definedName name="AKILFİKİR">#REF!</definedName>
    <definedName name="akjsbfakjsaf" localSheetId="0" hidden="1">{#N/A,#N/A,FALSE,"Sheet1 (2)"}</definedName>
    <definedName name="akjsbfakjsaf" hidden="1">{#N/A,#N/A,FALSE,"Sheet1 (2)"}</definedName>
    <definedName name="AKSARAY">#REF!</definedName>
    <definedName name="AKSTELEVİZYON">#REF!</definedName>
    <definedName name="alan">#REF!</definedName>
    <definedName name="ALEV" localSheetId="0" hidden="1">{#N/A,#N/A,FALSE,"Sheet1 (2)"}</definedName>
    <definedName name="ALEV" hidden="1">{#N/A,#N/A,FALSE,"Sheet1 (2)"}</definedName>
    <definedName name="ALEV_1" localSheetId="0" hidden="1">{#N/A,#N/A,FALSE,"Sheet1 (2)"}</definedName>
    <definedName name="ALEV_1" hidden="1">{#N/A,#N/A,FALSE,"Sheet1 (2)"}</definedName>
    <definedName name="ALEV_1_1" localSheetId="0" hidden="1">{#N/A,#N/A,FALSE,"Sheet1 (2)"}</definedName>
    <definedName name="ALEV_1_1" hidden="1">{#N/A,#N/A,FALSE,"Sheet1 (2)"}</definedName>
    <definedName name="ALEV_1_2" localSheetId="0" hidden="1">{#N/A,#N/A,FALSE,"Sheet1 (2)"}</definedName>
    <definedName name="ALEV_1_2" hidden="1">{#N/A,#N/A,FALSE,"Sheet1 (2)"}</definedName>
    <definedName name="ALEV_1_3" localSheetId="0" hidden="1">{#N/A,#N/A,FALSE,"Sheet1 (2)"}</definedName>
    <definedName name="ALEV_1_3" hidden="1">{#N/A,#N/A,FALSE,"Sheet1 (2)"}</definedName>
    <definedName name="ALEV_2" localSheetId="0" hidden="1">{#N/A,#N/A,FALSE,"Sheet1 (2)"}</definedName>
    <definedName name="ALEV_2" hidden="1">{#N/A,#N/A,FALSE,"Sheet1 (2)"}</definedName>
    <definedName name="ALEV_2_1" localSheetId="0" hidden="1">{#N/A,#N/A,FALSE,"Sheet1 (2)"}</definedName>
    <definedName name="ALEV_2_1" hidden="1">{#N/A,#N/A,FALSE,"Sheet1 (2)"}</definedName>
    <definedName name="ALEV_2_2" localSheetId="0" hidden="1">{#N/A,#N/A,FALSE,"Sheet1 (2)"}</definedName>
    <definedName name="ALEV_2_2" hidden="1">{#N/A,#N/A,FALSE,"Sheet1 (2)"}</definedName>
    <definedName name="ALEV_3" localSheetId="0" hidden="1">{#N/A,#N/A,FALSE,"Sheet1 (2)"}</definedName>
    <definedName name="ALEV_3" hidden="1">{#N/A,#N/A,FALSE,"Sheet1 (2)"}</definedName>
    <definedName name="ALEV_4" localSheetId="0" hidden="1">{#N/A,#N/A,FALSE,"Sheet1 (2)"}</definedName>
    <definedName name="ALEV_4" hidden="1">{#N/A,#N/A,FALSE,"Sheet1 (2)"}</definedName>
    <definedName name="ali" localSheetId="0">'Haziran Gerçekleşen Plan'!ali</definedName>
    <definedName name="ali">[0]!ali</definedName>
    <definedName name="ALL">#REF!</definedName>
    <definedName name="ALLIANCE">#REF!</definedName>
    <definedName name="alll" localSheetId="0" hidden="1">{#N/A,#N/A,FALSE,"Sheet1 (2)"}</definedName>
    <definedName name="alll" hidden="1">{#N/A,#N/A,FALSE,"Sheet1 (2)"}</definedName>
    <definedName name="alper" localSheetId="0" hidden="1">{#N/A,#N/A,FALSE,"Sheet1 (2)"}</definedName>
    <definedName name="alper" hidden="1">{#N/A,#N/A,FALSE,"Sheet1 (2)"}</definedName>
    <definedName name="alper_1" localSheetId="0" hidden="1">{#N/A,#N/A,FALSE,"Sheet1 (2)"}</definedName>
    <definedName name="alper_1" hidden="1">{#N/A,#N/A,FALSE,"Sheet1 (2)"}</definedName>
    <definedName name="alper_1_1" localSheetId="0" hidden="1">{#N/A,#N/A,FALSE,"Sheet1 (2)"}</definedName>
    <definedName name="alper_1_1" hidden="1">{#N/A,#N/A,FALSE,"Sheet1 (2)"}</definedName>
    <definedName name="alper_1_2" localSheetId="0" hidden="1">{#N/A,#N/A,FALSE,"Sheet1 (2)"}</definedName>
    <definedName name="alper_1_2" hidden="1">{#N/A,#N/A,FALSE,"Sheet1 (2)"}</definedName>
    <definedName name="alper_1_3" localSheetId="0" hidden="1">{#N/A,#N/A,FALSE,"Sheet1 (2)"}</definedName>
    <definedName name="alper_1_3" hidden="1">{#N/A,#N/A,FALSE,"Sheet1 (2)"}</definedName>
    <definedName name="alper_2" localSheetId="0" hidden="1">{#N/A,#N/A,FALSE,"Sheet1 (2)"}</definedName>
    <definedName name="alper_2" hidden="1">{#N/A,#N/A,FALSE,"Sheet1 (2)"}</definedName>
    <definedName name="alper_2_1" localSheetId="0" hidden="1">{#N/A,#N/A,FALSE,"Sheet1 (2)"}</definedName>
    <definedName name="alper_2_1" hidden="1">{#N/A,#N/A,FALSE,"Sheet1 (2)"}</definedName>
    <definedName name="alper_2_2" localSheetId="0" hidden="1">{#N/A,#N/A,FALSE,"Sheet1 (2)"}</definedName>
    <definedName name="alper_2_2" hidden="1">{#N/A,#N/A,FALSE,"Sheet1 (2)"}</definedName>
    <definedName name="alper_3" localSheetId="0" hidden="1">{#N/A,#N/A,FALSE,"Sheet1 (2)"}</definedName>
    <definedName name="alper_3" hidden="1">{#N/A,#N/A,FALSE,"Sheet1 (2)"}</definedName>
    <definedName name="alper_4" localSheetId="0" hidden="1">{#N/A,#N/A,FALSE,"Sheet1 (2)"}</definedName>
    <definedName name="alper_4" hidden="1">{#N/A,#N/A,FALSE,"Sheet1 (2)"}</definedName>
    <definedName name="alperrr" localSheetId="0" hidden="1">{#N/A,#N/A,FALSE,"Sheet1 (2)"}</definedName>
    <definedName name="alperrr" hidden="1">{#N/A,#N/A,FALSE,"Sheet1 (2)"}</definedName>
    <definedName name="alperrrr" localSheetId="0" hidden="1">{#N/A,#N/A,FALSE,"Sheet1 (2)"}</definedName>
    <definedName name="alperrrr" hidden="1">{#N/A,#N/A,FALSE,"Sheet1 (2)"}</definedName>
    <definedName name="alperrrr_1" localSheetId="0" hidden="1">{#N/A,#N/A,FALSE,"Sheet1 (2)"}</definedName>
    <definedName name="alperrrr_1" hidden="1">{#N/A,#N/A,FALSE,"Sheet1 (2)"}</definedName>
    <definedName name="alperrrr_1_1" localSheetId="0" hidden="1">{#N/A,#N/A,FALSE,"Sheet1 (2)"}</definedName>
    <definedName name="alperrrr_1_1" hidden="1">{#N/A,#N/A,FALSE,"Sheet1 (2)"}</definedName>
    <definedName name="alperrrr_1_2" localSheetId="0" hidden="1">{#N/A,#N/A,FALSE,"Sheet1 (2)"}</definedName>
    <definedName name="alperrrr_1_2" hidden="1">{#N/A,#N/A,FALSE,"Sheet1 (2)"}</definedName>
    <definedName name="alperrrr_1_3" localSheetId="0" hidden="1">{#N/A,#N/A,FALSE,"Sheet1 (2)"}</definedName>
    <definedName name="alperrrr_1_3" hidden="1">{#N/A,#N/A,FALSE,"Sheet1 (2)"}</definedName>
    <definedName name="alperrrr_2" localSheetId="0" hidden="1">{#N/A,#N/A,FALSE,"Sheet1 (2)"}</definedName>
    <definedName name="alperrrr_2" hidden="1">{#N/A,#N/A,FALSE,"Sheet1 (2)"}</definedName>
    <definedName name="alperrrr_2_1" localSheetId="0" hidden="1">{#N/A,#N/A,FALSE,"Sheet1 (2)"}</definedName>
    <definedName name="alperrrr_2_1" hidden="1">{#N/A,#N/A,FALSE,"Sheet1 (2)"}</definedName>
    <definedName name="alperrrr_2_2" localSheetId="0" hidden="1">{#N/A,#N/A,FALSE,"Sheet1 (2)"}</definedName>
    <definedName name="alperrrr_2_2" hidden="1">{#N/A,#N/A,FALSE,"Sheet1 (2)"}</definedName>
    <definedName name="alperrrr_3" localSheetId="0" hidden="1">{#N/A,#N/A,FALSE,"Sheet1 (2)"}</definedName>
    <definedName name="alperrrr_3" hidden="1">{#N/A,#N/A,FALSE,"Sheet1 (2)"}</definedName>
    <definedName name="alperrrr_4" localSheetId="0" hidden="1">{#N/A,#N/A,FALSE,"Sheet1 (2)"}</definedName>
    <definedName name="alperrrr_4" hidden="1">{#N/A,#N/A,FALSE,"Sheet1 (2)"}</definedName>
    <definedName name="Alt_Text">#REF!</definedName>
    <definedName name="Altavista">#REF!</definedName>
    <definedName name="Altın">#REF!</definedName>
    <definedName name="ALVO">#REF!</definedName>
    <definedName name="AMASYA">#REF!</definedName>
    <definedName name="AMNET">#REF!</definedName>
    <definedName name="ananı" localSheetId="0" hidden="1">{#N/A,#N/A,FALSE,"Sheet1 (2)"}</definedName>
    <definedName name="ananı" hidden="1">{#N/A,#N/A,FALSE,"Sheet1 (2)"}</definedName>
    <definedName name="ananı_1" localSheetId="0" hidden="1">{#N/A,#N/A,FALSE,"Sheet1 (2)"}</definedName>
    <definedName name="ananı_1" hidden="1">{#N/A,#N/A,FALSE,"Sheet1 (2)"}</definedName>
    <definedName name="ananı_1_1" localSheetId="0" hidden="1">{#N/A,#N/A,FALSE,"Sheet1 (2)"}</definedName>
    <definedName name="ananı_1_1" hidden="1">{#N/A,#N/A,FALSE,"Sheet1 (2)"}</definedName>
    <definedName name="ananı_1_2" localSheetId="0" hidden="1">{#N/A,#N/A,FALSE,"Sheet1 (2)"}</definedName>
    <definedName name="ananı_1_2" hidden="1">{#N/A,#N/A,FALSE,"Sheet1 (2)"}</definedName>
    <definedName name="ananı_1_3" localSheetId="0" hidden="1">{#N/A,#N/A,FALSE,"Sheet1 (2)"}</definedName>
    <definedName name="ananı_1_3" hidden="1">{#N/A,#N/A,FALSE,"Sheet1 (2)"}</definedName>
    <definedName name="ananı_2" localSheetId="0" hidden="1">{#N/A,#N/A,FALSE,"Sheet1 (2)"}</definedName>
    <definedName name="ananı_2" hidden="1">{#N/A,#N/A,FALSE,"Sheet1 (2)"}</definedName>
    <definedName name="ananı_2_1" localSheetId="0" hidden="1">{#N/A,#N/A,FALSE,"Sheet1 (2)"}</definedName>
    <definedName name="ananı_2_1" hidden="1">{#N/A,#N/A,FALSE,"Sheet1 (2)"}</definedName>
    <definedName name="ananı_2_2" localSheetId="0" hidden="1">{#N/A,#N/A,FALSE,"Sheet1 (2)"}</definedName>
    <definedName name="ananı_2_2" hidden="1">{#N/A,#N/A,FALSE,"Sheet1 (2)"}</definedName>
    <definedName name="ananı_3" localSheetId="0" hidden="1">{#N/A,#N/A,FALSE,"Sheet1 (2)"}</definedName>
    <definedName name="ananı_3" hidden="1">{#N/A,#N/A,FALSE,"Sheet1 (2)"}</definedName>
    <definedName name="ananı_4" localSheetId="0" hidden="1">{#N/A,#N/A,FALSE,"Sheet1 (2)"}</definedName>
    <definedName name="ananı_4" hidden="1">{#N/A,#N/A,FALSE,"Sheet1 (2)"}</definedName>
    <definedName name="anil123_3" localSheetId="0" hidden="1">{#N/A,#N/A,FALSE,"Sheet1 (2)"}</definedName>
    <definedName name="anil123_3" hidden="1">{#N/A,#N/A,FALSE,"Sheet1 (2)"}</definedName>
    <definedName name="anil123_3_1" localSheetId="0" hidden="1">{#N/A,#N/A,FALSE,"Sheet1 (2)"}</definedName>
    <definedName name="anil123_3_1" hidden="1">{#N/A,#N/A,FALSE,"Sheet1 (2)"}</definedName>
    <definedName name="anil123_3_1_1" localSheetId="0" hidden="1">{#N/A,#N/A,FALSE,"Sheet1 (2)"}</definedName>
    <definedName name="anil123_3_1_1" hidden="1">{#N/A,#N/A,FALSE,"Sheet1 (2)"}</definedName>
    <definedName name="anil123_3_1_2" localSheetId="0" hidden="1">{#N/A,#N/A,FALSE,"Sheet1 (2)"}</definedName>
    <definedName name="anil123_3_1_2" hidden="1">{#N/A,#N/A,FALSE,"Sheet1 (2)"}</definedName>
    <definedName name="anil123_3_1_3" localSheetId="0" hidden="1">{#N/A,#N/A,FALSE,"Sheet1 (2)"}</definedName>
    <definedName name="anil123_3_1_3" hidden="1">{#N/A,#N/A,FALSE,"Sheet1 (2)"}</definedName>
    <definedName name="anil123_3_2" localSheetId="0" hidden="1">{#N/A,#N/A,FALSE,"Sheet1 (2)"}</definedName>
    <definedName name="anil123_3_2" hidden="1">{#N/A,#N/A,FALSE,"Sheet1 (2)"}</definedName>
    <definedName name="anil123_3_2_1" localSheetId="0" hidden="1">{#N/A,#N/A,FALSE,"Sheet1 (2)"}</definedName>
    <definedName name="anil123_3_2_1" hidden="1">{#N/A,#N/A,FALSE,"Sheet1 (2)"}</definedName>
    <definedName name="anil123_3_2_2" localSheetId="0" hidden="1">{#N/A,#N/A,FALSE,"Sheet1 (2)"}</definedName>
    <definedName name="anil123_3_2_2" hidden="1">{#N/A,#N/A,FALSE,"Sheet1 (2)"}</definedName>
    <definedName name="anil123_3_3" localSheetId="0" hidden="1">{#N/A,#N/A,FALSE,"Sheet1 (2)"}</definedName>
    <definedName name="anil123_3_3" hidden="1">{#N/A,#N/A,FALSE,"Sheet1 (2)"}</definedName>
    <definedName name="anil123_3_4" localSheetId="0" hidden="1">{#N/A,#N/A,FALSE,"Sheet1 (2)"}</definedName>
    <definedName name="anil123_3_4" hidden="1">{#N/A,#N/A,FALSE,"Sheet1 (2)"}</definedName>
    <definedName name="anıl" localSheetId="0" hidden="1">{#N/A,#N/A,FALSE,"Sheet1 (2)"}</definedName>
    <definedName name="anıl" hidden="1">{#N/A,#N/A,FALSE,"Sheet1 (2)"}</definedName>
    <definedName name="anıl_1" localSheetId="0" hidden="1">{#N/A,#N/A,FALSE,"Sheet1 (2)"}</definedName>
    <definedName name="anıl_1" hidden="1">{#N/A,#N/A,FALSE,"Sheet1 (2)"}</definedName>
    <definedName name="anıl_1_1" localSheetId="0" hidden="1">{#N/A,#N/A,FALSE,"Sheet1 (2)"}</definedName>
    <definedName name="anıl_1_1" hidden="1">{#N/A,#N/A,FALSE,"Sheet1 (2)"}</definedName>
    <definedName name="anıl_1_2" localSheetId="0" hidden="1">{#N/A,#N/A,FALSE,"Sheet1 (2)"}</definedName>
    <definedName name="anıl_1_2" hidden="1">{#N/A,#N/A,FALSE,"Sheet1 (2)"}</definedName>
    <definedName name="anıl_1_3" localSheetId="0" hidden="1">{#N/A,#N/A,FALSE,"Sheet1 (2)"}</definedName>
    <definedName name="anıl_1_3" hidden="1">{#N/A,#N/A,FALSE,"Sheet1 (2)"}</definedName>
    <definedName name="anıl_2" localSheetId="0" hidden="1">{#N/A,#N/A,FALSE,"Sheet1 (2)"}</definedName>
    <definedName name="anıl_2" hidden="1">{#N/A,#N/A,FALSE,"Sheet1 (2)"}</definedName>
    <definedName name="anıl_2_1" localSheetId="0" hidden="1">{#N/A,#N/A,FALSE,"Sheet1 (2)"}</definedName>
    <definedName name="anıl_2_1" hidden="1">{#N/A,#N/A,FALSE,"Sheet1 (2)"}</definedName>
    <definedName name="anıl_2_2" localSheetId="0" hidden="1">{#N/A,#N/A,FALSE,"Sheet1 (2)"}</definedName>
    <definedName name="anıl_2_2" hidden="1">{#N/A,#N/A,FALSE,"Sheet1 (2)"}</definedName>
    <definedName name="anıl_3" localSheetId="0" hidden="1">{#N/A,#N/A,FALSE,"Sheet1 (2)"}</definedName>
    <definedName name="anıl_3" hidden="1">{#N/A,#N/A,FALSE,"Sheet1 (2)"}</definedName>
    <definedName name="anıl_4" localSheetId="0" hidden="1">{#N/A,#N/A,FALSE,"Sheet1 (2)"}</definedName>
    <definedName name="anıl_4" hidden="1">{#N/A,#N/A,FALSE,"Sheet1 (2)"}</definedName>
    <definedName name="ankara" localSheetId="0" hidden="1">{#N/A,#N/A,FALSE,"Sheet1 (2)"}</definedName>
    <definedName name="ankara" hidden="1">{#N/A,#N/A,FALSE,"Sheet1 (2)"}</definedName>
    <definedName name="ankara_1" localSheetId="0" hidden="1">{#N/A,#N/A,FALSE,"Sheet1 (2)"}</definedName>
    <definedName name="ankara_1" hidden="1">{#N/A,#N/A,FALSE,"Sheet1 (2)"}</definedName>
    <definedName name="ankara_1_1" localSheetId="0" hidden="1">{#N/A,#N/A,FALSE,"Sheet1 (2)"}</definedName>
    <definedName name="ankara_1_1" hidden="1">{#N/A,#N/A,FALSE,"Sheet1 (2)"}</definedName>
    <definedName name="ankara_1_2" localSheetId="0" hidden="1">{#N/A,#N/A,FALSE,"Sheet1 (2)"}</definedName>
    <definedName name="ankara_1_2" hidden="1">{#N/A,#N/A,FALSE,"Sheet1 (2)"}</definedName>
    <definedName name="ankara_1_3" localSheetId="0" hidden="1">{#N/A,#N/A,FALSE,"Sheet1 (2)"}</definedName>
    <definedName name="ankara_1_3" hidden="1">{#N/A,#N/A,FALSE,"Sheet1 (2)"}</definedName>
    <definedName name="ankara_2" localSheetId="0" hidden="1">{#N/A,#N/A,FALSE,"Sheet1 (2)"}</definedName>
    <definedName name="ankara_2" hidden="1">{#N/A,#N/A,FALSE,"Sheet1 (2)"}</definedName>
    <definedName name="ankara_2_1" localSheetId="0" hidden="1">{#N/A,#N/A,FALSE,"Sheet1 (2)"}</definedName>
    <definedName name="ankara_2_1" hidden="1">{#N/A,#N/A,FALSE,"Sheet1 (2)"}</definedName>
    <definedName name="ankara_2_2" localSheetId="0" hidden="1">{#N/A,#N/A,FALSE,"Sheet1 (2)"}</definedName>
    <definedName name="ankara_2_2" hidden="1">{#N/A,#N/A,FALSE,"Sheet1 (2)"}</definedName>
    <definedName name="ankara_3" localSheetId="0" hidden="1">{#N/A,#N/A,FALSE,"Sheet1 (2)"}</definedName>
    <definedName name="ankara_3" hidden="1">{#N/A,#N/A,FALSE,"Sheet1 (2)"}</definedName>
    <definedName name="ankara_4" localSheetId="0" hidden="1">{#N/A,#N/A,FALSE,"Sheet1 (2)"}</definedName>
    <definedName name="ankara_4" hidden="1">{#N/A,#N/A,FALSE,"Sheet1 (2)"}</definedName>
    <definedName name="ANLASMA_TURU">#REF!</definedName>
    <definedName name="ANLASMA_TURU_KANAL">#REF!</definedName>
    <definedName name="Anno">[34]Ref!$B$19</definedName>
    <definedName name="ANTALYA">#REF!</definedName>
    <definedName name="APPROVAL">#REF!</definedName>
    <definedName name="APPSMEDYA">#REF!</definedName>
    <definedName name="APRJUN">#REF!</definedName>
    <definedName name="aps" hidden="1">#REF!</definedName>
    <definedName name="aq" localSheetId="0" hidden="1">{#N/A,#N/A,FALSE,"Sheet1 (2)"}</definedName>
    <definedName name="aq" hidden="1">{#N/A,#N/A,FALSE,"Sheet1 (2)"}</definedName>
    <definedName name="aqswa" localSheetId="0" hidden="1">{#N/A,#N/A,FALSE,"Sheet1 (2)"}</definedName>
    <definedName name="aqswa" hidden="1">{#N/A,#N/A,FALSE,"Sheet1 (2)"}</definedName>
    <definedName name="aqswa_1" localSheetId="0" hidden="1">{#N/A,#N/A,FALSE,"Sheet1 (2)"}</definedName>
    <definedName name="aqswa_1" hidden="1">{#N/A,#N/A,FALSE,"Sheet1 (2)"}</definedName>
    <definedName name="aqswa_1_1" localSheetId="0" hidden="1">{#N/A,#N/A,FALSE,"Sheet1 (2)"}</definedName>
    <definedName name="aqswa_1_1" hidden="1">{#N/A,#N/A,FALSE,"Sheet1 (2)"}</definedName>
    <definedName name="aqswa_1_2" localSheetId="0" hidden="1">{#N/A,#N/A,FALSE,"Sheet1 (2)"}</definedName>
    <definedName name="aqswa_1_2" hidden="1">{#N/A,#N/A,FALSE,"Sheet1 (2)"}</definedName>
    <definedName name="aqswa_1_3" localSheetId="0" hidden="1">{#N/A,#N/A,FALSE,"Sheet1 (2)"}</definedName>
    <definedName name="aqswa_1_3" hidden="1">{#N/A,#N/A,FALSE,"Sheet1 (2)"}</definedName>
    <definedName name="aqswa_2" localSheetId="0" hidden="1">{#N/A,#N/A,FALSE,"Sheet1 (2)"}</definedName>
    <definedName name="aqswa_2" hidden="1">{#N/A,#N/A,FALSE,"Sheet1 (2)"}</definedName>
    <definedName name="aqswa_2_1" localSheetId="0" hidden="1">{#N/A,#N/A,FALSE,"Sheet1 (2)"}</definedName>
    <definedName name="aqswa_2_1" hidden="1">{#N/A,#N/A,FALSE,"Sheet1 (2)"}</definedName>
    <definedName name="aqswa_2_2" localSheetId="0" hidden="1">{#N/A,#N/A,FALSE,"Sheet1 (2)"}</definedName>
    <definedName name="aqswa_2_2" hidden="1">{#N/A,#N/A,FALSE,"Sheet1 (2)"}</definedName>
    <definedName name="aqswa_3" localSheetId="0" hidden="1">{#N/A,#N/A,FALSE,"Sheet1 (2)"}</definedName>
    <definedName name="aqswa_3" hidden="1">{#N/A,#N/A,FALSE,"Sheet1 (2)"}</definedName>
    <definedName name="aqswa_4" localSheetId="0" hidden="1">{#N/A,#N/A,FALSE,"Sheet1 (2)"}</definedName>
    <definedName name="aqswa_4" hidden="1">{#N/A,#N/A,FALSE,"Sheet1 (2)"}</definedName>
    <definedName name="ArabulSearch">#REF!</definedName>
    <definedName name="ARALIKGAZETE">#REF!</definedName>
    <definedName name="ARALIKRADYO">#REF!</definedName>
    <definedName name="ARALIKTV">#REF!</definedName>
    <definedName name="ARDAHAN">#REF!</definedName>
    <definedName name="Área_impressão_IM">#REF!</definedName>
    <definedName name="Arial">#REF!</definedName>
    <definedName name="Aritmatik_Ort_Sayfa_M">#REF!</definedName>
    <definedName name="ARKİTERA">#REF!</definedName>
    <definedName name="arse">[35]xBRADx!$B$1:$K$402</definedName>
    <definedName name="ARTFUL">#REF!</definedName>
    <definedName name="ARTVİN">#REF!</definedName>
    <definedName name="arzu" localSheetId="0" hidden="1">{#N/A,#N/A,FALSE,"Sheet1 (2)"}</definedName>
    <definedName name="arzu" hidden="1">{#N/A,#N/A,FALSE,"Sheet1 (2)"}</definedName>
    <definedName name="arzu_1" localSheetId="0" hidden="1">{#N/A,#N/A,FALSE,"Sheet1 (2)"}</definedName>
    <definedName name="arzu_1" hidden="1">{#N/A,#N/A,FALSE,"Sheet1 (2)"}</definedName>
    <definedName name="As">#REF!</definedName>
    <definedName name="AS2DocOpenMode" hidden="1">"AS2DocumentEdit"</definedName>
    <definedName name="asa" localSheetId="0" hidden="1">{#N/A,#N/A,FALSE,"Sheet1 (2)"}</definedName>
    <definedName name="asa" hidden="1">{#N/A,#N/A,FALSE,"Sheet1 (2)"}</definedName>
    <definedName name="asaa" localSheetId="0" hidden="1">{#N/A,#N/A,FALSE,"Sheet1 (2)"}</definedName>
    <definedName name="asaa" hidden="1">{#N/A,#N/A,FALSE,"Sheet1 (2)"}</definedName>
    <definedName name="asadas" hidden="1">#REF!</definedName>
    <definedName name="ASADSD" localSheetId="0" hidden="1">{#N/A,#N/A,FALSE,"Sheet1 (2)"}</definedName>
    <definedName name="ASADSD" hidden="1">{#N/A,#N/A,FALSE,"Sheet1 (2)"}</definedName>
    <definedName name="ASAS" localSheetId="0" hidden="1">{#N/A,#N/A,FALSE,"Sheet1 (2)"}</definedName>
    <definedName name="ASAS" hidden="1">{#N/A,#N/A,FALSE,"Sheet1 (2)"}</definedName>
    <definedName name="asasas" hidden="1">#REF!</definedName>
    <definedName name="asasasasasasasas">#REF!</definedName>
    <definedName name="asascd" hidden="1">#REF!</definedName>
    <definedName name="asasdasd" localSheetId="0">'Haziran Gerçekleşen Plan'!asasdasd</definedName>
    <definedName name="asasdasd">[0]!asasdasd</definedName>
    <definedName name="asasddas" localSheetId="0" hidden="1">{#N/A,#N/A,FALSE,"Sheet1 (2)"}</definedName>
    <definedName name="asasddas" hidden="1">{#N/A,#N/A,FALSE,"Sheet1 (2)"}</definedName>
    <definedName name="asd" hidden="1">#REF!</definedName>
    <definedName name="asda" localSheetId="0" hidden="1">{#N/A,#N/A,FALSE,"Sheet1 (2)"}</definedName>
    <definedName name="asda" hidden="1">{#N/A,#N/A,FALSE,"Sheet1 (2)"}</definedName>
    <definedName name="asda_1" localSheetId="0" hidden="1">{#N/A,#N/A,FALSE,"Sheet1 (2)"}</definedName>
    <definedName name="asda_1" hidden="1">{#N/A,#N/A,FALSE,"Sheet1 (2)"}</definedName>
    <definedName name="asda_1_1" localSheetId="0" hidden="1">{#N/A,#N/A,FALSE,"Sheet1 (2)"}</definedName>
    <definedName name="asda_1_1" hidden="1">{#N/A,#N/A,FALSE,"Sheet1 (2)"}</definedName>
    <definedName name="asda_1_2" localSheetId="0" hidden="1">{#N/A,#N/A,FALSE,"Sheet1 (2)"}</definedName>
    <definedName name="asda_1_2" hidden="1">{#N/A,#N/A,FALSE,"Sheet1 (2)"}</definedName>
    <definedName name="asda_1_3" localSheetId="0" hidden="1">{#N/A,#N/A,FALSE,"Sheet1 (2)"}</definedName>
    <definedName name="asda_1_3" hidden="1">{#N/A,#N/A,FALSE,"Sheet1 (2)"}</definedName>
    <definedName name="asda_2" localSheetId="0" hidden="1">{#N/A,#N/A,FALSE,"Sheet1 (2)"}</definedName>
    <definedName name="asda_2" hidden="1">{#N/A,#N/A,FALSE,"Sheet1 (2)"}</definedName>
    <definedName name="asda_2_1" localSheetId="0" hidden="1">{#N/A,#N/A,FALSE,"Sheet1 (2)"}</definedName>
    <definedName name="asda_2_1" hidden="1">{#N/A,#N/A,FALSE,"Sheet1 (2)"}</definedName>
    <definedName name="asda_2_2" localSheetId="0" hidden="1">{#N/A,#N/A,FALSE,"Sheet1 (2)"}</definedName>
    <definedName name="asda_2_2" hidden="1">{#N/A,#N/A,FALSE,"Sheet1 (2)"}</definedName>
    <definedName name="asda_3" localSheetId="0" hidden="1">{#N/A,#N/A,FALSE,"Sheet1 (2)"}</definedName>
    <definedName name="asda_3" hidden="1">{#N/A,#N/A,FALSE,"Sheet1 (2)"}</definedName>
    <definedName name="asda_4" localSheetId="0" hidden="1">{#N/A,#N/A,FALSE,"Sheet1 (2)"}</definedName>
    <definedName name="asda_4" hidden="1">{#N/A,#N/A,FALSE,"Sheet1 (2)"}</definedName>
    <definedName name="asda1" localSheetId="0" hidden="1">{#N/A,#N/A,FALSE,"Sheet1 (2)"}</definedName>
    <definedName name="asda1" hidden="1">{#N/A,#N/A,FALSE,"Sheet1 (2)"}</definedName>
    <definedName name="asda1_1" localSheetId="0" hidden="1">{#N/A,#N/A,FALSE,"Sheet1 (2)"}</definedName>
    <definedName name="asda1_1" hidden="1">{#N/A,#N/A,FALSE,"Sheet1 (2)"}</definedName>
    <definedName name="asda1_1_1" localSheetId="0" hidden="1">{#N/A,#N/A,FALSE,"Sheet1 (2)"}</definedName>
    <definedName name="asda1_1_1" hidden="1">{#N/A,#N/A,FALSE,"Sheet1 (2)"}</definedName>
    <definedName name="asda1_1_2" localSheetId="0" hidden="1">{#N/A,#N/A,FALSE,"Sheet1 (2)"}</definedName>
    <definedName name="asda1_1_2" hidden="1">{#N/A,#N/A,FALSE,"Sheet1 (2)"}</definedName>
    <definedName name="asda1_1_3" localSheetId="0" hidden="1">{#N/A,#N/A,FALSE,"Sheet1 (2)"}</definedName>
    <definedName name="asda1_1_3" hidden="1">{#N/A,#N/A,FALSE,"Sheet1 (2)"}</definedName>
    <definedName name="asda1_2" localSheetId="0" hidden="1">{#N/A,#N/A,FALSE,"Sheet1 (2)"}</definedName>
    <definedName name="asda1_2" hidden="1">{#N/A,#N/A,FALSE,"Sheet1 (2)"}</definedName>
    <definedName name="asda1_2_1" localSheetId="0" hidden="1">{#N/A,#N/A,FALSE,"Sheet1 (2)"}</definedName>
    <definedName name="asda1_2_1" hidden="1">{#N/A,#N/A,FALSE,"Sheet1 (2)"}</definedName>
    <definedName name="asda1_2_2" localSheetId="0" hidden="1">{#N/A,#N/A,FALSE,"Sheet1 (2)"}</definedName>
    <definedName name="asda1_2_2" hidden="1">{#N/A,#N/A,FALSE,"Sheet1 (2)"}</definedName>
    <definedName name="asda1_3" localSheetId="0" hidden="1">{#N/A,#N/A,FALSE,"Sheet1 (2)"}</definedName>
    <definedName name="asda1_3" hidden="1">{#N/A,#N/A,FALSE,"Sheet1 (2)"}</definedName>
    <definedName name="asda1_4" localSheetId="0" hidden="1">{#N/A,#N/A,FALSE,"Sheet1 (2)"}</definedName>
    <definedName name="asda1_4" hidden="1">{#N/A,#N/A,FALSE,"Sheet1 (2)"}</definedName>
    <definedName name="asdad">#REF!</definedName>
    <definedName name="asdas">#REF!</definedName>
    <definedName name="ASDASD">#REF!</definedName>
    <definedName name="aSDASDASD">#REF!</definedName>
    <definedName name="asdasdg" localSheetId="0" hidden="1">{#N/A,#N/A,FALSE,"Sheet1 (2)"}</definedName>
    <definedName name="asdasdg" hidden="1">{#N/A,#N/A,FALSE,"Sheet1 (2)"}</definedName>
    <definedName name="asdasdg_1" localSheetId="0" hidden="1">{#N/A,#N/A,FALSE,"Sheet1 (2)"}</definedName>
    <definedName name="asdasdg_1" hidden="1">{#N/A,#N/A,FALSE,"Sheet1 (2)"}</definedName>
    <definedName name="asdasdg_1_1" localSheetId="0" hidden="1">{#N/A,#N/A,FALSE,"Sheet1 (2)"}</definedName>
    <definedName name="asdasdg_1_1" hidden="1">{#N/A,#N/A,FALSE,"Sheet1 (2)"}</definedName>
    <definedName name="asdasdg_1_2" localSheetId="0" hidden="1">{#N/A,#N/A,FALSE,"Sheet1 (2)"}</definedName>
    <definedName name="asdasdg_1_2" hidden="1">{#N/A,#N/A,FALSE,"Sheet1 (2)"}</definedName>
    <definedName name="asdasdg_1_3" localSheetId="0" hidden="1">{#N/A,#N/A,FALSE,"Sheet1 (2)"}</definedName>
    <definedName name="asdasdg_1_3" hidden="1">{#N/A,#N/A,FALSE,"Sheet1 (2)"}</definedName>
    <definedName name="asdasdg_2" localSheetId="0" hidden="1">{#N/A,#N/A,FALSE,"Sheet1 (2)"}</definedName>
    <definedName name="asdasdg_2" hidden="1">{#N/A,#N/A,FALSE,"Sheet1 (2)"}</definedName>
    <definedName name="asdasdg_2_1" localSheetId="0" hidden="1">{#N/A,#N/A,FALSE,"Sheet1 (2)"}</definedName>
    <definedName name="asdasdg_2_1" hidden="1">{#N/A,#N/A,FALSE,"Sheet1 (2)"}</definedName>
    <definedName name="asdasdg_2_2" localSheetId="0" hidden="1">{#N/A,#N/A,FALSE,"Sheet1 (2)"}</definedName>
    <definedName name="asdasdg_2_2" hidden="1">{#N/A,#N/A,FALSE,"Sheet1 (2)"}</definedName>
    <definedName name="asdasdg_3" localSheetId="0" hidden="1">{#N/A,#N/A,FALSE,"Sheet1 (2)"}</definedName>
    <definedName name="asdasdg_3" hidden="1">{#N/A,#N/A,FALSE,"Sheet1 (2)"}</definedName>
    <definedName name="asdasdg_4" localSheetId="0" hidden="1">{#N/A,#N/A,FALSE,"Sheet1 (2)"}</definedName>
    <definedName name="asdasdg_4" hidden="1">{#N/A,#N/A,FALSE,"Sheet1 (2)"}</definedName>
    <definedName name="asdasfas" localSheetId="0" hidden="1">{#N/A,#N/A,FALSE,"Sheet1 (2)"}</definedName>
    <definedName name="asdasfas" hidden="1">{#N/A,#N/A,FALSE,"Sheet1 (2)"}</definedName>
    <definedName name="asddasd" localSheetId="0" hidden="1">{#N/A,#N/A,FALSE,"Sheet1 (2)"}</definedName>
    <definedName name="asddasd" hidden="1">{#N/A,#N/A,FALSE,"Sheet1 (2)"}</definedName>
    <definedName name="asddasd_1" localSheetId="0" hidden="1">{#N/A,#N/A,FALSE,"Sheet1 (2)"}</definedName>
    <definedName name="asddasd_1" hidden="1">{#N/A,#N/A,FALSE,"Sheet1 (2)"}</definedName>
    <definedName name="asddasd_1_1" localSheetId="0" hidden="1">{#N/A,#N/A,FALSE,"Sheet1 (2)"}</definedName>
    <definedName name="asddasd_1_1" hidden="1">{#N/A,#N/A,FALSE,"Sheet1 (2)"}</definedName>
    <definedName name="asddasd_1_2" localSheetId="0" hidden="1">{#N/A,#N/A,FALSE,"Sheet1 (2)"}</definedName>
    <definedName name="asddasd_1_2" hidden="1">{#N/A,#N/A,FALSE,"Sheet1 (2)"}</definedName>
    <definedName name="asddasd_1_3" localSheetId="0" hidden="1">{#N/A,#N/A,FALSE,"Sheet1 (2)"}</definedName>
    <definedName name="asddasd_1_3" hidden="1">{#N/A,#N/A,FALSE,"Sheet1 (2)"}</definedName>
    <definedName name="asddasd_2" localSheetId="0" hidden="1">{#N/A,#N/A,FALSE,"Sheet1 (2)"}</definedName>
    <definedName name="asddasd_2" hidden="1">{#N/A,#N/A,FALSE,"Sheet1 (2)"}</definedName>
    <definedName name="asddasd_2_1" localSheetId="0" hidden="1">{#N/A,#N/A,FALSE,"Sheet1 (2)"}</definedName>
    <definedName name="asddasd_2_1" hidden="1">{#N/A,#N/A,FALSE,"Sheet1 (2)"}</definedName>
    <definedName name="asddasd_2_2" localSheetId="0" hidden="1">{#N/A,#N/A,FALSE,"Sheet1 (2)"}</definedName>
    <definedName name="asddasd_2_2" hidden="1">{#N/A,#N/A,FALSE,"Sheet1 (2)"}</definedName>
    <definedName name="asddasd_3" localSheetId="0" hidden="1">{#N/A,#N/A,FALSE,"Sheet1 (2)"}</definedName>
    <definedName name="asddasd_3" hidden="1">{#N/A,#N/A,FALSE,"Sheet1 (2)"}</definedName>
    <definedName name="asddasd_4" localSheetId="0" hidden="1">{#N/A,#N/A,FALSE,"Sheet1 (2)"}</definedName>
    <definedName name="asddasd_4" hidden="1">{#N/A,#N/A,FALSE,"Sheet1 (2)"}</definedName>
    <definedName name="ASDF" localSheetId="0" hidden="1">{#N/A,#N/A,FALSE,"Sheet1 (2)"}</definedName>
    <definedName name="ASDF" hidden="1">{#N/A,#N/A,FALSE,"Sheet1 (2)"}</definedName>
    <definedName name="ASDF_1" localSheetId="0" hidden="1">{#N/A,#N/A,FALSE,"Sheet1 (2)"}</definedName>
    <definedName name="ASDF_1" hidden="1">{#N/A,#N/A,FALSE,"Sheet1 (2)"}</definedName>
    <definedName name="ASDF_1_1" localSheetId="0" hidden="1">{#N/A,#N/A,FALSE,"Sheet1 (2)"}</definedName>
    <definedName name="ASDF_1_1" hidden="1">{#N/A,#N/A,FALSE,"Sheet1 (2)"}</definedName>
    <definedName name="ASDF_1_2" localSheetId="0" hidden="1">{#N/A,#N/A,FALSE,"Sheet1 (2)"}</definedName>
    <definedName name="ASDF_1_2" hidden="1">{#N/A,#N/A,FALSE,"Sheet1 (2)"}</definedName>
    <definedName name="ASDF_1_3" localSheetId="0" hidden="1">{#N/A,#N/A,FALSE,"Sheet1 (2)"}</definedName>
    <definedName name="ASDF_1_3" hidden="1">{#N/A,#N/A,FALSE,"Sheet1 (2)"}</definedName>
    <definedName name="ASDF_2" localSheetId="0" hidden="1">{#N/A,#N/A,FALSE,"Sheet1 (2)"}</definedName>
    <definedName name="ASDF_2" hidden="1">{#N/A,#N/A,FALSE,"Sheet1 (2)"}</definedName>
    <definedName name="ASDF_2_1" localSheetId="0" hidden="1">{#N/A,#N/A,FALSE,"Sheet1 (2)"}</definedName>
    <definedName name="ASDF_2_1" hidden="1">{#N/A,#N/A,FALSE,"Sheet1 (2)"}</definedName>
    <definedName name="ASDF_2_2" localSheetId="0" hidden="1">{#N/A,#N/A,FALSE,"Sheet1 (2)"}</definedName>
    <definedName name="ASDF_2_2" hidden="1">{#N/A,#N/A,FALSE,"Sheet1 (2)"}</definedName>
    <definedName name="ASDF_3" localSheetId="0" hidden="1">{#N/A,#N/A,FALSE,"Sheet1 (2)"}</definedName>
    <definedName name="ASDF_3" hidden="1">{#N/A,#N/A,FALSE,"Sheet1 (2)"}</definedName>
    <definedName name="ASDF_4" localSheetId="0" hidden="1">{#N/A,#N/A,FALSE,"Sheet1 (2)"}</definedName>
    <definedName name="ASDF_4" hidden="1">{#N/A,#N/A,FALSE,"Sheet1 (2)"}</definedName>
    <definedName name="ASDFASDF" localSheetId="0" hidden="1">{#N/A,#N/A,FALSE,"Sheet1 (2)"}</definedName>
    <definedName name="ASDFASDF" hidden="1">{#N/A,#N/A,FALSE,"Sheet1 (2)"}</definedName>
    <definedName name="ASDFASDF_1" localSheetId="0" hidden="1">{#N/A,#N/A,FALSE,"Sheet1 (2)"}</definedName>
    <definedName name="ASDFASDF_1" hidden="1">{#N/A,#N/A,FALSE,"Sheet1 (2)"}</definedName>
    <definedName name="ASDFASDF_1_1" localSheetId="0" hidden="1">{#N/A,#N/A,FALSE,"Sheet1 (2)"}</definedName>
    <definedName name="ASDFASDF_1_1" hidden="1">{#N/A,#N/A,FALSE,"Sheet1 (2)"}</definedName>
    <definedName name="ASDFASDF_1_2" localSheetId="0" hidden="1">{#N/A,#N/A,FALSE,"Sheet1 (2)"}</definedName>
    <definedName name="ASDFASDF_1_2" hidden="1">{#N/A,#N/A,FALSE,"Sheet1 (2)"}</definedName>
    <definedName name="ASDFASDF_1_3" localSheetId="0" hidden="1">{#N/A,#N/A,FALSE,"Sheet1 (2)"}</definedName>
    <definedName name="ASDFASDF_1_3" hidden="1">{#N/A,#N/A,FALSE,"Sheet1 (2)"}</definedName>
    <definedName name="ASDFASDF_2" localSheetId="0" hidden="1">{#N/A,#N/A,FALSE,"Sheet1 (2)"}</definedName>
    <definedName name="ASDFASDF_2" hidden="1">{#N/A,#N/A,FALSE,"Sheet1 (2)"}</definedName>
    <definedName name="ASDFASDF_2_1" localSheetId="0" hidden="1">{#N/A,#N/A,FALSE,"Sheet1 (2)"}</definedName>
    <definedName name="ASDFASDF_2_1" hidden="1">{#N/A,#N/A,FALSE,"Sheet1 (2)"}</definedName>
    <definedName name="ASDFASDF_2_2" localSheetId="0" hidden="1">{#N/A,#N/A,FALSE,"Sheet1 (2)"}</definedName>
    <definedName name="ASDFASDF_2_2" hidden="1">{#N/A,#N/A,FALSE,"Sheet1 (2)"}</definedName>
    <definedName name="ASDFASDF_3" localSheetId="0" hidden="1">{#N/A,#N/A,FALSE,"Sheet1 (2)"}</definedName>
    <definedName name="ASDFASDF_3" hidden="1">{#N/A,#N/A,FALSE,"Sheet1 (2)"}</definedName>
    <definedName name="ASDFASDF_4" localSheetId="0" hidden="1">{#N/A,#N/A,FALSE,"Sheet1 (2)"}</definedName>
    <definedName name="ASDFASDF_4" hidden="1">{#N/A,#N/A,FALSE,"Sheet1 (2)"}</definedName>
    <definedName name="asdfasdfasdf" localSheetId="0" hidden="1">{#N/A,#N/A,FALSE,"L&amp;M Performance";#N/A,#N/A,FALSE,"Brand Performance";#N/A,#N/A,FALSE,"Marlboro Performance"}</definedName>
    <definedName name="asdfasdfasdf" hidden="1">{#N/A,#N/A,FALSE,"L&amp;M Performance";#N/A,#N/A,FALSE,"Brand Performance";#N/A,#N/A,FALSE,"Marlboro Performance"}</definedName>
    <definedName name="ASDFASDFASF" localSheetId="0" hidden="1">{#N/A,#N/A,FALSE,"Sheet1 (2)"}</definedName>
    <definedName name="ASDFASDFASF" hidden="1">{#N/A,#N/A,FALSE,"Sheet1 (2)"}</definedName>
    <definedName name="ASDFASDFASF_1" localSheetId="0" hidden="1">{#N/A,#N/A,FALSE,"Sheet1 (2)"}</definedName>
    <definedName name="ASDFASDFASF_1" hidden="1">{#N/A,#N/A,FALSE,"Sheet1 (2)"}</definedName>
    <definedName name="ASDFASDFASF_1_1" localSheetId="0" hidden="1">{#N/A,#N/A,FALSE,"Sheet1 (2)"}</definedName>
    <definedName name="ASDFASDFASF_1_1" hidden="1">{#N/A,#N/A,FALSE,"Sheet1 (2)"}</definedName>
    <definedName name="ASDFASDFASF_1_2" localSheetId="0" hidden="1">{#N/A,#N/A,FALSE,"Sheet1 (2)"}</definedName>
    <definedName name="ASDFASDFASF_1_2" hidden="1">{#N/A,#N/A,FALSE,"Sheet1 (2)"}</definedName>
    <definedName name="ASDFASDFASF_1_3" localSheetId="0" hidden="1">{#N/A,#N/A,FALSE,"Sheet1 (2)"}</definedName>
    <definedName name="ASDFASDFASF_1_3" hidden="1">{#N/A,#N/A,FALSE,"Sheet1 (2)"}</definedName>
    <definedName name="ASDFASDFASF_2" localSheetId="0" hidden="1">{#N/A,#N/A,FALSE,"Sheet1 (2)"}</definedName>
    <definedName name="ASDFASDFASF_2" hidden="1">{#N/A,#N/A,FALSE,"Sheet1 (2)"}</definedName>
    <definedName name="ASDFASDFASF_2_1" localSheetId="0" hidden="1">{#N/A,#N/A,FALSE,"Sheet1 (2)"}</definedName>
    <definedName name="ASDFASDFASF_2_1" hidden="1">{#N/A,#N/A,FALSE,"Sheet1 (2)"}</definedName>
    <definedName name="ASDFASDFASF_2_2" localSheetId="0" hidden="1">{#N/A,#N/A,FALSE,"Sheet1 (2)"}</definedName>
    <definedName name="ASDFASDFASF_2_2" hidden="1">{#N/A,#N/A,FALSE,"Sheet1 (2)"}</definedName>
    <definedName name="ASDFASDFASF_3" localSheetId="0" hidden="1">{#N/A,#N/A,FALSE,"Sheet1 (2)"}</definedName>
    <definedName name="ASDFASDFASF_3" hidden="1">{#N/A,#N/A,FALSE,"Sheet1 (2)"}</definedName>
    <definedName name="ASDFASDFASF_4" localSheetId="0" hidden="1">{#N/A,#N/A,FALSE,"Sheet1 (2)"}</definedName>
    <definedName name="ASDFASDFASF_4" hidden="1">{#N/A,#N/A,FALSE,"Sheet1 (2)"}</definedName>
    <definedName name="asdfawefwaef" localSheetId="0" hidden="1">{#N/A,#N/A,FALSE,"Sheet1 (2)"}</definedName>
    <definedName name="asdfawefwaef" hidden="1">{#N/A,#N/A,FALSE,"Sheet1 (2)"}</definedName>
    <definedName name="asdfawefwaef_1" localSheetId="0" hidden="1">{#N/A,#N/A,FALSE,"Sheet1 (2)"}</definedName>
    <definedName name="asdfawefwaef_1" hidden="1">{#N/A,#N/A,FALSE,"Sheet1 (2)"}</definedName>
    <definedName name="asdfawefwaef_1_1" localSheetId="0" hidden="1">{#N/A,#N/A,FALSE,"Sheet1 (2)"}</definedName>
    <definedName name="asdfawefwaef_1_1" hidden="1">{#N/A,#N/A,FALSE,"Sheet1 (2)"}</definedName>
    <definedName name="asdfawefwaef_1_2" localSheetId="0" hidden="1">{#N/A,#N/A,FALSE,"Sheet1 (2)"}</definedName>
    <definedName name="asdfawefwaef_1_2" hidden="1">{#N/A,#N/A,FALSE,"Sheet1 (2)"}</definedName>
    <definedName name="asdfawefwaef_1_3" localSheetId="0" hidden="1">{#N/A,#N/A,FALSE,"Sheet1 (2)"}</definedName>
    <definedName name="asdfawefwaef_1_3" hidden="1">{#N/A,#N/A,FALSE,"Sheet1 (2)"}</definedName>
    <definedName name="asdfawefwaef_2" localSheetId="0" hidden="1">{#N/A,#N/A,FALSE,"Sheet1 (2)"}</definedName>
    <definedName name="asdfawefwaef_2" hidden="1">{#N/A,#N/A,FALSE,"Sheet1 (2)"}</definedName>
    <definedName name="asdfawefwaef_2_1" localSheetId="0" hidden="1">{#N/A,#N/A,FALSE,"Sheet1 (2)"}</definedName>
    <definedName name="asdfawefwaef_2_1" hidden="1">{#N/A,#N/A,FALSE,"Sheet1 (2)"}</definedName>
    <definedName name="asdfawefwaef_2_2" localSheetId="0" hidden="1">{#N/A,#N/A,FALSE,"Sheet1 (2)"}</definedName>
    <definedName name="asdfawefwaef_2_2" hidden="1">{#N/A,#N/A,FALSE,"Sheet1 (2)"}</definedName>
    <definedName name="asdfawefwaef_3" localSheetId="0" hidden="1">{#N/A,#N/A,FALSE,"Sheet1 (2)"}</definedName>
    <definedName name="asdfawefwaef_3" hidden="1">{#N/A,#N/A,FALSE,"Sheet1 (2)"}</definedName>
    <definedName name="asdfawefwaef_4" localSheetId="0" hidden="1">{#N/A,#N/A,FALSE,"Sheet1 (2)"}</definedName>
    <definedName name="asdfawefwaef_4" hidden="1">{#N/A,#N/A,FALSE,"Sheet1 (2)"}</definedName>
    <definedName name="asdfga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DFgsdgsGASDGV" localSheetId="0" hidden="1">{#N/A,#N/A,FALSE,"Sheet1 (2)"}</definedName>
    <definedName name="ASDFgsdgsGASDGV" hidden="1">{#N/A,#N/A,FALSE,"Sheet1 (2)"}</definedName>
    <definedName name="asdsadadwqeqw" localSheetId="0" hidden="1">{#N/A,#N/A,FALSE,"Sheet1 (2)"}</definedName>
    <definedName name="asdsadadwqeqw" hidden="1">{#N/A,#N/A,FALSE,"Sheet1 (2)"}</definedName>
    <definedName name="asdsd" hidden="1">#REF!</definedName>
    <definedName name="ASFCostMethodName">#REF!</definedName>
    <definedName name="asiye">#REF!</definedName>
    <definedName name="ASLIKIZMAZ">#REF!</definedName>
    <definedName name="ASPETTI_COMMERCIALI">#REF!</definedName>
    <definedName name="ASQs" localSheetId="0" hidden="1">{#N/A,#N/A,FALSE,"Sheet1 (2)"}</definedName>
    <definedName name="ASQs" hidden="1">{#N/A,#N/A,FALSE,"Sheet1 (2)"}</definedName>
    <definedName name="asr" localSheetId="0" hidden="1">{#N/A,#N/A,FALSE,"Sheet1 (2)"}</definedName>
    <definedName name="asr" hidden="1">{#N/A,#N/A,FALSE,"Sheet1 (2)"}</definedName>
    <definedName name="asr_1" localSheetId="0" hidden="1">{#N/A,#N/A,FALSE,"Sheet1 (2)"}</definedName>
    <definedName name="asr_1" hidden="1">{#N/A,#N/A,FALSE,"Sheet1 (2)"}</definedName>
    <definedName name="asr_1_1" localSheetId="0" hidden="1">{#N/A,#N/A,FALSE,"Sheet1 (2)"}</definedName>
    <definedName name="asr_1_1" hidden="1">{#N/A,#N/A,FALSE,"Sheet1 (2)"}</definedName>
    <definedName name="asr_1_2" localSheetId="0" hidden="1">{#N/A,#N/A,FALSE,"Sheet1 (2)"}</definedName>
    <definedName name="asr_1_2" hidden="1">{#N/A,#N/A,FALSE,"Sheet1 (2)"}</definedName>
    <definedName name="asr_1_3" localSheetId="0" hidden="1">{#N/A,#N/A,FALSE,"Sheet1 (2)"}</definedName>
    <definedName name="asr_1_3" hidden="1">{#N/A,#N/A,FALSE,"Sheet1 (2)"}</definedName>
    <definedName name="asr_2" localSheetId="0" hidden="1">{#N/A,#N/A,FALSE,"Sheet1 (2)"}</definedName>
    <definedName name="asr_2" hidden="1">{#N/A,#N/A,FALSE,"Sheet1 (2)"}</definedName>
    <definedName name="asr_2_1" localSheetId="0" hidden="1">{#N/A,#N/A,FALSE,"Sheet1 (2)"}</definedName>
    <definedName name="asr_2_1" hidden="1">{#N/A,#N/A,FALSE,"Sheet1 (2)"}</definedName>
    <definedName name="asr_2_2" localSheetId="0" hidden="1">{#N/A,#N/A,FALSE,"Sheet1 (2)"}</definedName>
    <definedName name="asr_2_2" hidden="1">{#N/A,#N/A,FALSE,"Sheet1 (2)"}</definedName>
    <definedName name="asr_3" localSheetId="0" hidden="1">{#N/A,#N/A,FALSE,"Sheet1 (2)"}</definedName>
    <definedName name="asr_3" hidden="1">{#N/A,#N/A,FALSE,"Sheet1 (2)"}</definedName>
    <definedName name="asr_4" localSheetId="0" hidden="1">{#N/A,#N/A,FALSE,"Sheet1 (2)"}</definedName>
    <definedName name="asr_4" hidden="1">{#N/A,#N/A,FALSE,"Sheet1 (2)"}</definedName>
    <definedName name="asryu" localSheetId="0" hidden="1">{#N/A,#N/A,FALSE,"Sheet1 (2)"}</definedName>
    <definedName name="asryu" hidden="1">{#N/A,#N/A,FALSE,"Sheet1 (2)"}</definedName>
    <definedName name="ass" localSheetId="0">{"YR",0,"Auto","Auto",""}</definedName>
    <definedName name="ass">{"YR",0,"Auto","Auto",""}</definedName>
    <definedName name="assa" hidden="1">#REF!</definedName>
    <definedName name="asss">#REF!</definedName>
    <definedName name="assssdddd">#REF!</definedName>
    <definedName name="Assump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1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tgfedetgjf554">#REF!</definedName>
    <definedName name="ATS">#REF!</definedName>
    <definedName name="ATV" localSheetId="0">[36]Programlar!$A$2:$B$121</definedName>
    <definedName name="ATV">[37]Kategoriler!$A$131:$B$174</definedName>
    <definedName name="ATV_BRÜT">#REF!</definedName>
    <definedName name="ATV_NET">#REF!</definedName>
    <definedName name="ATVIND">#REF!</definedName>
    <definedName name="ATVKATEGORI">[38]tanimlar!#REF!</definedName>
    <definedName name="ATVVW">#REF!</definedName>
    <definedName name="Audio">#REF!</definedName>
    <definedName name="AUEA" localSheetId="0" hidden="1">{#N/A,#N/A,FALSE,"Sheet1 (2)"}</definedName>
    <definedName name="AUEA" hidden="1">{#N/A,#N/A,FALSE,"Sheet1 (2)"}</definedName>
    <definedName name="autoshows">'[39]ED Upper Funnel'!#REF!</definedName>
    <definedName name="aüü">#REF!</definedName>
    <definedName name="AVAILABLE_LANGS">INDIRECT('[40]Resource-Strings'!$A$1)</definedName>
    <definedName name="avea" localSheetId="0">'Haziran Gerçekleşen Plan'!avea</definedName>
    <definedName name="avea">[0]!avea</definedName>
    <definedName name="avspages">'[39]ED Upper Funnel'!#REF!</definedName>
    <definedName name="AWEWRE" localSheetId="0" hidden="1">{"'Jan - March 2000'!$A$5:$J$46"}</definedName>
    <definedName name="AWEWRE" hidden="1">{"'Jan - March 2000'!$A$5:$J$46"}</definedName>
    <definedName name="awr" localSheetId="0" hidden="1">{#N/A,#N/A,FALSE,"Sheet1 (2)"}</definedName>
    <definedName name="awr" hidden="1">{#N/A,#N/A,FALSE,"Sheet1 (2)"}</definedName>
    <definedName name="ay" localSheetId="0" hidden="1">{#N/A,#N/A,FALSE,"Sheet1 (2)"}</definedName>
    <definedName name="ay" hidden="1">{#N/A,#N/A,FALSE,"Sheet1 (2)"}</definedName>
    <definedName name="ay_1" localSheetId="0" hidden="1">{#N/A,#N/A,FALSE,"Sheet1 (2)"}</definedName>
    <definedName name="ay_1" hidden="1">{#N/A,#N/A,FALSE,"Sheet1 (2)"}</definedName>
    <definedName name="ay_1_1" localSheetId="0" hidden="1">{#N/A,#N/A,FALSE,"Sheet1 (2)"}</definedName>
    <definedName name="ay_1_1" hidden="1">{#N/A,#N/A,FALSE,"Sheet1 (2)"}</definedName>
    <definedName name="ay_1_2" localSheetId="0" hidden="1">{#N/A,#N/A,FALSE,"Sheet1 (2)"}</definedName>
    <definedName name="ay_1_2" hidden="1">{#N/A,#N/A,FALSE,"Sheet1 (2)"}</definedName>
    <definedName name="ay_1_3" localSheetId="0" hidden="1">{#N/A,#N/A,FALSE,"Sheet1 (2)"}</definedName>
    <definedName name="ay_1_3" hidden="1">{#N/A,#N/A,FALSE,"Sheet1 (2)"}</definedName>
    <definedName name="ay_2" localSheetId="0" hidden="1">{#N/A,#N/A,FALSE,"Sheet1 (2)"}</definedName>
    <definedName name="ay_2" hidden="1">{#N/A,#N/A,FALSE,"Sheet1 (2)"}</definedName>
    <definedName name="ay_2_1" localSheetId="0" hidden="1">{#N/A,#N/A,FALSE,"Sheet1 (2)"}</definedName>
    <definedName name="ay_2_1" hidden="1">{#N/A,#N/A,FALSE,"Sheet1 (2)"}</definedName>
    <definedName name="ay_2_2" localSheetId="0" hidden="1">{#N/A,#N/A,FALSE,"Sheet1 (2)"}</definedName>
    <definedName name="ay_2_2" hidden="1">{#N/A,#N/A,FALSE,"Sheet1 (2)"}</definedName>
    <definedName name="ay_3" localSheetId="0" hidden="1">{#N/A,#N/A,FALSE,"Sheet1 (2)"}</definedName>
    <definedName name="ay_3" hidden="1">{#N/A,#N/A,FALSE,"Sheet1 (2)"}</definedName>
    <definedName name="ay_4" localSheetId="0" hidden="1">{#N/A,#N/A,FALSE,"Sheet1 (2)"}</definedName>
    <definedName name="ay_4" hidden="1">{#N/A,#N/A,FALSE,"Sheet1 (2)"}</definedName>
    <definedName name="AYBIM">#REF!</definedName>
    <definedName name="AYBIM10">#REF!</definedName>
    <definedName name="AYBIM11">#REF!</definedName>
    <definedName name="AYBIM12">#REF!</definedName>
    <definedName name="AYBIM13">#REF!</definedName>
    <definedName name="AYBIM2">#REF!</definedName>
    <definedName name="AYBIM3">#REF!</definedName>
    <definedName name="AYBIM4">#REF!</definedName>
    <definedName name="AYBIM5">#REF!</definedName>
    <definedName name="AYBIM6">#REF!</definedName>
    <definedName name="AYBIM7">#REF!</definedName>
    <definedName name="AYBIM8">#REF!</definedName>
    <definedName name="AYBIM9">#REF!</definedName>
    <definedName name="AYDIN">#REF!</definedName>
    <definedName name="Aylar" localSheetId="0">{"Ocak","Şubat","Mart","Nisan","Mayıs","Haziran","Temmuz","Ağustos","Eylül","Ekim","Kasım","Aralık"}</definedName>
    <definedName name="Aylar">{"Ocak","Şubat","Mart","Nisan","Mayıs","Haziran","Temmuz","Ağustos","Eylül","Ekim","Kasım","Aralık"}</definedName>
    <definedName name="aylık">#REF!</definedName>
    <definedName name="ayse" localSheetId="0" hidden="1">{#N/A,#N/A,FALSE,"Sheet1 (2)"}</definedName>
    <definedName name="ayse" hidden="1">{#N/A,#N/A,FALSE,"Sheet1 (2)"}</definedName>
    <definedName name="AYŞE" localSheetId="0">'Haziran Gerçekleşen Plan'!AYŞE</definedName>
    <definedName name="AYŞE">[0]!AYŞE</definedName>
    <definedName name="azz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azz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azz_1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azz_1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azz_1_1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azz_1_1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azz_1_2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azz_1_2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azz_1_3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azz_1_3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azz_2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azz_2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azz_2_1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azz_2_1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azz_2_2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azz_2_2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azz_3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azz_3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azz_4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azz_4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B">#REF!</definedName>
    <definedName name="ba">'[41]revised_MSN Fall Fash &amp; Beauty'!#REF!</definedName>
    <definedName name="BAC">#REF!</definedName>
    <definedName name="BAC_2">#REF!</definedName>
    <definedName name="BAC_3">#REF!</definedName>
    <definedName name="BAC_4">#REF!</definedName>
    <definedName name="BAC_5">#REF!</definedName>
    <definedName name="BAC_6">#REF!</definedName>
    <definedName name="BAC_7">#REF!</definedName>
    <definedName name="Bahrain">#REF!</definedName>
    <definedName name="BAKSANA" localSheetId="0">'Haziran Gerçekleşen Plan'!BAKSANA</definedName>
    <definedName name="BAKSANA">[0]!BAKSANA</definedName>
    <definedName name="Balh">#REF!</definedName>
    <definedName name="BALIKESİR">#REF!</definedName>
    <definedName name="BANT">#REF!</definedName>
    <definedName name="BANT_FARKI">'[42]İndirimler ve Tanımlar'!$B$4</definedName>
    <definedName name="BANTMAG">#REF!</definedName>
    <definedName name="BARTIN">#REF!</definedName>
    <definedName name="basin" localSheetId="0" hidden="1">{#N/A,#N/A,FALSE,"MALİTABLOLAR"}</definedName>
    <definedName name="basin" hidden="1">{#N/A,#N/A,FALSE,"MALİTABLOLAR"}</definedName>
    <definedName name="basin_1" localSheetId="0" hidden="1">{#N/A,#N/A,FALSE,"MALİTABLOLAR"}</definedName>
    <definedName name="basin_1" hidden="1">{#N/A,#N/A,FALSE,"MALİTABLOLAR"}</definedName>
    <definedName name="basin_1_1" localSheetId="0" hidden="1">{#N/A,#N/A,FALSE,"MALİTABLOLAR"}</definedName>
    <definedName name="basin_1_1" hidden="1">{#N/A,#N/A,FALSE,"MALİTABLOLAR"}</definedName>
    <definedName name="basin_1_2" localSheetId="0" hidden="1">{#N/A,#N/A,FALSE,"MALİTABLOLAR"}</definedName>
    <definedName name="basin_1_2" hidden="1">{#N/A,#N/A,FALSE,"MALİTABLOLAR"}</definedName>
    <definedName name="basin_1_3" localSheetId="0" hidden="1">{#N/A,#N/A,FALSE,"MALİTABLOLAR"}</definedName>
    <definedName name="basin_1_3" hidden="1">{#N/A,#N/A,FALSE,"MALİTABLOLAR"}</definedName>
    <definedName name="basin_2" localSheetId="0" hidden="1">{#N/A,#N/A,FALSE,"MALİTABLOLAR"}</definedName>
    <definedName name="basin_2" hidden="1">{#N/A,#N/A,FALSE,"MALİTABLOLAR"}</definedName>
    <definedName name="basin_2_1" localSheetId="0" hidden="1">{#N/A,#N/A,FALSE,"MALİTABLOLAR"}</definedName>
    <definedName name="basin_2_1" hidden="1">{#N/A,#N/A,FALSE,"MALİTABLOLAR"}</definedName>
    <definedName name="basin_2_2" localSheetId="0" hidden="1">{#N/A,#N/A,FALSE,"MALİTABLOLAR"}</definedName>
    <definedName name="basin_2_2" hidden="1">{#N/A,#N/A,FALSE,"MALİTABLOLAR"}</definedName>
    <definedName name="basin_3" localSheetId="0" hidden="1">{#N/A,#N/A,FALSE,"MALİTABLOLAR"}</definedName>
    <definedName name="basin_3" hidden="1">{#N/A,#N/A,FALSE,"MALİTABLOLAR"}</definedName>
    <definedName name="basin_4" localSheetId="0" hidden="1">{#N/A,#N/A,FALSE,"MALİTABLOLAR"}</definedName>
    <definedName name="basin_4" hidden="1">{#N/A,#N/A,FALSE,"MALİTABLOLAR"}</definedName>
    <definedName name="BASK_GRAFICO">#REF!</definedName>
    <definedName name="BASK_MODELLO">#REF!</definedName>
    <definedName name="BASK_VERSIONE">#REF!</definedName>
    <definedName name="BATMAN">#REF!</definedName>
    <definedName name="bayaro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bayaro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bayaro_1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bayaro_1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bayaro_1_1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bayaro_1_1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bayaro_1_2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bayaro_1_2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bayaro_1_3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bayaro_1_3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bayaro_2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bayaro_2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bayaro_2_1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bayaro_2_1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bayaro_2_2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bayaro_2_2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bayaro_3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bayaro_3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bayaro_4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bayaro_4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BAYBLG">#REF!</definedName>
    <definedName name="BAYBURT">#REF!</definedName>
    <definedName name="bb">#REF!</definedName>
    <definedName name="BB_1" localSheetId="0" hidden="1">{#N/A,#N/A,FALSE,"Sheet1 (2)"}</definedName>
    <definedName name="BB_1" hidden="1">{#N/A,#N/A,FALSE,"Sheet1 (2)"}</definedName>
    <definedName name="BB_1_1" localSheetId="0" hidden="1">{#N/A,#N/A,FALSE,"Sheet1 (2)"}</definedName>
    <definedName name="BB_1_1" hidden="1">{#N/A,#N/A,FALSE,"Sheet1 (2)"}</definedName>
    <definedName name="BB_1_2" localSheetId="0" hidden="1">{#N/A,#N/A,FALSE,"Sheet1 (2)"}</definedName>
    <definedName name="BB_1_2" hidden="1">{#N/A,#N/A,FALSE,"Sheet1 (2)"}</definedName>
    <definedName name="BB_1_3" localSheetId="0" hidden="1">{#N/A,#N/A,FALSE,"Sheet1 (2)"}</definedName>
    <definedName name="BB_1_3" hidden="1">{#N/A,#N/A,FALSE,"Sheet1 (2)"}</definedName>
    <definedName name="BB_2" localSheetId="0" hidden="1">{#N/A,#N/A,FALSE,"Sheet1 (2)"}</definedName>
    <definedName name="BB_2" hidden="1">{#N/A,#N/A,FALSE,"Sheet1 (2)"}</definedName>
    <definedName name="BB_2_1" localSheetId="0" hidden="1">{#N/A,#N/A,FALSE,"Sheet1 (2)"}</definedName>
    <definedName name="BB_2_1" hidden="1">{#N/A,#N/A,FALSE,"Sheet1 (2)"}</definedName>
    <definedName name="BB_2_2" localSheetId="0" hidden="1">{#N/A,#N/A,FALSE,"Sheet1 (2)"}</definedName>
    <definedName name="BB_2_2" hidden="1">{#N/A,#N/A,FALSE,"Sheet1 (2)"}</definedName>
    <definedName name="BB_3" localSheetId="0" hidden="1">{#N/A,#N/A,FALSE,"Sheet1 (2)"}</definedName>
    <definedName name="BB_3" hidden="1">{#N/A,#N/A,FALSE,"Sheet1 (2)"}</definedName>
    <definedName name="BB_4" localSheetId="0" hidden="1">{#N/A,#N/A,FALSE,"Sheet1 (2)"}</definedName>
    <definedName name="BB_4" hidden="1">{#N/A,#N/A,FALSE,"Sheet1 (2)"}</definedName>
    <definedName name="bbb">#REF!</definedName>
    <definedName name="bbb_2">#REF!</definedName>
    <definedName name="bbb_3">#REF!</definedName>
    <definedName name="bbb_4">#REF!</definedName>
    <definedName name="bbb_5">#REF!</definedName>
    <definedName name="bbb_6">#REF!</definedName>
    <definedName name="bbb_7">#REF!</definedName>
    <definedName name="BBBBB" localSheetId="0">{"YR",0,"Auto","Auto",""}</definedName>
    <definedName name="BBBBB">{"YR",0,"Auto","Auto",""}</definedName>
    <definedName name="bbbbbbbbb" localSheetId="0" hidden="1">{#N/A,#N/A,FALSE,"Sheet1 (2)"}</definedName>
    <definedName name="bbbbbbbbb" hidden="1">{#N/A,#N/A,FALSE,"Sheet1 (2)"}</definedName>
    <definedName name="bbbbbbbbb_1" localSheetId="0" hidden="1">{#N/A,#N/A,FALSE,"Sheet1 (2)"}</definedName>
    <definedName name="bbbbbbbbb_1" hidden="1">{#N/A,#N/A,FALSE,"Sheet1 (2)"}</definedName>
    <definedName name="bbbbbbbbb_1_1" localSheetId="0" hidden="1">{#N/A,#N/A,FALSE,"Sheet1 (2)"}</definedName>
    <definedName name="bbbbbbbbb_1_1" hidden="1">{#N/A,#N/A,FALSE,"Sheet1 (2)"}</definedName>
    <definedName name="bbbbbbbbb_1_2" localSheetId="0" hidden="1">{#N/A,#N/A,FALSE,"Sheet1 (2)"}</definedName>
    <definedName name="bbbbbbbbb_1_2" hidden="1">{#N/A,#N/A,FALSE,"Sheet1 (2)"}</definedName>
    <definedName name="bbbbbbbbb_1_3" localSheetId="0" hidden="1">{#N/A,#N/A,FALSE,"Sheet1 (2)"}</definedName>
    <definedName name="bbbbbbbbb_1_3" hidden="1">{#N/A,#N/A,FALSE,"Sheet1 (2)"}</definedName>
    <definedName name="bbbbbbbbb_2" localSheetId="0" hidden="1">{#N/A,#N/A,FALSE,"Sheet1 (2)"}</definedName>
    <definedName name="bbbbbbbbb_2" hidden="1">{#N/A,#N/A,FALSE,"Sheet1 (2)"}</definedName>
    <definedName name="bbbbbbbbb_2_1" localSheetId="0" hidden="1">{#N/A,#N/A,FALSE,"Sheet1 (2)"}</definedName>
    <definedName name="bbbbbbbbb_2_1" hidden="1">{#N/A,#N/A,FALSE,"Sheet1 (2)"}</definedName>
    <definedName name="bbbbbbbbb_2_2" localSheetId="0" hidden="1">{#N/A,#N/A,FALSE,"Sheet1 (2)"}</definedName>
    <definedName name="bbbbbbbbb_2_2" hidden="1">{#N/A,#N/A,FALSE,"Sheet1 (2)"}</definedName>
    <definedName name="bbbbbbbbb_3" localSheetId="0" hidden="1">{#N/A,#N/A,FALSE,"Sheet1 (2)"}</definedName>
    <definedName name="bbbbbbbbb_3" hidden="1">{#N/A,#N/A,FALSE,"Sheet1 (2)"}</definedName>
    <definedName name="bbbbbbbbb_4" localSheetId="0" hidden="1">{#N/A,#N/A,FALSE,"Sheet1 (2)"}</definedName>
    <definedName name="bbbbbbbbb_4" hidden="1">{#N/A,#N/A,FALSE,"Sheet1 (2)"}</definedName>
    <definedName name="bbbbbbbbbbb" localSheetId="0" hidden="1">{#N/A,#N/A,FALSE,"Sheet1 (2)"}</definedName>
    <definedName name="bbbbbbbbbbb" hidden="1">{#N/A,#N/A,FALSE,"Sheet1 (2)"}</definedName>
    <definedName name="bbbbbbbbbbb_1" localSheetId="0" hidden="1">{#N/A,#N/A,FALSE,"Sheet1 (2)"}</definedName>
    <definedName name="bbbbbbbbbbb_1" hidden="1">{#N/A,#N/A,FALSE,"Sheet1 (2)"}</definedName>
    <definedName name="bbbbbbbbbbb_1_1" localSheetId="0" hidden="1">{#N/A,#N/A,FALSE,"Sheet1 (2)"}</definedName>
    <definedName name="bbbbbbbbbbb_1_1" hidden="1">{#N/A,#N/A,FALSE,"Sheet1 (2)"}</definedName>
    <definedName name="bbbbbbbbbbb_1_2" localSheetId="0" hidden="1">{#N/A,#N/A,FALSE,"Sheet1 (2)"}</definedName>
    <definedName name="bbbbbbbbbbb_1_2" hidden="1">{#N/A,#N/A,FALSE,"Sheet1 (2)"}</definedName>
    <definedName name="bbbbbbbbbbb_1_3" localSheetId="0" hidden="1">{#N/A,#N/A,FALSE,"Sheet1 (2)"}</definedName>
    <definedName name="bbbbbbbbbbb_1_3" hidden="1">{#N/A,#N/A,FALSE,"Sheet1 (2)"}</definedName>
    <definedName name="bbbbbbbbbbb_2" localSheetId="0" hidden="1">{#N/A,#N/A,FALSE,"Sheet1 (2)"}</definedName>
    <definedName name="bbbbbbbbbbb_2" hidden="1">{#N/A,#N/A,FALSE,"Sheet1 (2)"}</definedName>
    <definedName name="bbbbbbbbbbb_2_1" localSheetId="0" hidden="1">{#N/A,#N/A,FALSE,"Sheet1 (2)"}</definedName>
    <definedName name="bbbbbbbbbbb_2_1" hidden="1">{#N/A,#N/A,FALSE,"Sheet1 (2)"}</definedName>
    <definedName name="bbbbbbbbbbb_2_2" localSheetId="0" hidden="1">{#N/A,#N/A,FALSE,"Sheet1 (2)"}</definedName>
    <definedName name="bbbbbbbbbbb_2_2" hidden="1">{#N/A,#N/A,FALSE,"Sheet1 (2)"}</definedName>
    <definedName name="bbbbbbbbbbb_3" localSheetId="0" hidden="1">{#N/A,#N/A,FALSE,"Sheet1 (2)"}</definedName>
    <definedName name="bbbbbbbbbbb_3" hidden="1">{#N/A,#N/A,FALSE,"Sheet1 (2)"}</definedName>
    <definedName name="bbbbbbbbbbb_4" localSheetId="0" hidden="1">{#N/A,#N/A,FALSE,"Sheet1 (2)"}</definedName>
    <definedName name="bbbbbbbbbbb_4" hidden="1">{#N/A,#N/A,FALSE,"Sheet1 (2)"}</definedName>
    <definedName name="bbbbbbbbbbbb" localSheetId="0" hidden="1">{#N/A,#N/A,FALSE,"Sheet1 (2)"}</definedName>
    <definedName name="bbbbbbbbbbbb" hidden="1">{#N/A,#N/A,FALSE,"Sheet1 (2)"}</definedName>
    <definedName name="bbbbbbbbbbbb_1" localSheetId="0" hidden="1">{#N/A,#N/A,FALSE,"Sheet1 (2)"}</definedName>
    <definedName name="bbbbbbbbbbbb_1" hidden="1">{#N/A,#N/A,FALSE,"Sheet1 (2)"}</definedName>
    <definedName name="bbbbbbbbbbbb_1_1" localSheetId="0" hidden="1">{#N/A,#N/A,FALSE,"Sheet1 (2)"}</definedName>
    <definedName name="bbbbbbbbbbbb_1_1" hidden="1">{#N/A,#N/A,FALSE,"Sheet1 (2)"}</definedName>
    <definedName name="bbbbbbbbbbbb_1_2" localSheetId="0" hidden="1">{#N/A,#N/A,FALSE,"Sheet1 (2)"}</definedName>
    <definedName name="bbbbbbbbbbbb_1_2" hidden="1">{#N/A,#N/A,FALSE,"Sheet1 (2)"}</definedName>
    <definedName name="bbbbbbbbbbbb_1_3" localSheetId="0" hidden="1">{#N/A,#N/A,FALSE,"Sheet1 (2)"}</definedName>
    <definedName name="bbbbbbbbbbbb_1_3" hidden="1">{#N/A,#N/A,FALSE,"Sheet1 (2)"}</definedName>
    <definedName name="bbbbbbbbbbbb_2" localSheetId="0" hidden="1">{#N/A,#N/A,FALSE,"Sheet1 (2)"}</definedName>
    <definedName name="bbbbbbbbbbbb_2" hidden="1">{#N/A,#N/A,FALSE,"Sheet1 (2)"}</definedName>
    <definedName name="bbbbbbbbbbbb_2_1" localSheetId="0" hidden="1">{#N/A,#N/A,FALSE,"Sheet1 (2)"}</definedName>
    <definedName name="bbbbbbbbbbbb_2_1" hidden="1">{#N/A,#N/A,FALSE,"Sheet1 (2)"}</definedName>
    <definedName name="bbbbbbbbbbbb_2_2" localSheetId="0" hidden="1">{#N/A,#N/A,FALSE,"Sheet1 (2)"}</definedName>
    <definedName name="bbbbbbbbbbbb_2_2" hidden="1">{#N/A,#N/A,FALSE,"Sheet1 (2)"}</definedName>
    <definedName name="bbbbbbbbbbbb_3" localSheetId="0" hidden="1">{#N/A,#N/A,FALSE,"Sheet1 (2)"}</definedName>
    <definedName name="bbbbbbbbbbbb_3" hidden="1">{#N/A,#N/A,FALSE,"Sheet1 (2)"}</definedName>
    <definedName name="bbbbbbbbbbbb_4" localSheetId="0" hidden="1">{#N/A,#N/A,FALSE,"Sheet1 (2)"}</definedName>
    <definedName name="bbbbbbbbbbbb_4" hidden="1">{#N/A,#N/A,FALSE,"Sheet1 (2)"}</definedName>
    <definedName name="bbbbbbbbbbbbbbbb" localSheetId="0" hidden="1">{#N/A,#N/A,FALSE,"Sheet1 (2)"}</definedName>
    <definedName name="bbbbbbbbbbbbbbbb" hidden="1">{#N/A,#N/A,FALSE,"Sheet1 (2)"}</definedName>
    <definedName name="bbbv">#REF!</definedName>
    <definedName name="bbthnym" localSheetId="0" hidden="1">{#N/A,#N/A,FALSE,"Sheet1 (2)"}</definedName>
    <definedName name="bbthnym" hidden="1">{#N/A,#N/A,FALSE,"Sheet1 (2)"}</definedName>
    <definedName name="bbthnym_1" localSheetId="0" hidden="1">{#N/A,#N/A,FALSE,"Sheet1 (2)"}</definedName>
    <definedName name="bbthnym_1" hidden="1">{#N/A,#N/A,FALSE,"Sheet1 (2)"}</definedName>
    <definedName name="BEACANSPARK">#REF!</definedName>
    <definedName name="BELGİN" localSheetId="0" hidden="1">{#N/A,#N/A,FALSE,"Sheet1 (2)"}</definedName>
    <definedName name="BELGİN" hidden="1">{#N/A,#N/A,FALSE,"Sheet1 (2)"}</definedName>
    <definedName name="BELGİN_1" localSheetId="0" hidden="1">{#N/A,#N/A,FALSE,"Sheet1 (2)"}</definedName>
    <definedName name="BELGİN_1" hidden="1">{#N/A,#N/A,FALSE,"Sheet1 (2)"}</definedName>
    <definedName name="BELGİN_1_1" localSheetId="0" hidden="1">{#N/A,#N/A,FALSE,"Sheet1 (2)"}</definedName>
    <definedName name="BELGİN_1_1" hidden="1">{#N/A,#N/A,FALSE,"Sheet1 (2)"}</definedName>
    <definedName name="BELGİN_1_2" localSheetId="0" hidden="1">{#N/A,#N/A,FALSE,"Sheet1 (2)"}</definedName>
    <definedName name="BELGİN_1_2" hidden="1">{#N/A,#N/A,FALSE,"Sheet1 (2)"}</definedName>
    <definedName name="BELGİN_1_3" localSheetId="0" hidden="1">{#N/A,#N/A,FALSE,"Sheet1 (2)"}</definedName>
    <definedName name="BELGİN_1_3" hidden="1">{#N/A,#N/A,FALSE,"Sheet1 (2)"}</definedName>
    <definedName name="BELGİN_2" localSheetId="0" hidden="1">{#N/A,#N/A,FALSE,"Sheet1 (2)"}</definedName>
    <definedName name="BELGİN_2" hidden="1">{#N/A,#N/A,FALSE,"Sheet1 (2)"}</definedName>
    <definedName name="BELGİN_2_1" localSheetId="0" hidden="1">{#N/A,#N/A,FALSE,"Sheet1 (2)"}</definedName>
    <definedName name="BELGİN_2_1" hidden="1">{#N/A,#N/A,FALSE,"Sheet1 (2)"}</definedName>
    <definedName name="BELGİN_2_2" localSheetId="0" hidden="1">{#N/A,#N/A,FALSE,"Sheet1 (2)"}</definedName>
    <definedName name="BELGİN_2_2" hidden="1">{#N/A,#N/A,FALSE,"Sheet1 (2)"}</definedName>
    <definedName name="BELGİN_3" localSheetId="0" hidden="1">{#N/A,#N/A,FALSE,"Sheet1 (2)"}</definedName>
    <definedName name="BELGİN_3" hidden="1">{#N/A,#N/A,FALSE,"Sheet1 (2)"}</definedName>
    <definedName name="BELGİN_4" localSheetId="0" hidden="1">{#N/A,#N/A,FALSE,"Sheet1 (2)"}</definedName>
    <definedName name="BELGİN_4" hidden="1">{#N/A,#N/A,FALSE,"Sheet1 (2)"}</definedName>
    <definedName name="BENİM">#REF!</definedName>
    <definedName name="BEŞNUMARA">#REF!</definedName>
    <definedName name="Best">#REF!</definedName>
    <definedName name="Best_2">#REF!</definedName>
    <definedName name="Best_3">#REF!</definedName>
    <definedName name="Best_4">#REF!</definedName>
    <definedName name="Best_5">#REF!</definedName>
    <definedName name="Best_6">#REF!</definedName>
    <definedName name="Best_7">#REF!</definedName>
    <definedName name="BFGÜNDEM">#REF!</definedName>
    <definedName name="bfhtht" localSheetId="0" hidden="1">{#N/A,#N/A,FALSE,"Sheet1 (2)"}</definedName>
    <definedName name="bfhtht" hidden="1">{#N/A,#N/A,FALSE,"Sheet1 (2)"}</definedName>
    <definedName name="bfhtht_1" localSheetId="0" hidden="1">{#N/A,#N/A,FALSE,"Sheet1 (2)"}</definedName>
    <definedName name="bfhtht_1" hidden="1">{#N/A,#N/A,FALSE,"Sheet1 (2)"}</definedName>
    <definedName name="BFX_BRANDFX">60122</definedName>
    <definedName name="BHN">#REF!</definedName>
    <definedName name="BİANCO12" localSheetId="0" hidden="1">{#N/A,#N/A,FALSE,"MALİTABLOLAR"}</definedName>
    <definedName name="BİANCO12" hidden="1">{#N/A,#N/A,FALSE,"MALİTABLOLAR"}</definedName>
    <definedName name="BİANCO12_1" localSheetId="0" hidden="1">{#N/A,#N/A,FALSE,"MALİTABLOLAR"}</definedName>
    <definedName name="BİANCO12_1" hidden="1">{#N/A,#N/A,FALSE,"MALİTABLOLAR"}</definedName>
    <definedName name="BİANCO12_1_1" localSheetId="0" hidden="1">{#N/A,#N/A,FALSE,"MALİTABLOLAR"}</definedName>
    <definedName name="BİANCO12_1_1" hidden="1">{#N/A,#N/A,FALSE,"MALİTABLOLAR"}</definedName>
    <definedName name="BİANCO12_1_2" localSheetId="0" hidden="1">{#N/A,#N/A,FALSE,"MALİTABLOLAR"}</definedName>
    <definedName name="BİANCO12_1_2" hidden="1">{#N/A,#N/A,FALSE,"MALİTABLOLAR"}</definedName>
    <definedName name="BİANCO12_1_3" localSheetId="0" hidden="1">{#N/A,#N/A,FALSE,"MALİTABLOLAR"}</definedName>
    <definedName name="BİANCO12_1_3" hidden="1">{#N/A,#N/A,FALSE,"MALİTABLOLAR"}</definedName>
    <definedName name="BİANCO12_2" localSheetId="0" hidden="1">{#N/A,#N/A,FALSE,"MALİTABLOLAR"}</definedName>
    <definedName name="BİANCO12_2" hidden="1">{#N/A,#N/A,FALSE,"MALİTABLOLAR"}</definedName>
    <definedName name="BİANCO12_2_1" localSheetId="0" hidden="1">{#N/A,#N/A,FALSE,"MALİTABLOLAR"}</definedName>
    <definedName name="BİANCO12_2_1" hidden="1">{#N/A,#N/A,FALSE,"MALİTABLOLAR"}</definedName>
    <definedName name="BİANCO12_2_2" localSheetId="0" hidden="1">{#N/A,#N/A,FALSE,"MALİTABLOLAR"}</definedName>
    <definedName name="BİANCO12_2_2" hidden="1">{#N/A,#N/A,FALSE,"MALİTABLOLAR"}</definedName>
    <definedName name="BİANCO12_3" localSheetId="0" hidden="1">{#N/A,#N/A,FALSE,"MALİTABLOLAR"}</definedName>
    <definedName name="BİANCO12_3" hidden="1">{#N/A,#N/A,FALSE,"MALİTABLOLAR"}</definedName>
    <definedName name="BİANCO12_4" localSheetId="0" hidden="1">{#N/A,#N/A,FALSE,"MALİTABLOLAR"}</definedName>
    <definedName name="BİANCO12_4" hidden="1">{#N/A,#N/A,FALSE,"MALİTABLOLAR"}</definedName>
    <definedName name="BigglookTravel">#REF!</definedName>
    <definedName name="biggpara">#REF!</definedName>
    <definedName name="bigpara">#REF!</definedName>
    <definedName name="BİGUMİGU">#REF!</definedName>
    <definedName name="bilan" hidden="1">#REF!</definedName>
    <definedName name="BILANÇ" localSheetId="0" hidden="1">{#N/A,#N/A,FALSE,"MALİTABLOLAR"}</definedName>
    <definedName name="BILANÇ" hidden="1">{#N/A,#N/A,FALSE,"MALİTABLOLAR"}</definedName>
    <definedName name="BILANÇ_1" localSheetId="0" hidden="1">{#N/A,#N/A,FALSE,"MALİTABLOLAR"}</definedName>
    <definedName name="BILANÇ_1" hidden="1">{#N/A,#N/A,FALSE,"MALİTABLOLAR"}</definedName>
    <definedName name="BILANÇ_1_1" localSheetId="0" hidden="1">{#N/A,#N/A,FALSE,"MALİTABLOLAR"}</definedName>
    <definedName name="BILANÇ_1_1" hidden="1">{#N/A,#N/A,FALSE,"MALİTABLOLAR"}</definedName>
    <definedName name="BILANÇ_1_2" localSheetId="0" hidden="1">{#N/A,#N/A,FALSE,"MALİTABLOLAR"}</definedName>
    <definedName name="BILANÇ_1_2" hidden="1">{#N/A,#N/A,FALSE,"MALİTABLOLAR"}</definedName>
    <definedName name="BILANÇ_1_3" localSheetId="0" hidden="1">{#N/A,#N/A,FALSE,"MALİTABLOLAR"}</definedName>
    <definedName name="BILANÇ_1_3" hidden="1">{#N/A,#N/A,FALSE,"MALİTABLOLAR"}</definedName>
    <definedName name="BILANÇ_2" localSheetId="0" hidden="1">{#N/A,#N/A,FALSE,"MALİTABLOLAR"}</definedName>
    <definedName name="BILANÇ_2" hidden="1">{#N/A,#N/A,FALSE,"MALİTABLOLAR"}</definedName>
    <definedName name="BILANÇ_2_1" localSheetId="0" hidden="1">{#N/A,#N/A,FALSE,"MALİTABLOLAR"}</definedName>
    <definedName name="BILANÇ_2_1" hidden="1">{#N/A,#N/A,FALSE,"MALİTABLOLAR"}</definedName>
    <definedName name="BILANÇ_2_2" localSheetId="0" hidden="1">{#N/A,#N/A,FALSE,"MALİTABLOLAR"}</definedName>
    <definedName name="BILANÇ_2_2" hidden="1">{#N/A,#N/A,FALSE,"MALİTABLOLAR"}</definedName>
    <definedName name="BILANÇ_3" localSheetId="0" hidden="1">{#N/A,#N/A,FALSE,"MALİTABLOLAR"}</definedName>
    <definedName name="BILANÇ_3" hidden="1">{#N/A,#N/A,FALSE,"MALİTABLOLAR"}</definedName>
    <definedName name="BILANÇ_4" localSheetId="0" hidden="1">{#N/A,#N/A,FALSE,"MALİTABLOLAR"}</definedName>
    <definedName name="BILANÇ_4" hidden="1">{#N/A,#N/A,FALSE,"MALİTABLOLAR"}</definedName>
    <definedName name="BILANCO" localSheetId="0" hidden="1">{#N/A,#N/A,FALSE,"MALİTABLOLAR";#N/A,#N/A,FALSE,"PERS MSRMRZ";#N/A,#N/A,FALSE,"MALİTABLOLAR";#N/A,#N/A,FALSE,"İskonto"}</definedName>
    <definedName name="BILANCO" hidden="1">{#N/A,#N/A,FALSE,"MALİTABLOLAR";#N/A,#N/A,FALSE,"PERS MSRMRZ";#N/A,#N/A,FALSE,"MALİTABLOLAR";#N/A,#N/A,FALSE,"İskonto"}</definedName>
    <definedName name="BİLANÇO" localSheetId="0" hidden="1">{#N/A,#N/A,FALSE,"MALİTABLOLAR"}</definedName>
    <definedName name="BİLANÇO" hidden="1">{#N/A,#N/A,FALSE,"MALİTABLOLAR"}</definedName>
    <definedName name="BILANCO_1" localSheetId="0" hidden="1">{#N/A,#N/A,FALSE,"MALİTABLOLAR";#N/A,#N/A,FALSE,"PERS MSRMRZ";#N/A,#N/A,FALSE,"MALİTABLOLAR";#N/A,#N/A,FALSE,"İskonto"}</definedName>
    <definedName name="BILANCO_1" hidden="1">{#N/A,#N/A,FALSE,"MALİTABLOLAR";#N/A,#N/A,FALSE,"PERS MSRMRZ";#N/A,#N/A,FALSE,"MALİTABLOLAR";#N/A,#N/A,FALSE,"İskonto"}</definedName>
    <definedName name="BİLANÇO_1" localSheetId="0" hidden="1">{#N/A,#N/A,FALSE,"MALİTABLOLAR"}</definedName>
    <definedName name="BİLANÇO_1" hidden="1">{#N/A,#N/A,FALSE,"MALİTABLOLAR"}</definedName>
    <definedName name="BILANCO_1_1" localSheetId="0" hidden="1">{#N/A,#N/A,FALSE,"MALİTABLOLAR";#N/A,#N/A,FALSE,"PERS MSRMRZ";#N/A,#N/A,FALSE,"MALİTABLOLAR";#N/A,#N/A,FALSE,"İskonto"}</definedName>
    <definedName name="BILANCO_1_1" hidden="1">{#N/A,#N/A,FALSE,"MALİTABLOLAR";#N/A,#N/A,FALSE,"PERS MSRMRZ";#N/A,#N/A,FALSE,"MALİTABLOLAR";#N/A,#N/A,FALSE,"İskonto"}</definedName>
    <definedName name="BİLANÇO_1_1" localSheetId="0" hidden="1">{#N/A,#N/A,FALSE,"MALİTABLOLAR"}</definedName>
    <definedName name="BİLANÇO_1_1" hidden="1">{#N/A,#N/A,FALSE,"MALİTABLOLAR"}</definedName>
    <definedName name="BILANCO_1_2" localSheetId="0" hidden="1">{#N/A,#N/A,FALSE,"MALİTABLOLAR";#N/A,#N/A,FALSE,"PERS MSRMRZ";#N/A,#N/A,FALSE,"MALİTABLOLAR";#N/A,#N/A,FALSE,"İskonto"}</definedName>
    <definedName name="BILANCO_1_2" hidden="1">{#N/A,#N/A,FALSE,"MALİTABLOLAR";#N/A,#N/A,FALSE,"PERS MSRMRZ";#N/A,#N/A,FALSE,"MALİTABLOLAR";#N/A,#N/A,FALSE,"İskonto"}</definedName>
    <definedName name="BİLANÇO_1_2" localSheetId="0" hidden="1">{#N/A,#N/A,FALSE,"MALİTABLOLAR"}</definedName>
    <definedName name="BİLANÇO_1_2" hidden="1">{#N/A,#N/A,FALSE,"MALİTABLOLAR"}</definedName>
    <definedName name="BILANCO_1_3" localSheetId="0" hidden="1">{#N/A,#N/A,FALSE,"MALİTABLOLAR";#N/A,#N/A,FALSE,"PERS MSRMRZ";#N/A,#N/A,FALSE,"MALİTABLOLAR";#N/A,#N/A,FALSE,"İskonto"}</definedName>
    <definedName name="BILANCO_1_3" hidden="1">{#N/A,#N/A,FALSE,"MALİTABLOLAR";#N/A,#N/A,FALSE,"PERS MSRMRZ";#N/A,#N/A,FALSE,"MALİTABLOLAR";#N/A,#N/A,FALSE,"İskonto"}</definedName>
    <definedName name="BİLANÇO_1_3" localSheetId="0" hidden="1">{#N/A,#N/A,FALSE,"MALİTABLOLAR"}</definedName>
    <definedName name="BİLANÇO_1_3" hidden="1">{#N/A,#N/A,FALSE,"MALİTABLOLAR"}</definedName>
    <definedName name="BILANCO_2" localSheetId="0" hidden="1">{#N/A,#N/A,FALSE,"MALİTABLOLAR";#N/A,#N/A,FALSE,"PERS MSRMRZ";#N/A,#N/A,FALSE,"MALİTABLOLAR";#N/A,#N/A,FALSE,"İskonto"}</definedName>
    <definedName name="BILANCO_2" hidden="1">{#N/A,#N/A,FALSE,"MALİTABLOLAR";#N/A,#N/A,FALSE,"PERS MSRMRZ";#N/A,#N/A,FALSE,"MALİTABLOLAR";#N/A,#N/A,FALSE,"İskonto"}</definedName>
    <definedName name="BİLANÇO_2" localSheetId="0" hidden="1">{#N/A,#N/A,FALSE,"MALİTABLOLAR"}</definedName>
    <definedName name="BİLANÇO_2" hidden="1">{#N/A,#N/A,FALSE,"MALİTABLOLAR"}</definedName>
    <definedName name="BILANCO_2_1" localSheetId="0" hidden="1">{#N/A,#N/A,FALSE,"MALİTABLOLAR";#N/A,#N/A,FALSE,"PERS MSRMRZ";#N/A,#N/A,FALSE,"MALİTABLOLAR";#N/A,#N/A,FALSE,"İskonto"}</definedName>
    <definedName name="BILANCO_2_1" hidden="1">{#N/A,#N/A,FALSE,"MALİTABLOLAR";#N/A,#N/A,FALSE,"PERS MSRMRZ";#N/A,#N/A,FALSE,"MALİTABLOLAR";#N/A,#N/A,FALSE,"İskonto"}</definedName>
    <definedName name="BİLANÇO_2_1" localSheetId="0" hidden="1">{#N/A,#N/A,FALSE,"MALİTABLOLAR"}</definedName>
    <definedName name="BİLANÇO_2_1" hidden="1">{#N/A,#N/A,FALSE,"MALİTABLOLAR"}</definedName>
    <definedName name="BILANCO_2_2" localSheetId="0" hidden="1">{#N/A,#N/A,FALSE,"MALİTABLOLAR";#N/A,#N/A,FALSE,"PERS MSRMRZ";#N/A,#N/A,FALSE,"MALİTABLOLAR";#N/A,#N/A,FALSE,"İskonto"}</definedName>
    <definedName name="BILANCO_2_2" hidden="1">{#N/A,#N/A,FALSE,"MALİTABLOLAR";#N/A,#N/A,FALSE,"PERS MSRMRZ";#N/A,#N/A,FALSE,"MALİTABLOLAR";#N/A,#N/A,FALSE,"İskonto"}</definedName>
    <definedName name="BİLANÇO_2_2" localSheetId="0" hidden="1">{#N/A,#N/A,FALSE,"MALİTABLOLAR"}</definedName>
    <definedName name="BİLANÇO_2_2" hidden="1">{#N/A,#N/A,FALSE,"MALİTABLOLAR"}</definedName>
    <definedName name="BILANCO_3" localSheetId="0" hidden="1">{#N/A,#N/A,FALSE,"MALİTABLOLAR";#N/A,#N/A,FALSE,"PERS MSRMRZ";#N/A,#N/A,FALSE,"MALİTABLOLAR";#N/A,#N/A,FALSE,"İskonto"}</definedName>
    <definedName name="BILANCO_3" hidden="1">{#N/A,#N/A,FALSE,"MALİTABLOLAR";#N/A,#N/A,FALSE,"PERS MSRMRZ";#N/A,#N/A,FALSE,"MALİTABLOLAR";#N/A,#N/A,FALSE,"İskonto"}</definedName>
    <definedName name="BİLANÇO_3" localSheetId="0" hidden="1">{#N/A,#N/A,FALSE,"MALİTABLOLAR"}</definedName>
    <definedName name="BİLANÇO_3" hidden="1">{#N/A,#N/A,FALSE,"MALİTABLOLAR"}</definedName>
    <definedName name="BILANCO_4" localSheetId="0" hidden="1">{#N/A,#N/A,FALSE,"MALİTABLOLAR";#N/A,#N/A,FALSE,"PERS MSRMRZ";#N/A,#N/A,FALSE,"MALİTABLOLAR";#N/A,#N/A,FALSE,"İskonto"}</definedName>
    <definedName name="BILANCO_4" hidden="1">{#N/A,#N/A,FALSE,"MALİTABLOLAR";#N/A,#N/A,FALSE,"PERS MSRMRZ";#N/A,#N/A,FALSE,"MALİTABLOLAR";#N/A,#N/A,FALSE,"İskonto"}</definedName>
    <definedName name="BİLANÇO_4" localSheetId="0" hidden="1">{#N/A,#N/A,FALSE,"MALİTABLOLAR"}</definedName>
    <definedName name="BİLANÇO_4" hidden="1">{#N/A,#N/A,FALSE,"MALİTABLOLAR"}</definedName>
    <definedName name="BİLECİK">#REF!</definedName>
    <definedName name="billingtype">[43]billingtype!$A$1:$A$65536</definedName>
    <definedName name="BIMAS">#REF!</definedName>
    <definedName name="bimaş">#REF!</definedName>
    <definedName name="BİMAS" localSheetId="0">[44]Kategoriler!$A$2:$B$45</definedName>
    <definedName name="BİMAS">[45]Kategoriler!$A$2:$B$45</definedName>
    <definedName name="BIMPAS">[46]HL!#REF!</definedName>
    <definedName name="BİMPAŞ">#REF!</definedName>
    <definedName name="BİNGÖL">#REF!</definedName>
    <definedName name="BİR">#REF!</definedName>
    <definedName name="bisküvi" localSheetId="0" hidden="1">{#N/A,#N/A,FALSE,"Sheet1 (2)"}</definedName>
    <definedName name="bisküvi" hidden="1">{#N/A,#N/A,FALSE,"Sheet1 (2)"}</definedName>
    <definedName name="bisküvi_1" localSheetId="0" hidden="1">{#N/A,#N/A,FALSE,"Sheet1 (2)"}</definedName>
    <definedName name="bisküvi_1" hidden="1">{#N/A,#N/A,FALSE,"Sheet1 (2)"}</definedName>
    <definedName name="BİTLİS">#REF!</definedName>
    <definedName name="BKL_4">#REF!</definedName>
    <definedName name="BLOB">#N/A</definedName>
    <definedName name="BLOOMBERG">#REF!</definedName>
    <definedName name="bnhk" localSheetId="0" hidden="1">{#N/A,#N/A,FALSE,"Sheet1 (2)"}</definedName>
    <definedName name="bnhk" hidden="1">{#N/A,#N/A,FALSE,"Sheet1 (2)"}</definedName>
    <definedName name="bnhk_1" localSheetId="0" hidden="1">{#N/A,#N/A,FALSE,"Sheet1 (2)"}</definedName>
    <definedName name="bnhk_1" hidden="1">{#N/A,#N/A,FALSE,"Sheet1 (2)"}</definedName>
    <definedName name="bnhk_1_1" localSheetId="0" hidden="1">{#N/A,#N/A,FALSE,"Sheet1 (2)"}</definedName>
    <definedName name="bnhk_1_1" hidden="1">{#N/A,#N/A,FALSE,"Sheet1 (2)"}</definedName>
    <definedName name="bnhk_1_2" localSheetId="0" hidden="1">{#N/A,#N/A,FALSE,"Sheet1 (2)"}</definedName>
    <definedName name="bnhk_1_2" hidden="1">{#N/A,#N/A,FALSE,"Sheet1 (2)"}</definedName>
    <definedName name="bnhk_1_3" localSheetId="0" hidden="1">{#N/A,#N/A,FALSE,"Sheet1 (2)"}</definedName>
    <definedName name="bnhk_1_3" hidden="1">{#N/A,#N/A,FALSE,"Sheet1 (2)"}</definedName>
    <definedName name="bnhk_2" localSheetId="0" hidden="1">{#N/A,#N/A,FALSE,"Sheet1 (2)"}</definedName>
    <definedName name="bnhk_2" hidden="1">{#N/A,#N/A,FALSE,"Sheet1 (2)"}</definedName>
    <definedName name="bnhk_2_1" localSheetId="0" hidden="1">{#N/A,#N/A,FALSE,"Sheet1 (2)"}</definedName>
    <definedName name="bnhk_2_1" hidden="1">{#N/A,#N/A,FALSE,"Sheet1 (2)"}</definedName>
    <definedName name="bnhk_2_2" localSheetId="0" hidden="1">{#N/A,#N/A,FALSE,"Sheet1 (2)"}</definedName>
    <definedName name="bnhk_2_2" hidden="1">{#N/A,#N/A,FALSE,"Sheet1 (2)"}</definedName>
    <definedName name="bnhk_3" localSheetId="0" hidden="1">{#N/A,#N/A,FALSE,"Sheet1 (2)"}</definedName>
    <definedName name="bnhk_3" hidden="1">{#N/A,#N/A,FALSE,"Sheet1 (2)"}</definedName>
    <definedName name="bnhk_4" localSheetId="0" hidden="1">{#N/A,#N/A,FALSE,"Sheet1 (2)"}</definedName>
    <definedName name="bnhk_4" hidden="1">{#N/A,#N/A,FALSE,"Sheet1 (2)"}</definedName>
    <definedName name="bnmh" localSheetId="0" hidden="1">{#N/A,#N/A,FALSE,"MALİTABLOLAR";#N/A,#N/A,FALSE,"PERS MSRMRZ";#N/A,#N/A,FALSE,"MALİTABLOLAR";#N/A,#N/A,FALSE,"İskonto"}</definedName>
    <definedName name="bnmh" hidden="1">{#N/A,#N/A,FALSE,"MALİTABLOLAR";#N/A,#N/A,FALSE,"PERS MSRMRZ";#N/A,#N/A,FALSE,"MALİTABLOLAR";#N/A,#N/A,FALSE,"İskonto"}</definedName>
    <definedName name="bnmh_1" localSheetId="0" hidden="1">{#N/A,#N/A,FALSE,"MALİTABLOLAR";#N/A,#N/A,FALSE,"PERS MSRMRZ";#N/A,#N/A,FALSE,"MALİTABLOLAR";#N/A,#N/A,FALSE,"İskonto"}</definedName>
    <definedName name="bnmh_1" hidden="1">{#N/A,#N/A,FALSE,"MALİTABLOLAR";#N/A,#N/A,FALSE,"PERS MSRMRZ";#N/A,#N/A,FALSE,"MALİTABLOLAR";#N/A,#N/A,FALSE,"İskonto"}</definedName>
    <definedName name="bnmh_1_1" localSheetId="0" hidden="1">{#N/A,#N/A,FALSE,"MALİTABLOLAR";#N/A,#N/A,FALSE,"PERS MSRMRZ";#N/A,#N/A,FALSE,"MALİTABLOLAR";#N/A,#N/A,FALSE,"İskonto"}</definedName>
    <definedName name="bnmh_1_1" hidden="1">{#N/A,#N/A,FALSE,"MALİTABLOLAR";#N/A,#N/A,FALSE,"PERS MSRMRZ";#N/A,#N/A,FALSE,"MALİTABLOLAR";#N/A,#N/A,FALSE,"İskonto"}</definedName>
    <definedName name="bnmh_1_2" localSheetId="0" hidden="1">{#N/A,#N/A,FALSE,"MALİTABLOLAR";#N/A,#N/A,FALSE,"PERS MSRMRZ";#N/A,#N/A,FALSE,"MALİTABLOLAR";#N/A,#N/A,FALSE,"İskonto"}</definedName>
    <definedName name="bnmh_1_2" hidden="1">{#N/A,#N/A,FALSE,"MALİTABLOLAR";#N/A,#N/A,FALSE,"PERS MSRMRZ";#N/A,#N/A,FALSE,"MALİTABLOLAR";#N/A,#N/A,FALSE,"İskonto"}</definedName>
    <definedName name="bnmh_1_3" localSheetId="0" hidden="1">{#N/A,#N/A,FALSE,"MALİTABLOLAR";#N/A,#N/A,FALSE,"PERS MSRMRZ";#N/A,#N/A,FALSE,"MALİTABLOLAR";#N/A,#N/A,FALSE,"İskonto"}</definedName>
    <definedName name="bnmh_1_3" hidden="1">{#N/A,#N/A,FALSE,"MALİTABLOLAR";#N/A,#N/A,FALSE,"PERS MSRMRZ";#N/A,#N/A,FALSE,"MALİTABLOLAR";#N/A,#N/A,FALSE,"İskonto"}</definedName>
    <definedName name="bnmh_2" localSheetId="0" hidden="1">{#N/A,#N/A,FALSE,"MALİTABLOLAR";#N/A,#N/A,FALSE,"PERS MSRMRZ";#N/A,#N/A,FALSE,"MALİTABLOLAR";#N/A,#N/A,FALSE,"İskonto"}</definedName>
    <definedName name="bnmh_2" hidden="1">{#N/A,#N/A,FALSE,"MALİTABLOLAR";#N/A,#N/A,FALSE,"PERS MSRMRZ";#N/A,#N/A,FALSE,"MALİTABLOLAR";#N/A,#N/A,FALSE,"İskonto"}</definedName>
    <definedName name="bnmh_2_1" localSheetId="0" hidden="1">{#N/A,#N/A,FALSE,"MALİTABLOLAR";#N/A,#N/A,FALSE,"PERS MSRMRZ";#N/A,#N/A,FALSE,"MALİTABLOLAR";#N/A,#N/A,FALSE,"İskonto"}</definedName>
    <definedName name="bnmh_2_1" hidden="1">{#N/A,#N/A,FALSE,"MALİTABLOLAR";#N/A,#N/A,FALSE,"PERS MSRMRZ";#N/A,#N/A,FALSE,"MALİTABLOLAR";#N/A,#N/A,FALSE,"İskonto"}</definedName>
    <definedName name="bnmh_2_2" localSheetId="0" hidden="1">{#N/A,#N/A,FALSE,"MALİTABLOLAR";#N/A,#N/A,FALSE,"PERS MSRMRZ";#N/A,#N/A,FALSE,"MALİTABLOLAR";#N/A,#N/A,FALSE,"İskonto"}</definedName>
    <definedName name="bnmh_2_2" hidden="1">{#N/A,#N/A,FALSE,"MALİTABLOLAR";#N/A,#N/A,FALSE,"PERS MSRMRZ";#N/A,#N/A,FALSE,"MALİTABLOLAR";#N/A,#N/A,FALSE,"İskonto"}</definedName>
    <definedName name="bnmh_3" localSheetId="0" hidden="1">{#N/A,#N/A,FALSE,"MALİTABLOLAR";#N/A,#N/A,FALSE,"PERS MSRMRZ";#N/A,#N/A,FALSE,"MALİTABLOLAR";#N/A,#N/A,FALSE,"İskonto"}</definedName>
    <definedName name="bnmh_3" hidden="1">{#N/A,#N/A,FALSE,"MALİTABLOLAR";#N/A,#N/A,FALSE,"PERS MSRMRZ";#N/A,#N/A,FALSE,"MALİTABLOLAR";#N/A,#N/A,FALSE,"İskonto"}</definedName>
    <definedName name="bnmh_4" localSheetId="0" hidden="1">{#N/A,#N/A,FALSE,"MALİTABLOLAR";#N/A,#N/A,FALSE,"PERS MSRMRZ";#N/A,#N/A,FALSE,"MALİTABLOLAR";#N/A,#N/A,FALSE,"İskonto"}</definedName>
    <definedName name="bnmh_4" hidden="1">{#N/A,#N/A,FALSE,"MALİTABLOLAR";#N/A,#N/A,FALSE,"PERS MSRMRZ";#N/A,#N/A,FALSE,"MALİTABLOLAR";#N/A,#N/A,FALSE,"İskonto"}</definedName>
    <definedName name="BOLU">#REF!</definedName>
    <definedName name="BONDDİJİTAL">#REF!</definedName>
    <definedName name="BOXER">#REF!</definedName>
    <definedName name="Branch_Code">#REF!</definedName>
    <definedName name="BrandNames">#REF!</definedName>
    <definedName name="BrandNames_2">#REF!</definedName>
    <definedName name="BrandNames_3">#REF!</definedName>
    <definedName name="BrandNames_4">#REF!</definedName>
    <definedName name="BrandNames_5">#REF!</definedName>
    <definedName name="BrandNames_6">#REF!</definedName>
    <definedName name="BrandNames_7">#REF!</definedName>
    <definedName name="BRT" localSheetId="0">[47]Kategoriler!#REF!</definedName>
    <definedName name="BRT">[48]Kategoriler!#REF!</definedName>
    <definedName name="brucu" localSheetId="0" hidden="1">{#N/A,#N/A,FALSE,"Sheet1 (2)"}</definedName>
    <definedName name="brucu" hidden="1">{#N/A,#N/A,FALSE,"Sheet1 (2)"}</definedName>
    <definedName name="brucu_1" localSheetId="0" hidden="1">{#N/A,#N/A,FALSE,"Sheet1 (2)"}</definedName>
    <definedName name="brucu_1" hidden="1">{#N/A,#N/A,FALSE,"Sheet1 (2)"}</definedName>
    <definedName name="Brut_Tutar">#REF!</definedName>
    <definedName name="Brutto">#REF!</definedName>
    <definedName name="bsderty" localSheetId="0">'Haziran Gerçekleşen Plan'!bsderty</definedName>
    <definedName name="bsderty">[0]!bsderty</definedName>
    <definedName name="bt" localSheetId="0">'Haziran Gerçekleşen Plan'!bt</definedName>
    <definedName name="bt">[0]!bt</definedName>
    <definedName name="BTHABER">#REF!</definedName>
    <definedName name="btrm" localSheetId="0" hidden="1">{#N/A,#N/A,FALSE,"Sheet1 (2)"}</definedName>
    <definedName name="btrm" hidden="1">{#N/A,#N/A,FALSE,"Sheet1 (2)"}</definedName>
    <definedName name="btrm_1" localSheetId="0" hidden="1">{#N/A,#N/A,FALSE,"Sheet1 (2)"}</definedName>
    <definedName name="btrm_1" hidden="1">{#N/A,#N/A,FALSE,"Sheet1 (2)"}</definedName>
    <definedName name="btrm_1_1" localSheetId="0" hidden="1">{#N/A,#N/A,FALSE,"Sheet1 (2)"}</definedName>
    <definedName name="btrm_1_1" hidden="1">{#N/A,#N/A,FALSE,"Sheet1 (2)"}</definedName>
    <definedName name="btrm_1_2" localSheetId="0" hidden="1">{#N/A,#N/A,FALSE,"Sheet1 (2)"}</definedName>
    <definedName name="btrm_1_2" hidden="1">{#N/A,#N/A,FALSE,"Sheet1 (2)"}</definedName>
    <definedName name="btrm_1_3" localSheetId="0" hidden="1">{#N/A,#N/A,FALSE,"Sheet1 (2)"}</definedName>
    <definedName name="btrm_1_3" hidden="1">{#N/A,#N/A,FALSE,"Sheet1 (2)"}</definedName>
    <definedName name="btrm_2" localSheetId="0" hidden="1">{#N/A,#N/A,FALSE,"Sheet1 (2)"}</definedName>
    <definedName name="btrm_2" hidden="1">{#N/A,#N/A,FALSE,"Sheet1 (2)"}</definedName>
    <definedName name="btrm_2_1" localSheetId="0" hidden="1">{#N/A,#N/A,FALSE,"Sheet1 (2)"}</definedName>
    <definedName name="btrm_2_1" hidden="1">{#N/A,#N/A,FALSE,"Sheet1 (2)"}</definedName>
    <definedName name="btrm_2_2" localSheetId="0" hidden="1">{#N/A,#N/A,FALSE,"Sheet1 (2)"}</definedName>
    <definedName name="btrm_2_2" hidden="1">{#N/A,#N/A,FALSE,"Sheet1 (2)"}</definedName>
    <definedName name="btrm_3" localSheetId="0" hidden="1">{#N/A,#N/A,FALSE,"Sheet1 (2)"}</definedName>
    <definedName name="btrm_3" hidden="1">{#N/A,#N/A,FALSE,"Sheet1 (2)"}</definedName>
    <definedName name="btrm_4" localSheetId="0" hidden="1">{#N/A,#N/A,FALSE,"Sheet1 (2)"}</definedName>
    <definedName name="btrm_4" hidden="1">{#N/A,#N/A,FALSE,"Sheet1 (2)"}</definedName>
    <definedName name="bu" localSheetId="0" hidden="1">{#N/A,#N/A,FALSE,"Sheet1 (2)"}</definedName>
    <definedName name="bu" hidden="1">{#N/A,#N/A,FALSE,"Sheet1 (2)"}</definedName>
    <definedName name="bu_1" localSheetId="0" hidden="1">{#N/A,#N/A,FALSE,"Sheet1 (2)"}</definedName>
    <definedName name="bu_1" hidden="1">{#N/A,#N/A,FALSE,"Sheet1 (2)"}</definedName>
    <definedName name="BUD">#REF!</definedName>
    <definedName name="budcapex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udcape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UNDLEHABER">#REF!</definedName>
    <definedName name="BUON">#N/A</definedName>
    <definedName name="burcu" localSheetId="0" hidden="1">{#N/A,#N/A,FALSE,"Sheet1 (2)"}</definedName>
    <definedName name="burcu" hidden="1">{#N/A,#N/A,FALSE,"Sheet1 (2)"}</definedName>
    <definedName name="burcu_1" localSheetId="0" hidden="1">{#N/A,#N/A,FALSE,"Sheet1 (2)"}</definedName>
    <definedName name="burcu_1" hidden="1">{#N/A,#N/A,FALSE,"Sheet1 (2)"}</definedName>
    <definedName name="BURCUCCCCCC" localSheetId="0" hidden="1">{#N/A,#N/A,FALSE,"Sheet1 (2)"}</definedName>
    <definedName name="BURCUCCCCCC" hidden="1">{#N/A,#N/A,FALSE,"Sheet1 (2)"}</definedName>
    <definedName name="BURCUCCCCCC_1" localSheetId="0" hidden="1">{#N/A,#N/A,FALSE,"Sheet1 (2)"}</definedName>
    <definedName name="BURCUCCCCCC_1" hidden="1">{#N/A,#N/A,FALSE,"Sheet1 (2)"}</definedName>
    <definedName name="BURCUCCCCCC_1_1" localSheetId="0" hidden="1">{#N/A,#N/A,FALSE,"Sheet1 (2)"}</definedName>
    <definedName name="BURCUCCCCCC_1_1" hidden="1">{#N/A,#N/A,FALSE,"Sheet1 (2)"}</definedName>
    <definedName name="BURCUCCCCCC_1_2" localSheetId="0" hidden="1">{#N/A,#N/A,FALSE,"Sheet1 (2)"}</definedName>
    <definedName name="BURCUCCCCCC_1_2" hidden="1">{#N/A,#N/A,FALSE,"Sheet1 (2)"}</definedName>
    <definedName name="BURCUCCCCCC_1_3" localSheetId="0" hidden="1">{#N/A,#N/A,FALSE,"Sheet1 (2)"}</definedName>
    <definedName name="BURCUCCCCCC_1_3" hidden="1">{#N/A,#N/A,FALSE,"Sheet1 (2)"}</definedName>
    <definedName name="BURCUCCCCCC_2" localSheetId="0" hidden="1">{#N/A,#N/A,FALSE,"Sheet1 (2)"}</definedName>
    <definedName name="BURCUCCCCCC_2" hidden="1">{#N/A,#N/A,FALSE,"Sheet1 (2)"}</definedName>
    <definedName name="BURCUCCCCCC_2_1" localSheetId="0" hidden="1">{#N/A,#N/A,FALSE,"Sheet1 (2)"}</definedName>
    <definedName name="BURCUCCCCCC_2_1" hidden="1">{#N/A,#N/A,FALSE,"Sheet1 (2)"}</definedName>
    <definedName name="BURCUCCCCCC_2_2" localSheetId="0" hidden="1">{#N/A,#N/A,FALSE,"Sheet1 (2)"}</definedName>
    <definedName name="BURCUCCCCCC_2_2" hidden="1">{#N/A,#N/A,FALSE,"Sheet1 (2)"}</definedName>
    <definedName name="BURCUCCCCCC_3" localSheetId="0" hidden="1">{#N/A,#N/A,FALSE,"Sheet1 (2)"}</definedName>
    <definedName name="BURCUCCCCCC_3" hidden="1">{#N/A,#N/A,FALSE,"Sheet1 (2)"}</definedName>
    <definedName name="BURCUCCCCCC_4" localSheetId="0" hidden="1">{#N/A,#N/A,FALSE,"Sheet1 (2)"}</definedName>
    <definedName name="BURCUCCCCCC_4" hidden="1">{#N/A,#N/A,FALSE,"Sheet1 (2)"}</definedName>
    <definedName name="BURDUR">#REF!</definedName>
    <definedName name="BURSA">#REF!</definedName>
    <definedName name="BURSTS">#REF!</definedName>
    <definedName name="Bussiness_Finance">#REF!</definedName>
    <definedName name="BUT">[9]!BUT</definedName>
    <definedName name="butce" localSheetId="0">'Haziran Gerçekleşen Plan'!butce</definedName>
    <definedName name="butce">[0]!butce</definedName>
    <definedName name="Bütçe">#REF!</definedName>
    <definedName name="Butce1" localSheetId="0">'Haziran Gerçekleşen Plan'!Butce1</definedName>
    <definedName name="Butce1">[0]!Butce1</definedName>
    <definedName name="Button_1">"BUCURESTI_BUCURESTI_ATIPICE_List"</definedName>
    <definedName name="Buy_Type">[49]DataFields!$E$4:$E$9</definedName>
    <definedName name="BUYINGMETHOD">'[50]Buying Method'!$A$1:$A$65536</definedName>
    <definedName name="BuyingModels">#REF!</definedName>
    <definedName name="BUYUME" localSheetId="0" hidden="1">{#N/A,#N/A,FALSE,"MALİTABLOLAR"}</definedName>
    <definedName name="BUYUME" hidden="1">{#N/A,#N/A,FALSE,"MALİTABLOLAR"}</definedName>
    <definedName name="BUYUME_1" localSheetId="0" hidden="1">{#N/A,#N/A,FALSE,"MALİTABLOLAR"}</definedName>
    <definedName name="BUYUME_1" hidden="1">{#N/A,#N/A,FALSE,"MALİTABLOLAR"}</definedName>
    <definedName name="BUYUME_1_1" localSheetId="0" hidden="1">{#N/A,#N/A,FALSE,"MALİTABLOLAR"}</definedName>
    <definedName name="BUYUME_1_1" hidden="1">{#N/A,#N/A,FALSE,"MALİTABLOLAR"}</definedName>
    <definedName name="BUYUME_1_2" localSheetId="0" hidden="1">{#N/A,#N/A,FALSE,"MALİTABLOLAR"}</definedName>
    <definedName name="BUYUME_1_2" hidden="1">{#N/A,#N/A,FALSE,"MALİTABLOLAR"}</definedName>
    <definedName name="BUYUME_1_3" localSheetId="0" hidden="1">{#N/A,#N/A,FALSE,"MALİTABLOLAR"}</definedName>
    <definedName name="BUYUME_1_3" hidden="1">{#N/A,#N/A,FALSE,"MALİTABLOLAR"}</definedName>
    <definedName name="BUYUME_2" localSheetId="0" hidden="1">{#N/A,#N/A,FALSE,"MALİTABLOLAR"}</definedName>
    <definedName name="BUYUME_2" hidden="1">{#N/A,#N/A,FALSE,"MALİTABLOLAR"}</definedName>
    <definedName name="BUYUME_2_1" localSheetId="0" hidden="1">{#N/A,#N/A,FALSE,"MALİTABLOLAR"}</definedName>
    <definedName name="BUYUME_2_1" hidden="1">{#N/A,#N/A,FALSE,"MALİTABLOLAR"}</definedName>
    <definedName name="BUYUME_2_2" localSheetId="0" hidden="1">{#N/A,#N/A,FALSE,"MALİTABLOLAR"}</definedName>
    <definedName name="BUYUME_2_2" hidden="1">{#N/A,#N/A,FALSE,"MALİTABLOLAR"}</definedName>
    <definedName name="BUYUME_3" localSheetId="0" hidden="1">{#N/A,#N/A,FALSE,"MALİTABLOLAR"}</definedName>
    <definedName name="BUYUME_3" hidden="1">{#N/A,#N/A,FALSE,"MALİTABLOLAR"}</definedName>
    <definedName name="BUYUME_4" localSheetId="0" hidden="1">{#N/A,#N/A,FALSE,"MALİTABLOLAR"}</definedName>
    <definedName name="BUYUME_4" hidden="1">{#N/A,#N/A,FALSE,"MALİTABLOLAR"}</definedName>
    <definedName name="bvnnh" localSheetId="0" hidden="1">{"'Jan - March 2000'!$A$5:$J$46"}</definedName>
    <definedName name="bvnnh" hidden="1">{"'Jan - March 2000'!$A$5:$J$46"}</definedName>
    <definedName name="bybrand">#REF!</definedName>
    <definedName name="byr" localSheetId="0" hidden="1">{#N/A,#N/A,FALSE,"Sheet1 (2)"}</definedName>
    <definedName name="byr" hidden="1">{#N/A,#N/A,FALSE,"Sheet1 (2)"}</definedName>
    <definedName name="byr_1" localSheetId="0" hidden="1">{#N/A,#N/A,FALSE,"Sheet1 (2)"}</definedName>
    <definedName name="byr_1" hidden="1">{#N/A,#N/A,FALSE,"Sheet1 (2)"}</definedName>
    <definedName name="ç" localSheetId="0" hidden="1">{#N/A,#N/A,FALSE,"Sheet1 (2)"}</definedName>
    <definedName name="ç" hidden="1">{#N/A,#N/A,FALSE,"Sheet1 (2)"}</definedName>
    <definedName name="C_25">25000</definedName>
    <definedName name="C_M">[31]Data!$X$2:$X$3</definedName>
    <definedName name="C.149">149999</definedName>
    <definedName name="C.150">150000</definedName>
    <definedName name="C.25">25001</definedName>
    <definedName name="C.499">499999</definedName>
    <definedName name="C.500">500000</definedName>
    <definedName name="C.75">75000</definedName>
    <definedName name="ca">#REF!</definedName>
    <definedName name="caa">#REF!</definedName>
    <definedName name="Caaaa" localSheetId="0" hidden="1">{#N/A,#N/A,FALSE,"Sheet1 (2)"}</definedName>
    <definedName name="Caaaa" hidden="1">{#N/A,#N/A,FALSE,"Sheet1 (2)"}</definedName>
    <definedName name="CalcAdservingFee">#REF!</definedName>
    <definedName name="CalcAdservingFeeCPM">#REF!</definedName>
    <definedName name="CalcAdservingFeeOther">#REF!</definedName>
    <definedName name="CalcEndDate">#REF!</definedName>
    <definedName name="CalcGrossAverageCostBasis">#REF!</definedName>
    <definedName name="CalcGrossAverageCostBasisCPM">#REF!</definedName>
    <definedName name="CalcGrossAverageCostBasisOther">#REF!</definedName>
    <definedName name="CalcGrossCostBasis">#REF!</definedName>
    <definedName name="CalcGrossMediaSpend">#REF!</definedName>
    <definedName name="CalcGrossMediaSpendCPM">#REF!</definedName>
    <definedName name="CalcGrossMediaSpendOther">#REF!</definedName>
    <definedName name="CalcGrossSpend">#REF!</definedName>
    <definedName name="CalcGrossSpendCPM">#REF!</definedName>
    <definedName name="CalcGrossSpendOther">#REF!</definedName>
    <definedName name="CalcIsValueAdd">#REF!</definedName>
    <definedName name="CalcIsValueAddCPM">#REF!</definedName>
    <definedName name="CalcIsValueAddOther">#REF!</definedName>
    <definedName name="CalcNetAverageCostBasis">#REF!</definedName>
    <definedName name="CalcNetAverageCostBasisCPM">#REF!</definedName>
    <definedName name="CalcNetAverageCostBasisOther">#REF!</definedName>
    <definedName name="CalcNetMediaSpend">#REF!</definedName>
    <definedName name="CalcNetMediaSpendCPM">#REF!</definedName>
    <definedName name="CalcNetMediaSpendOther">#REF!</definedName>
    <definedName name="CalcStartDate">#REF!</definedName>
    <definedName name="CalcTotalEstImpressions">#REF!</definedName>
    <definedName name="CalcTotalEstImpressionsCPM">#REF!</definedName>
    <definedName name="CalcTotalEstImpressionsOther">#REF!</definedName>
    <definedName name="CalcTotalQuantity">#REF!</definedName>
    <definedName name="CalcTotalQuantityCPM">#REF!</definedName>
    <definedName name="CalcTotalQuantityOther">#REF!</definedName>
    <definedName name="calculate" localSheetId="0">'Haziran Gerçekleşen Plan'!calculate</definedName>
    <definedName name="calculate">[0]!calculate</definedName>
    <definedName name="calculate1" localSheetId="0">'Haziran Gerçekleşen Plan'!calculate1</definedName>
    <definedName name="calculate1">[0]!calculate1</definedName>
    <definedName name="CAMBIO">#REF!</definedName>
    <definedName name="Campaign">#REF!</definedName>
    <definedName name="campaign_end_date">[51]Meta!#REF!</definedName>
    <definedName name="campaign_start_date">[51]Meta!#REF!</definedName>
    <definedName name="CampaignID">[21]Hidden_Data!$AA$23</definedName>
    <definedName name="campet" localSheetId="0" hidden="1">{#N/A,#N/A,FALSE,"Sheet1 (2)"}</definedName>
    <definedName name="campet" hidden="1">{#N/A,#N/A,FALSE,"Sheet1 (2)"}</definedName>
    <definedName name="CAN">#REF!</definedName>
    <definedName name="ÇANAKKALE">#REF!</definedName>
    <definedName name="canale5">#REF!,#REF!,#REF!,#REF!,#REF!,#REF!,#REF!,#REF!,#REF!,#REF!</definedName>
    <definedName name="canetnet">#REF!</definedName>
    <definedName name="ÇANKIRI">#REF!</definedName>
    <definedName name="CAPEX98" hidden="1">[52]FINALPHP!$G$27</definedName>
    <definedName name="Caribbean">#REF!</definedName>
    <definedName name="CARRA">#N/A</definedName>
    <definedName name="CARTOON">#N/A</definedName>
    <definedName name="CategoriesforSite">#N/A</definedName>
    <definedName name="ÇAYKEYFİ" localSheetId="0" hidden="1">{#N/A,#N/A,FALSE,"Sheet1 (2)"}</definedName>
    <definedName name="ÇAYKEYFİ" hidden="1">{#N/A,#N/A,FALSE,"Sheet1 (2)"}</definedName>
    <definedName name="ÇAYKEYFİ_1" localSheetId="0" hidden="1">{#N/A,#N/A,FALSE,"Sheet1 (2)"}</definedName>
    <definedName name="ÇAYKEYFİ_1" hidden="1">{#N/A,#N/A,FALSE,"Sheet1 (2)"}</definedName>
    <definedName name="cbcb" localSheetId="0" hidden="1">{"'Jan - March 2000'!$A$5:$J$46"}</definedName>
    <definedName name="cbcb" hidden="1">{"'Jan - March 2000'!$A$5:$J$46"}</definedName>
    <definedName name="cbhgj" localSheetId="0" hidden="1">{#N/A,#N/A,FALSE,"Sheet1 (2)"}</definedName>
    <definedName name="cbhgj" hidden="1">{#N/A,#N/A,FALSE,"Sheet1 (2)"}</definedName>
    <definedName name="cbhgj_1" localSheetId="0" hidden="1">{#N/A,#N/A,FALSE,"Sheet1 (2)"}</definedName>
    <definedName name="cbhgj_1" hidden="1">{#N/A,#N/A,FALSE,"Sheet1 (2)"}</definedName>
    <definedName name="cbhgj_1_1" localSheetId="0" hidden="1">{#N/A,#N/A,FALSE,"Sheet1 (2)"}</definedName>
    <definedName name="cbhgj_1_1" hidden="1">{#N/A,#N/A,FALSE,"Sheet1 (2)"}</definedName>
    <definedName name="cbhgj_1_2" localSheetId="0" hidden="1">{#N/A,#N/A,FALSE,"Sheet1 (2)"}</definedName>
    <definedName name="cbhgj_1_2" hidden="1">{#N/A,#N/A,FALSE,"Sheet1 (2)"}</definedName>
    <definedName name="cbhgj_1_3" localSheetId="0" hidden="1">{#N/A,#N/A,FALSE,"Sheet1 (2)"}</definedName>
    <definedName name="cbhgj_1_3" hidden="1">{#N/A,#N/A,FALSE,"Sheet1 (2)"}</definedName>
    <definedName name="cbhgj_2" localSheetId="0" hidden="1">{#N/A,#N/A,FALSE,"Sheet1 (2)"}</definedName>
    <definedName name="cbhgj_2" hidden="1">{#N/A,#N/A,FALSE,"Sheet1 (2)"}</definedName>
    <definedName name="cbhgj_2_1" localSheetId="0" hidden="1">{#N/A,#N/A,FALSE,"Sheet1 (2)"}</definedName>
    <definedName name="cbhgj_2_1" hidden="1">{#N/A,#N/A,FALSE,"Sheet1 (2)"}</definedName>
    <definedName name="cbhgj_2_2" localSheetId="0" hidden="1">{#N/A,#N/A,FALSE,"Sheet1 (2)"}</definedName>
    <definedName name="cbhgj_2_2" hidden="1">{#N/A,#N/A,FALSE,"Sheet1 (2)"}</definedName>
    <definedName name="cbhgj_3" localSheetId="0" hidden="1">{#N/A,#N/A,FALSE,"Sheet1 (2)"}</definedName>
    <definedName name="cbhgj_3" hidden="1">{#N/A,#N/A,FALSE,"Sheet1 (2)"}</definedName>
    <definedName name="cbhgj_4" localSheetId="0" hidden="1">{#N/A,#N/A,FALSE,"Sheet1 (2)"}</definedName>
    <definedName name="cbhgj_4" hidden="1">{#N/A,#N/A,FALSE,"Sheet1 (2)"}</definedName>
    <definedName name="cbshd">#REF!</definedName>
    <definedName name="cbv" localSheetId="0" hidden="1">{"'Jan - March 2000'!$A$5:$J$46"}</definedName>
    <definedName name="cbv" hidden="1">{"'Jan - March 2000'!$A$5:$J$46"}</definedName>
    <definedName name="cc">[53]Ekim!#REF!</definedName>
    <definedName name="çç" localSheetId="0" hidden="1">{#N/A,#N/A,FALSE,"Sheet1 (2)"}</definedName>
    <definedName name="çç" hidden="1">{#N/A,#N/A,FALSE,"Sheet1 (2)"}</definedName>
    <definedName name="çç_1" localSheetId="0" hidden="1">{#N/A,#N/A,FALSE,"Sheet1 (2)"}</definedName>
    <definedName name="çç_1" hidden="1">{#N/A,#N/A,FALSE,"Sheet1 (2)"}</definedName>
    <definedName name="çç_1_1" localSheetId="0" hidden="1">{#N/A,#N/A,FALSE,"Sheet1 (2)"}</definedName>
    <definedName name="çç_1_1" hidden="1">{#N/A,#N/A,FALSE,"Sheet1 (2)"}</definedName>
    <definedName name="çç_1_2" localSheetId="0" hidden="1">{#N/A,#N/A,FALSE,"Sheet1 (2)"}</definedName>
    <definedName name="çç_1_2" hidden="1">{#N/A,#N/A,FALSE,"Sheet1 (2)"}</definedName>
    <definedName name="çç_1_3" localSheetId="0" hidden="1">{#N/A,#N/A,FALSE,"Sheet1 (2)"}</definedName>
    <definedName name="çç_1_3" hidden="1">{#N/A,#N/A,FALSE,"Sheet1 (2)"}</definedName>
    <definedName name="çç_2" localSheetId="0" hidden="1">{#N/A,#N/A,FALSE,"Sheet1 (2)"}</definedName>
    <definedName name="çç_2" hidden="1">{#N/A,#N/A,FALSE,"Sheet1 (2)"}</definedName>
    <definedName name="çç_2_1" localSheetId="0" hidden="1">{#N/A,#N/A,FALSE,"Sheet1 (2)"}</definedName>
    <definedName name="çç_2_1" hidden="1">{#N/A,#N/A,FALSE,"Sheet1 (2)"}</definedName>
    <definedName name="çç_2_2" localSheetId="0" hidden="1">{#N/A,#N/A,FALSE,"Sheet1 (2)"}</definedName>
    <definedName name="çç_2_2" hidden="1">{#N/A,#N/A,FALSE,"Sheet1 (2)"}</definedName>
    <definedName name="çç_3" localSheetId="0" hidden="1">{#N/A,#N/A,FALSE,"Sheet1 (2)"}</definedName>
    <definedName name="çç_3" hidden="1">{#N/A,#N/A,FALSE,"Sheet1 (2)"}</definedName>
    <definedName name="çç_4" localSheetId="0" hidden="1">{#N/A,#N/A,FALSE,"Sheet1 (2)"}</definedName>
    <definedName name="çç_4" hidden="1">{#N/A,#N/A,FALSE,"Sheet1 (2)"}</definedName>
    <definedName name="ccc" localSheetId="0" hidden="1">{#N/A,#N/A,FALSE,"Sheet1 (2)"}</definedName>
    <definedName name="ccc" hidden="1">{#N/A,#N/A,FALSE,"Sheet1 (2)"}</definedName>
    <definedName name="ccc_1" localSheetId="0" hidden="1">{#N/A,#N/A,FALSE,"Sheet1 (2)"}</definedName>
    <definedName name="ccc_1" hidden="1">{#N/A,#N/A,FALSE,"Sheet1 (2)"}</definedName>
    <definedName name="ccc_1_1" localSheetId="0" hidden="1">{#N/A,#N/A,FALSE,"Sheet1 (2)"}</definedName>
    <definedName name="ccc_1_1" hidden="1">{#N/A,#N/A,FALSE,"Sheet1 (2)"}</definedName>
    <definedName name="ccc_1_2" localSheetId="0" hidden="1">{#N/A,#N/A,FALSE,"Sheet1 (2)"}</definedName>
    <definedName name="ccc_1_2" hidden="1">{#N/A,#N/A,FALSE,"Sheet1 (2)"}</definedName>
    <definedName name="ccc_1_3" localSheetId="0" hidden="1">{#N/A,#N/A,FALSE,"Sheet1 (2)"}</definedName>
    <definedName name="ccc_1_3" hidden="1">{#N/A,#N/A,FALSE,"Sheet1 (2)"}</definedName>
    <definedName name="ccc_2" localSheetId="0" hidden="1">{#N/A,#N/A,FALSE,"Sheet1 (2)"}</definedName>
    <definedName name="ccc_2" hidden="1">{#N/A,#N/A,FALSE,"Sheet1 (2)"}</definedName>
    <definedName name="ccc_2_1" localSheetId="0" hidden="1">{#N/A,#N/A,FALSE,"Sheet1 (2)"}</definedName>
    <definedName name="ccc_2_1" hidden="1">{#N/A,#N/A,FALSE,"Sheet1 (2)"}</definedName>
    <definedName name="ccc_2_2" localSheetId="0" hidden="1">{#N/A,#N/A,FALSE,"Sheet1 (2)"}</definedName>
    <definedName name="ccc_2_2" hidden="1">{#N/A,#N/A,FALSE,"Sheet1 (2)"}</definedName>
    <definedName name="ccc_3" localSheetId="0" hidden="1">{#N/A,#N/A,FALSE,"Sheet1 (2)"}</definedName>
    <definedName name="ccc_3" hidden="1">{#N/A,#N/A,FALSE,"Sheet1 (2)"}</definedName>
    <definedName name="ccc_4" localSheetId="0" hidden="1">{#N/A,#N/A,FALSE,"Sheet1 (2)"}</definedName>
    <definedName name="ccc_4" hidden="1">{#N/A,#N/A,FALSE,"Sheet1 (2)"}</definedName>
    <definedName name="cccc" localSheetId="0" hidden="1">{#N/A,#N/A,FALSE,"Sheet1 (2)"}</definedName>
    <definedName name="cccc" hidden="1">{#N/A,#N/A,FALSE,"Sheet1 (2)"}</definedName>
    <definedName name="cccc_1" localSheetId="0" hidden="1">{#N/A,#N/A,FALSE,"Sheet1 (2)"}</definedName>
    <definedName name="cccc_1" hidden="1">{#N/A,#N/A,FALSE,"Sheet1 (2)"}</definedName>
    <definedName name="cccc_1_1" localSheetId="0" hidden="1">{#N/A,#N/A,FALSE,"Sheet1 (2)"}</definedName>
    <definedName name="cccc_1_1" hidden="1">{#N/A,#N/A,FALSE,"Sheet1 (2)"}</definedName>
    <definedName name="cccc_1_2" localSheetId="0" hidden="1">{#N/A,#N/A,FALSE,"Sheet1 (2)"}</definedName>
    <definedName name="cccc_1_2" hidden="1">{#N/A,#N/A,FALSE,"Sheet1 (2)"}</definedName>
    <definedName name="cccc_1_3" localSheetId="0" hidden="1">{#N/A,#N/A,FALSE,"Sheet1 (2)"}</definedName>
    <definedName name="cccc_1_3" hidden="1">{#N/A,#N/A,FALSE,"Sheet1 (2)"}</definedName>
    <definedName name="cccc_2" localSheetId="0" hidden="1">{#N/A,#N/A,FALSE,"Sheet1 (2)"}</definedName>
    <definedName name="cccc_2" hidden="1">{#N/A,#N/A,FALSE,"Sheet1 (2)"}</definedName>
    <definedName name="cccc_2_1" localSheetId="0" hidden="1">{#N/A,#N/A,FALSE,"Sheet1 (2)"}</definedName>
    <definedName name="cccc_2_1" hidden="1">{#N/A,#N/A,FALSE,"Sheet1 (2)"}</definedName>
    <definedName name="cccc_2_2" localSheetId="0" hidden="1">{#N/A,#N/A,FALSE,"Sheet1 (2)"}</definedName>
    <definedName name="cccc_2_2" hidden="1">{#N/A,#N/A,FALSE,"Sheet1 (2)"}</definedName>
    <definedName name="cccc_3" localSheetId="0" hidden="1">{#N/A,#N/A,FALSE,"Sheet1 (2)"}</definedName>
    <definedName name="cccc_3" hidden="1">{#N/A,#N/A,FALSE,"Sheet1 (2)"}</definedName>
    <definedName name="cccc_4" localSheetId="0" hidden="1">{#N/A,#N/A,FALSE,"Sheet1 (2)"}</definedName>
    <definedName name="cccc_4" hidden="1">{#N/A,#N/A,FALSE,"Sheet1 (2)"}</definedName>
    <definedName name="ccccc">#REF!</definedName>
    <definedName name="CCCCCCC" localSheetId="0">{"VOLUME","SUM(VOLUME)","YNNNN",FALSE}</definedName>
    <definedName name="CCCCCCC">{"VOLUME","SUM(VOLUME)","YNNNN",FALSE}</definedName>
    <definedName name="cccccccc" localSheetId="0" hidden="1">{#N/A,#N/A,FALSE,"Sheet1 (2)"}</definedName>
    <definedName name="cccccccc" hidden="1">{#N/A,#N/A,FALSE,"Sheet1 (2)"}</definedName>
    <definedName name="cccccccc_1" localSheetId="0" hidden="1">{#N/A,#N/A,FALSE,"Sheet1 (2)"}</definedName>
    <definedName name="cccccccc_1" hidden="1">{#N/A,#N/A,FALSE,"Sheet1 (2)"}</definedName>
    <definedName name="cccccccc_1_1" localSheetId="0" hidden="1">{#N/A,#N/A,FALSE,"Sheet1 (2)"}</definedName>
    <definedName name="cccccccc_1_1" hidden="1">{#N/A,#N/A,FALSE,"Sheet1 (2)"}</definedName>
    <definedName name="cccccccc_1_2" localSheetId="0" hidden="1">{#N/A,#N/A,FALSE,"Sheet1 (2)"}</definedName>
    <definedName name="cccccccc_1_2" hidden="1">{#N/A,#N/A,FALSE,"Sheet1 (2)"}</definedName>
    <definedName name="cccccccc_1_3" localSheetId="0" hidden="1">{#N/A,#N/A,FALSE,"Sheet1 (2)"}</definedName>
    <definedName name="cccccccc_1_3" hidden="1">{#N/A,#N/A,FALSE,"Sheet1 (2)"}</definedName>
    <definedName name="cccccccc_2" localSheetId="0" hidden="1">{#N/A,#N/A,FALSE,"Sheet1 (2)"}</definedName>
    <definedName name="cccccccc_2" hidden="1">{#N/A,#N/A,FALSE,"Sheet1 (2)"}</definedName>
    <definedName name="cccccccc_2_1" localSheetId="0" hidden="1">{#N/A,#N/A,FALSE,"Sheet1 (2)"}</definedName>
    <definedName name="cccccccc_2_1" hidden="1">{#N/A,#N/A,FALSE,"Sheet1 (2)"}</definedName>
    <definedName name="cccccccc_2_2" localSheetId="0" hidden="1">{#N/A,#N/A,FALSE,"Sheet1 (2)"}</definedName>
    <definedName name="cccccccc_2_2" hidden="1">{#N/A,#N/A,FALSE,"Sheet1 (2)"}</definedName>
    <definedName name="cccccccc_3" localSheetId="0" hidden="1">{#N/A,#N/A,FALSE,"Sheet1 (2)"}</definedName>
    <definedName name="cccccccc_3" hidden="1">{#N/A,#N/A,FALSE,"Sheet1 (2)"}</definedName>
    <definedName name="cccccccc_4" localSheetId="0" hidden="1">{#N/A,#N/A,FALSE,"Sheet1 (2)"}</definedName>
    <definedName name="cccccccc_4" hidden="1">{#N/A,#N/A,FALSE,"Sheet1 (2)"}</definedName>
    <definedName name="ccccccccc" localSheetId="0" hidden="1">{#N/A,#N/A,FALSE,"Sheet1 (2)"}</definedName>
    <definedName name="ccccccccc" hidden="1">{#N/A,#N/A,FALSE,"Sheet1 (2)"}</definedName>
    <definedName name="ccccccccc_1" localSheetId="0" hidden="1">{#N/A,#N/A,FALSE,"Sheet1 (2)"}</definedName>
    <definedName name="ccccccccc_1" hidden="1">{#N/A,#N/A,FALSE,"Sheet1 (2)"}</definedName>
    <definedName name="ccccccccc_1_1" localSheetId="0" hidden="1">{#N/A,#N/A,FALSE,"Sheet1 (2)"}</definedName>
    <definedName name="ccccccccc_1_1" hidden="1">{#N/A,#N/A,FALSE,"Sheet1 (2)"}</definedName>
    <definedName name="ccccccccc_1_2" localSheetId="0" hidden="1">{#N/A,#N/A,FALSE,"Sheet1 (2)"}</definedName>
    <definedName name="ccccccccc_1_2" hidden="1">{#N/A,#N/A,FALSE,"Sheet1 (2)"}</definedName>
    <definedName name="ccccccccc_1_3" localSheetId="0" hidden="1">{#N/A,#N/A,FALSE,"Sheet1 (2)"}</definedName>
    <definedName name="ccccccccc_1_3" hidden="1">{#N/A,#N/A,FALSE,"Sheet1 (2)"}</definedName>
    <definedName name="ccccccccc_2" localSheetId="0" hidden="1">{#N/A,#N/A,FALSE,"Sheet1 (2)"}</definedName>
    <definedName name="ccccccccc_2" hidden="1">{#N/A,#N/A,FALSE,"Sheet1 (2)"}</definedName>
    <definedName name="ccccccccc_2_1" localSheetId="0" hidden="1">{#N/A,#N/A,FALSE,"Sheet1 (2)"}</definedName>
    <definedName name="ccccccccc_2_1" hidden="1">{#N/A,#N/A,FALSE,"Sheet1 (2)"}</definedName>
    <definedName name="ccccccccc_2_2" localSheetId="0" hidden="1">{#N/A,#N/A,FALSE,"Sheet1 (2)"}</definedName>
    <definedName name="ccccccccc_2_2" hidden="1">{#N/A,#N/A,FALSE,"Sheet1 (2)"}</definedName>
    <definedName name="ccccccccc_3" localSheetId="0" hidden="1">{#N/A,#N/A,FALSE,"Sheet1 (2)"}</definedName>
    <definedName name="ccccccccc_3" hidden="1">{#N/A,#N/A,FALSE,"Sheet1 (2)"}</definedName>
    <definedName name="ccccccccc_4" localSheetId="0" hidden="1">{#N/A,#N/A,FALSE,"Sheet1 (2)"}</definedName>
    <definedName name="ccccccccc_4" hidden="1">{#N/A,#N/A,FALSE,"Sheet1 (2)"}</definedName>
    <definedName name="CCCCCCCCCCCCCCCCCCCCCCCCCCC">#REF!</definedName>
    <definedName name="CCKARAMELOCUMLENMEYEN">#REF!</definedName>
    <definedName name="CCOLCULMEYEN">#REF!</definedName>
    <definedName name="CCOLCULMEYENACTUAL">#REF!</definedName>
    <definedName name="CCYENIAROMAOLCUMLENMEYEN">#REF!</definedName>
    <definedName name="cd" localSheetId="0" hidden="1">{#N/A,#N/A,FALSE,"MALİTABLOLAR"}</definedName>
    <definedName name="cd" hidden="1">{#N/A,#N/A,FALSE,"MALİTABLOLAR"}</definedName>
    <definedName name="cd_1" localSheetId="0" hidden="1">{#N/A,#N/A,FALSE,"MALİTABLOLAR"}</definedName>
    <definedName name="cd_1" hidden="1">{#N/A,#N/A,FALSE,"MALİTABLOLAR"}</definedName>
    <definedName name="cd_1_1" localSheetId="0" hidden="1">{#N/A,#N/A,FALSE,"MALİTABLOLAR"}</definedName>
    <definedName name="cd_1_1" hidden="1">{#N/A,#N/A,FALSE,"MALİTABLOLAR"}</definedName>
    <definedName name="cd_1_2" localSheetId="0" hidden="1">{#N/A,#N/A,FALSE,"MALİTABLOLAR"}</definedName>
    <definedName name="cd_1_2" hidden="1">{#N/A,#N/A,FALSE,"MALİTABLOLAR"}</definedName>
    <definedName name="cd_1_3" localSheetId="0" hidden="1">{#N/A,#N/A,FALSE,"MALİTABLOLAR"}</definedName>
    <definedName name="cd_1_3" hidden="1">{#N/A,#N/A,FALSE,"MALİTABLOLAR"}</definedName>
    <definedName name="cd_2" localSheetId="0" hidden="1">{#N/A,#N/A,FALSE,"MALİTABLOLAR"}</definedName>
    <definedName name="cd_2" hidden="1">{#N/A,#N/A,FALSE,"MALİTABLOLAR"}</definedName>
    <definedName name="cd_2_1" localSheetId="0" hidden="1">{#N/A,#N/A,FALSE,"MALİTABLOLAR"}</definedName>
    <definedName name="cd_2_1" hidden="1">{#N/A,#N/A,FALSE,"MALİTABLOLAR"}</definedName>
    <definedName name="cd_2_2" localSheetId="0" hidden="1">{#N/A,#N/A,FALSE,"MALİTABLOLAR"}</definedName>
    <definedName name="cd_2_2" hidden="1">{#N/A,#N/A,FALSE,"MALİTABLOLAR"}</definedName>
    <definedName name="cd_3" localSheetId="0" hidden="1">{#N/A,#N/A,FALSE,"MALİTABLOLAR"}</definedName>
    <definedName name="cd_3" hidden="1">{#N/A,#N/A,FALSE,"MALİTABLOLAR"}</definedName>
    <definedName name="cd_4" localSheetId="0" hidden="1">{#N/A,#N/A,FALSE,"MALİTABLOLAR"}</definedName>
    <definedName name="cd_4" hidden="1">{#N/A,#N/A,FALSE,"MALİTABLOLAR"}</definedName>
    <definedName name="cdBrandcode">[54]CampaignData!$D$5</definedName>
    <definedName name="cdBrandname">[54]CampaignData!$D$6</definedName>
    <definedName name="cdCategories">[54]CampaignData!$Q$16:$R$165</definedName>
    <definedName name="cdCategorycodes">[54]CampaignData!$Q$16:$Q$165</definedName>
    <definedName name="cdcdi">#REF!</definedName>
    <definedName name="cdChannelnames">[54]CampaignData!$H$16:$H$45</definedName>
    <definedName name="cdChannels">[54]CampaignData!$H$16:$K$45</definedName>
    <definedName name="cdClient">[54]CampaignData!$D$4</definedName>
    <definedName name="cdConfigFile">[54]CampaignData!$D$1</definedName>
    <definedName name="cdCopies">[54]CampaignData!$B$16:$F$45</definedName>
    <definedName name="cdd" localSheetId="0" hidden="1">{#N/A,#N/A,FALSE,"MALİTABLOLAR"}</definedName>
    <definedName name="cdd" hidden="1">{#N/A,#N/A,FALSE,"MALİTABLOLAR"}</definedName>
    <definedName name="cdd_1" localSheetId="0" hidden="1">{#N/A,#N/A,FALSE,"MALİTABLOLAR"}</definedName>
    <definedName name="cdd_1" hidden="1">{#N/A,#N/A,FALSE,"MALİTABLOLAR"}</definedName>
    <definedName name="cdd_1_1" localSheetId="0" hidden="1">{#N/A,#N/A,FALSE,"MALİTABLOLAR"}</definedName>
    <definedName name="cdd_1_1" hidden="1">{#N/A,#N/A,FALSE,"MALİTABLOLAR"}</definedName>
    <definedName name="cdd_1_2" localSheetId="0" hidden="1">{#N/A,#N/A,FALSE,"MALİTABLOLAR"}</definedName>
    <definedName name="cdd_1_2" hidden="1">{#N/A,#N/A,FALSE,"MALİTABLOLAR"}</definedName>
    <definedName name="cdd_1_3" localSheetId="0" hidden="1">{#N/A,#N/A,FALSE,"MALİTABLOLAR"}</definedName>
    <definedName name="cdd_1_3" hidden="1">{#N/A,#N/A,FALSE,"MALİTABLOLAR"}</definedName>
    <definedName name="cdd_2" localSheetId="0" hidden="1">{#N/A,#N/A,FALSE,"MALİTABLOLAR"}</definedName>
    <definedName name="cdd_2" hidden="1">{#N/A,#N/A,FALSE,"MALİTABLOLAR"}</definedName>
    <definedName name="cdd_2_1" localSheetId="0" hidden="1">{#N/A,#N/A,FALSE,"MALİTABLOLAR"}</definedName>
    <definedName name="cdd_2_1" hidden="1">{#N/A,#N/A,FALSE,"MALİTABLOLAR"}</definedName>
    <definedName name="cdd_2_2" localSheetId="0" hidden="1">{#N/A,#N/A,FALSE,"MALİTABLOLAR"}</definedName>
    <definedName name="cdd_2_2" hidden="1">{#N/A,#N/A,FALSE,"MALİTABLOLAR"}</definedName>
    <definedName name="cdd_3" localSheetId="0" hidden="1">{#N/A,#N/A,FALSE,"MALİTABLOLAR"}</definedName>
    <definedName name="cdd_3" hidden="1">{#N/A,#N/A,FALSE,"MALİTABLOLAR"}</definedName>
    <definedName name="cdd_4" localSheetId="0" hidden="1">{#N/A,#N/A,FALSE,"MALİTABLOLAR"}</definedName>
    <definedName name="cdd_4" hidden="1">{#N/A,#N/A,FALSE,"MALİTABLOLAR"}</definedName>
    <definedName name="cdDayparts">[54]CampaignData!$AB$16:$AC$23</definedName>
    <definedName name="cdDays">[54]CampaignData!$Z$16:$Z$22</definedName>
    <definedName name="cdDppos">[54]CampaignData!$AE$16:$AF$19</definedName>
    <definedName name="cdEnddate">[54]CampaignData!$D$10</definedName>
    <definedName name="CdL">[55]Index!$H$6:$H$67</definedName>
    <definedName name="cdManualdiscountcodes">[54]CampaignData!$M$16:$M$45</definedName>
    <definedName name="cdManualDiscounts">[54]CampaignData!$M$16:$O$45</definedName>
    <definedName name="cdPrimeend">[54]CampaignData!$D$12</definedName>
    <definedName name="cdPrimestart">[54]CampaignData!$D$11</definedName>
    <definedName name="cdSpottypes">[54]CampaignData!$V$16:$X$22</definedName>
    <definedName name="cdStartdate">[54]CampaignData!$D$9</definedName>
    <definedName name="cdTarget">[54]CampaignData!$D$7</definedName>
    <definedName name="cdTarget2">[54]CampaignData!$D$8</definedName>
    <definedName name="cdWeeks">[54]CampaignData!$AH$16:$AI$21</definedName>
    <definedName name="Ceiling">#REF!</definedName>
    <definedName name="CEM">'[56]tv spot list'!#REF!</definedName>
    <definedName name="CENAP" localSheetId="0" hidden="1">{#N/A,#N/A,FALSE,"Sheet1 (2)"}</definedName>
    <definedName name="CENAP" hidden="1">{#N/A,#N/A,FALSE,"Sheet1 (2)"}</definedName>
    <definedName name="CGN" localSheetId="0" hidden="1">{#N/A,#N/A,FALSE,"Sheet1 (2)"}</definedName>
    <definedName name="CGN" hidden="1">{#N/A,#N/A,FALSE,"Sheet1 (2)"}</definedName>
    <definedName name="channel">'[57]LR Paramter'!$C$2:$C$22</definedName>
    <definedName name="CHEVYMAIN">[58]DATA!$A$3:$R$41</definedName>
    <definedName name="CHN">#REF!</definedName>
    <definedName name="Choices_Wrapper">[59]!Choices_Wrapper</definedName>
    <definedName name="CİMRİ">#REF!</definedName>
    <definedName name="CINE5">#REF!</definedName>
    <definedName name="CINE5_2">#REF!</definedName>
    <definedName name="CINE5_3">#REF!</definedName>
    <definedName name="CINE5_4">#REF!</definedName>
    <definedName name="CINE5_5">#REF!</definedName>
    <definedName name="CINE5_6">#REF!</definedName>
    <definedName name="CINE5_7">#REF!</definedName>
    <definedName name="CİNER">#REF!</definedName>
    <definedName name="CİNERMEDYATV">#REF!</definedName>
    <definedName name="CINQU">#REF!</definedName>
    <definedName name="cinque">#REF!</definedName>
    <definedName name="CINQUM">#REF!</definedName>
    <definedName name="Cl_inc">1.06</definedName>
    <definedName name="Click_Tag">#REF!</definedName>
    <definedName name="Clickthrough_URL">#REF!</definedName>
    <definedName name="Client">#REF!</definedName>
    <definedName name="CLIENTE">#REF!</definedName>
    <definedName name="ClimaCool">#REF!</definedName>
    <definedName name="CLİPKİTTURKEY">#REF!</definedName>
    <definedName name="cmChannels">[54]PlanData!$M$3:$M$33</definedName>
    <definedName name="cmCopies">[54]PlanData!$S$3:$S$33</definedName>
    <definedName name="cmCopycodes">[54]PlanData!$R$3:$R$33</definedName>
    <definedName name="cmData">[54]PlanData!$Z$3:$Z$8</definedName>
    <definedName name="cmDates">[54]PlanData!$U$3:$U$96</definedName>
    <definedName name="cmManualdiscountcodes">[54]PlanData!$O$3:$O$33</definedName>
    <definedName name="cmManualdiscounts">[54]PlanData!$P$3:$P$33</definedName>
    <definedName name="cmReports">[54]PlanData!$X$3:$X$8</definedName>
    <definedName name="cmTools">[54]PlanData!$AB$3:$AB$4</definedName>
    <definedName name="CNBC">#REF!</definedName>
    <definedName name="CNBC_2">#REF!</definedName>
    <definedName name="CNBC_3">#REF!</definedName>
    <definedName name="CNBC_4">#REF!</definedName>
    <definedName name="CNBC_5">#REF!</definedName>
    <definedName name="CNBC_6">#REF!</definedName>
    <definedName name="CNBC_7">#REF!</definedName>
    <definedName name="CNN">#REF!</definedName>
    <definedName name="CNN_2">#REF!</definedName>
    <definedName name="CNN_3">#REF!</definedName>
    <definedName name="CNN_4">#REF!</definedName>
    <definedName name="CNN_5">#REF!</definedName>
    <definedName name="CNN_6">#REF!</definedName>
    <definedName name="CNN_7">#REF!</definedName>
    <definedName name="CNNTURK" localSheetId="0">[60]Kategoriler!$A$347:$B$350</definedName>
    <definedName name="CNNTURK">[61]Kategoriler!$A$347:$B$350</definedName>
    <definedName name="cnsn" hidden="1">#REF!</definedName>
    <definedName name="COCO">#REF!</definedName>
    <definedName name="CocoOlculmeyen">#REF!</definedName>
    <definedName name="COCOOLCULMEYENACTUAL">#REF!</definedName>
    <definedName name="COCOOLCUMLENMEYEN">#REF!</definedName>
    <definedName name="Code" hidden="1">#REF!</definedName>
    <definedName name="Code_Version">#REF!</definedName>
    <definedName name="COGNIFYMEDYA">#REF!</definedName>
    <definedName name="CollapseSectionStart">#REF!</definedName>
    <definedName name="columns_array" localSheetId="0">{"YR",0,"Auto","Auto",""}</definedName>
    <definedName name="columns_array">{"YR",0,"Auto","Auto",""}</definedName>
    <definedName name="COLUMNS_ARRAY2" localSheetId="0">{"YR",0,"Auto","Auto",""}</definedName>
    <definedName name="COLUMNS_ARRAY2">{"YR",0,"Auto","Auto",""}</definedName>
    <definedName name="comm_act">[62]Foglio1!$I$21</definedName>
    <definedName name="comments">#REF!</definedName>
    <definedName name="comparisons">'[39]ED Upper Funnel'!#REF!</definedName>
    <definedName name="complassump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lassump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lassumption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omplassumptio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omplpo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lpo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NTANTINE">#REF!</definedName>
    <definedName name="Content">#REF!</definedName>
    <definedName name="content_audio">'[57]LR Paramter'!$C$44:$C$47</definedName>
    <definedName name="content_ini">'[57]LR Paramter'!$C$38:$C$41</definedName>
    <definedName name="CopyLengths">#REF!</definedName>
    <definedName name="CopyNames">#REF!</definedName>
    <definedName name="ÇORUM">#REF!</definedName>
    <definedName name="cost_method">#REF!</definedName>
    <definedName name="cost_methods_list">[51]Meta!$D$11:$D$15</definedName>
    <definedName name="CostBasis">#REF!</definedName>
    <definedName name="CostMethodName">#REF!</definedName>
    <definedName name="CostModelLookup">[21]Hidden_Data!$I$3:$I$9</definedName>
    <definedName name="CostPackageName">#REF!</definedName>
    <definedName name="Countries">(([63]Country!$B$2):(INDEX([63]Country!$B$2:$B$102,MATCH("",[63]Country!$B$2:$B$102,-1),0)))</definedName>
    <definedName name="Country">#REF!</definedName>
    <definedName name="CountryCodeLookup">(([63]Country!$B$2):(INDEX([63]Country!$C$2:$C$102,MATCH("",[63]Country!$C$2:$C$102,-1),0)))</definedName>
    <definedName name="cover" localSheetId="0">'Haziran Gerçekleşen Plan'!cover</definedName>
    <definedName name="cover">[0]!cover</definedName>
    <definedName name="COVER1" localSheetId="0">'Haziran Gerçekleşen Plan'!COVER1</definedName>
    <definedName name="COVER1">[0]!COVER1</definedName>
    <definedName name="cover2" localSheetId="0">'Haziran Gerçekleşen Plan'!cover2</definedName>
    <definedName name="cover2">[0]!cover2</definedName>
    <definedName name="cpExchangerates">[54]ExchangeRates!$A$1</definedName>
    <definedName name="CPM">#REF!</definedName>
    <definedName name="cpManualdiscounts">[54]ManualDiscounts!$A$1</definedName>
    <definedName name="CPMPlacementRow">#REF!</definedName>
    <definedName name="CPMRows">#REF!</definedName>
    <definedName name="CPMSubTotalRow">#REF!</definedName>
    <definedName name="cpNetprices">[54]NetPrices!$A$1</definedName>
    <definedName name="cpp">[64]TRPs!#REF!</definedName>
    <definedName name="CPP_1">#REF!</definedName>
    <definedName name="CPP_2">#REF!</definedName>
    <definedName name="cppant">#REF!</definedName>
    <definedName name="CPS">#REF!</definedName>
    <definedName name="Crax" localSheetId="0" hidden="1">{#N/A,#N/A,FALSE,"Sheet1 (2)"}</definedName>
    <definedName name="Crax" hidden="1">{#N/A,#N/A,FALSE,"Sheet1 (2)"}</definedName>
    <definedName name="Crax_1" localSheetId="0" hidden="1">{#N/A,#N/A,FALSE,"Sheet1 (2)"}</definedName>
    <definedName name="Crax_1" hidden="1">{#N/A,#N/A,FALSE,"Sheet1 (2)"}</definedName>
    <definedName name="CREATED_WITH">"OptiPlan.xls"</definedName>
    <definedName name="Creative_Class">#REF!</definedName>
    <definedName name="Creative_Delivery_Method">#REF!</definedName>
    <definedName name="Creative_Description">#REF!</definedName>
    <definedName name="creative_due_date">#REF!</definedName>
    <definedName name="Creative_File_Location">#REF!</definedName>
    <definedName name="Creative_Height">#REF!</definedName>
    <definedName name="Creative_Media_Code">#REF!</definedName>
    <definedName name="Creative_Media_Code_Enabled">#REF!</definedName>
    <definedName name="creative_type">#REF!</definedName>
    <definedName name="creative_type_description">#REF!</definedName>
    <definedName name="Creative_Width">#REF!</definedName>
    <definedName name="CreativeType_Abbrev">[49]DataFields!$B$5:$C$9</definedName>
    <definedName name="CREATORDEN">#REF!</definedName>
    <definedName name="CRENVO">#REF!</definedName>
    <definedName name="crep_list">#REF!</definedName>
    <definedName name="_xlnm.Criteria">'[65]rendelés melléklet'!#REF!</definedName>
    <definedName name="CTFUTBOLIMAJOLCUMLENMEYEN">#REF!</definedName>
    <definedName name="CTOlculmeyen">#REF!</definedName>
    <definedName name="CTOLCULMEYENACTUAL">#REF!</definedName>
    <definedName name="CTPROMOOLCUMLENMEYEN">#REF!</definedName>
    <definedName name="cubic">#REF!</definedName>
    <definedName name="Currency">#REF!</definedName>
    <definedName name="CurrencyTable">#REF!</definedName>
    <definedName name="CUSTO_TOTAL_NEGOCIADO">136730.04</definedName>
    <definedName name="CUSTO_TOTAL_TABELA">601707.21</definedName>
    <definedName name="cxds" localSheetId="0" hidden="1">{#N/A,#N/A,FALSE,"Sheet1 (2)"}</definedName>
    <definedName name="cxds" hidden="1">{#N/A,#N/A,FALSE,"Sheet1 (2)"}</definedName>
    <definedName name="cxfdfsdf">[66]Foglio1!$R$1</definedName>
    <definedName name="cxfvsdfsd" localSheetId="0" hidden="1">{#N/A,#N/A,FALSE,"Sheet1 (2)"}</definedName>
    <definedName name="cxfvsdfsd" hidden="1">{#N/A,#N/A,FALSE,"Sheet1 (2)"}</definedName>
    <definedName name="d" localSheetId="0" hidden="1">{#N/A,#N/A,FALSE,"Sheet1 (2)"}</definedName>
    <definedName name="d" hidden="1">{#N/A,#N/A,FALSE,"Sheet1 (2)"}</definedName>
    <definedName name="d_1" localSheetId="0" hidden="1">{#N/A,#N/A,FALSE,"Sheet1 (2)"}</definedName>
    <definedName name="d_1" hidden="1">{#N/A,#N/A,FALSE,"Sheet1 (2)"}</definedName>
    <definedName name="d_1_1" localSheetId="0" hidden="1">{#N/A,#N/A,FALSE,"Sheet1 (2)"}</definedName>
    <definedName name="d_1_1" hidden="1">{#N/A,#N/A,FALSE,"Sheet1 (2)"}</definedName>
    <definedName name="d_1_2" localSheetId="0" hidden="1">{#N/A,#N/A,FALSE,"Sheet1 (2)"}</definedName>
    <definedName name="d_1_2" hidden="1">{#N/A,#N/A,FALSE,"Sheet1 (2)"}</definedName>
    <definedName name="d_1_3" localSheetId="0" hidden="1">{#N/A,#N/A,FALSE,"Sheet1 (2)"}</definedName>
    <definedName name="d_1_3" hidden="1">{#N/A,#N/A,FALSE,"Sheet1 (2)"}</definedName>
    <definedName name="d_2" localSheetId="0" hidden="1">{#N/A,#N/A,FALSE,"Sheet1 (2)"}</definedName>
    <definedName name="d_2" hidden="1">{#N/A,#N/A,FALSE,"Sheet1 (2)"}</definedName>
    <definedName name="d_2_1" localSheetId="0" hidden="1">{#N/A,#N/A,FALSE,"Sheet1 (2)"}</definedName>
    <definedName name="d_2_1" hidden="1">{#N/A,#N/A,FALSE,"Sheet1 (2)"}</definedName>
    <definedName name="d_2_2" localSheetId="0" hidden="1">{#N/A,#N/A,FALSE,"Sheet1 (2)"}</definedName>
    <definedName name="d_2_2" hidden="1">{#N/A,#N/A,FALSE,"Sheet1 (2)"}</definedName>
    <definedName name="d_3" localSheetId="0" hidden="1">{#N/A,#N/A,FALSE,"Sheet1 (2)"}</definedName>
    <definedName name="d_3" hidden="1">{#N/A,#N/A,FALSE,"Sheet1 (2)"}</definedName>
    <definedName name="d_4" localSheetId="0" hidden="1">{#N/A,#N/A,FALSE,"Sheet1 (2)"}</definedName>
    <definedName name="d_4" hidden="1">{#N/A,#N/A,FALSE,"Sheet1 (2)"}</definedName>
    <definedName name="daa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daa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daa_1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daa_1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daa_1_1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daa_1_1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daa_1_2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daa_1_2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daa_1_3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daa_1_3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daa_2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daa_2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daa_2_1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daa_2_1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daa_2_2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daa_2_2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daa_3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daa_3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daa_4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daa_4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DAAA" localSheetId="0" hidden="1">{#N/A,#N/A,FALSE,"MALİTABLOLAR"}</definedName>
    <definedName name="DAAA" hidden="1">{#N/A,#N/A,FALSE,"MALİTABLOLAR"}</definedName>
    <definedName name="DAAA_1" localSheetId="0" hidden="1">{#N/A,#N/A,FALSE,"MALİTABLOLAR"}</definedName>
    <definedName name="DAAA_1" hidden="1">{#N/A,#N/A,FALSE,"MALİTABLOLAR"}</definedName>
    <definedName name="DAAA_1_1" localSheetId="0" hidden="1">{#N/A,#N/A,FALSE,"MALİTABLOLAR"}</definedName>
    <definedName name="DAAA_1_1" hidden="1">{#N/A,#N/A,FALSE,"MALİTABLOLAR"}</definedName>
    <definedName name="DAAA_1_2" localSheetId="0" hidden="1">{#N/A,#N/A,FALSE,"MALİTABLOLAR"}</definedName>
    <definedName name="DAAA_1_2" hidden="1">{#N/A,#N/A,FALSE,"MALİTABLOLAR"}</definedName>
    <definedName name="DAAA_1_3" localSheetId="0" hidden="1">{#N/A,#N/A,FALSE,"MALİTABLOLAR"}</definedName>
    <definedName name="DAAA_1_3" hidden="1">{#N/A,#N/A,FALSE,"MALİTABLOLAR"}</definedName>
    <definedName name="DAAA_2" localSheetId="0" hidden="1">{#N/A,#N/A,FALSE,"MALİTABLOLAR"}</definedName>
    <definedName name="DAAA_2" hidden="1">{#N/A,#N/A,FALSE,"MALİTABLOLAR"}</definedName>
    <definedName name="DAAA_2_1" localSheetId="0" hidden="1">{#N/A,#N/A,FALSE,"MALİTABLOLAR"}</definedName>
    <definedName name="DAAA_2_1" hidden="1">{#N/A,#N/A,FALSE,"MALİTABLOLAR"}</definedName>
    <definedName name="DAAA_2_2" localSheetId="0" hidden="1">{#N/A,#N/A,FALSE,"MALİTABLOLAR"}</definedName>
    <definedName name="DAAA_2_2" hidden="1">{#N/A,#N/A,FALSE,"MALİTABLOLAR"}</definedName>
    <definedName name="DAAA_3" localSheetId="0" hidden="1">{#N/A,#N/A,FALSE,"MALİTABLOLAR"}</definedName>
    <definedName name="DAAA_3" hidden="1">{#N/A,#N/A,FALSE,"MALİTABLOLAR"}</definedName>
    <definedName name="DAAA_4" localSheetId="0" hidden="1">{#N/A,#N/A,FALSE,"MALİTABLOLAR"}</definedName>
    <definedName name="DAAA_4" hidden="1">{#N/A,#N/A,FALSE,"MALİTABLOLAR"}</definedName>
    <definedName name="DAHAİYİYAŞAM">#REF!</definedName>
    <definedName name="dart3">#REF!,#REF!</definedName>
    <definedName name="das">#REF!</definedName>
    <definedName name="dasdas">[12]Ekim!#REF!</definedName>
    <definedName name="DATA" localSheetId="0">[67]Kategoriler!$A$1:$B$29</definedName>
    <definedName name="Data">'[68]Şubat Gerçekleşen'!#REF!</definedName>
    <definedName name="data1" hidden="1">#REF!</definedName>
    <definedName name="data2" hidden="1">#REF!</definedName>
    <definedName name="data3" hidden="1">#REF!</definedName>
    <definedName name="_xlnm.Database">#REF!</definedName>
    <definedName name="DataMonth">#REF!</definedName>
    <definedName name="DataMonthIM">#REF!</definedName>
    <definedName name="day_part">'[69]tv spot list'!$T$14:$T$1329</definedName>
    <definedName name="DBR">#REF!</definedName>
    <definedName name="dbvdcz">#REF!</definedName>
    <definedName name="dd" localSheetId="0" hidden="1">{#N/A,#N/A,FALSE,"Sheet1 (2)"}</definedName>
    <definedName name="dd" hidden="1">{#N/A,#N/A,FALSE,"Sheet1 (2)"}</definedName>
    <definedName name="DDD" localSheetId="0" hidden="1">{#N/A,#N/A,FALSE,"Sheet1 (2)"}</definedName>
    <definedName name="DDD" hidden="1">{#N/A,#N/A,FALSE,"Sheet1 (2)"}</definedName>
    <definedName name="DDD_1" localSheetId="0" hidden="1">{#N/A,#N/A,FALSE,"Sheet1 (2)"}</definedName>
    <definedName name="DDD_1" hidden="1">{#N/A,#N/A,FALSE,"Sheet1 (2)"}</definedName>
    <definedName name="DDD_1_1" localSheetId="0" hidden="1">{#N/A,#N/A,FALSE,"Sheet1 (2)"}</definedName>
    <definedName name="DDD_1_1" hidden="1">{#N/A,#N/A,FALSE,"Sheet1 (2)"}</definedName>
    <definedName name="DDD_1_2" localSheetId="0" hidden="1">{#N/A,#N/A,FALSE,"Sheet1 (2)"}</definedName>
    <definedName name="DDD_1_2" hidden="1">{#N/A,#N/A,FALSE,"Sheet1 (2)"}</definedName>
    <definedName name="DDD_1_3" localSheetId="0" hidden="1">{#N/A,#N/A,FALSE,"Sheet1 (2)"}</definedName>
    <definedName name="DDD_1_3" hidden="1">{#N/A,#N/A,FALSE,"Sheet1 (2)"}</definedName>
    <definedName name="DDD_2" localSheetId="0" hidden="1">{#N/A,#N/A,FALSE,"Sheet1 (2)"}</definedName>
    <definedName name="DDD_2" hidden="1">{#N/A,#N/A,FALSE,"Sheet1 (2)"}</definedName>
    <definedName name="DDD_2_1" localSheetId="0" hidden="1">{#N/A,#N/A,FALSE,"Sheet1 (2)"}</definedName>
    <definedName name="DDD_2_1" hidden="1">{#N/A,#N/A,FALSE,"Sheet1 (2)"}</definedName>
    <definedName name="DDD_2_2" localSheetId="0" hidden="1">{#N/A,#N/A,FALSE,"Sheet1 (2)"}</definedName>
    <definedName name="DDD_2_2" hidden="1">{#N/A,#N/A,FALSE,"Sheet1 (2)"}</definedName>
    <definedName name="DDD_3" localSheetId="0" hidden="1">{#N/A,#N/A,FALSE,"Sheet1 (2)"}</definedName>
    <definedName name="DDD_3" hidden="1">{#N/A,#N/A,FALSE,"Sheet1 (2)"}</definedName>
    <definedName name="DDD_4" localSheetId="0" hidden="1">{#N/A,#N/A,FALSE,"Sheet1 (2)"}</definedName>
    <definedName name="DDD_4" hidden="1">{#N/A,#N/A,FALSE,"Sheet1 (2)"}</definedName>
    <definedName name="DDDD">#REF!</definedName>
    <definedName name="DDDDD">#REF!</definedName>
    <definedName name="DDDDDD">#REF!</definedName>
    <definedName name="ddddddd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ddddd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ddddddd">[4]Foglio1!#REF!</definedName>
    <definedName name="DDDDDDDDDD" localSheetId="0" hidden="1">{#N/A,#N/A,FALSE,"Sheet1 (2)"}</definedName>
    <definedName name="DDDDDDDDDD" hidden="1">{#N/A,#N/A,FALSE,"Sheet1 (2)"}</definedName>
    <definedName name="DDDDDDDDDD_1" localSheetId="0" hidden="1">{#N/A,#N/A,FALSE,"Sheet1 (2)"}</definedName>
    <definedName name="DDDDDDDDDD_1" hidden="1">{#N/A,#N/A,FALSE,"Sheet1 (2)"}</definedName>
    <definedName name="DDDDDDDDDD_1_1" localSheetId="0" hidden="1">{#N/A,#N/A,FALSE,"Sheet1 (2)"}</definedName>
    <definedName name="DDDDDDDDDD_1_1" hidden="1">{#N/A,#N/A,FALSE,"Sheet1 (2)"}</definedName>
    <definedName name="DDDDDDDDDD_1_2" localSheetId="0" hidden="1">{#N/A,#N/A,FALSE,"Sheet1 (2)"}</definedName>
    <definedName name="DDDDDDDDDD_1_2" hidden="1">{#N/A,#N/A,FALSE,"Sheet1 (2)"}</definedName>
    <definedName name="DDDDDDDDDD_1_3" localSheetId="0" hidden="1">{#N/A,#N/A,FALSE,"Sheet1 (2)"}</definedName>
    <definedName name="DDDDDDDDDD_1_3" hidden="1">{#N/A,#N/A,FALSE,"Sheet1 (2)"}</definedName>
    <definedName name="DDDDDDDDDD_2" localSheetId="0" hidden="1">{#N/A,#N/A,FALSE,"Sheet1 (2)"}</definedName>
    <definedName name="DDDDDDDDDD_2" hidden="1">{#N/A,#N/A,FALSE,"Sheet1 (2)"}</definedName>
    <definedName name="DDDDDDDDDD_2_1" localSheetId="0" hidden="1">{#N/A,#N/A,FALSE,"Sheet1 (2)"}</definedName>
    <definedName name="DDDDDDDDDD_2_1" hidden="1">{#N/A,#N/A,FALSE,"Sheet1 (2)"}</definedName>
    <definedName name="DDDDDDDDDD_2_2" localSheetId="0" hidden="1">{#N/A,#N/A,FALSE,"Sheet1 (2)"}</definedName>
    <definedName name="DDDDDDDDDD_2_2" hidden="1">{#N/A,#N/A,FALSE,"Sheet1 (2)"}</definedName>
    <definedName name="DDDDDDDDDD_3" localSheetId="0" hidden="1">{#N/A,#N/A,FALSE,"Sheet1 (2)"}</definedName>
    <definedName name="DDDDDDDDDD_3" hidden="1">{#N/A,#N/A,FALSE,"Sheet1 (2)"}</definedName>
    <definedName name="DDDDDDDDDD_4" localSheetId="0" hidden="1">{#N/A,#N/A,FALSE,"Sheet1 (2)"}</definedName>
    <definedName name="DDDDDDDDDD_4" hidden="1">{#N/A,#N/A,FALSE,"Sheet1 (2)"}</definedName>
    <definedName name="ddddddddddd">[4]Foglio1!#REF!</definedName>
    <definedName name="ddddddddddddd" localSheetId="0" hidden="1">{#N/A,#N/A,FALSE,"Sheet1 (2)"}</definedName>
    <definedName name="ddddddddddddd" hidden="1">{#N/A,#N/A,FALSE,"Sheet1 (2)"}</definedName>
    <definedName name="ddm">#REF!</definedName>
    <definedName name="dds">[70]Index!#REF!</definedName>
    <definedName name="ddsdd">#REF!</definedName>
    <definedName name="de_adi">#REF!</definedName>
    <definedName name="de_ahp_tutar">#REF!</definedName>
    <definedName name="de_grubu">#REF!</definedName>
    <definedName name="de_net_tutar">#REF!</definedName>
    <definedName name="de_ratecard">#REF!</definedName>
    <definedName name="de_tiraj">#REF!</definedName>
    <definedName name="de_tutar">#REF!</definedName>
    <definedName name="Deal">#REF!</definedName>
    <definedName name="Decay">#REF!</definedName>
    <definedName name="DecimalPointLocale">[21]Hidden_Data!$AA$21</definedName>
    <definedName name="deergfdsd" localSheetId="0" hidden="1">{#N/A,#N/A,FALSE,"Sheet1 (2)"}</definedName>
    <definedName name="deergfdsd" hidden="1">{#N/A,#N/A,FALSE,"Sheet1 (2)"}</definedName>
    <definedName name="deergfdsd_1" localSheetId="0" hidden="1">{#N/A,#N/A,FALSE,"Sheet1 (2)"}</definedName>
    <definedName name="deergfdsd_1" hidden="1">{#N/A,#N/A,FALSE,"Sheet1 (2)"}</definedName>
    <definedName name="deergfdsd_1_1" localSheetId="0" hidden="1">{#N/A,#N/A,FALSE,"Sheet1 (2)"}</definedName>
    <definedName name="deergfdsd_1_1" hidden="1">{#N/A,#N/A,FALSE,"Sheet1 (2)"}</definedName>
    <definedName name="deergfdsd_1_2" localSheetId="0" hidden="1">{#N/A,#N/A,FALSE,"Sheet1 (2)"}</definedName>
    <definedName name="deergfdsd_1_2" hidden="1">{#N/A,#N/A,FALSE,"Sheet1 (2)"}</definedName>
    <definedName name="deergfdsd_1_3" localSheetId="0" hidden="1">{#N/A,#N/A,FALSE,"Sheet1 (2)"}</definedName>
    <definedName name="deergfdsd_1_3" hidden="1">{#N/A,#N/A,FALSE,"Sheet1 (2)"}</definedName>
    <definedName name="deergfdsd_2" localSheetId="0" hidden="1">{#N/A,#N/A,FALSE,"Sheet1 (2)"}</definedName>
    <definedName name="deergfdsd_2" hidden="1">{#N/A,#N/A,FALSE,"Sheet1 (2)"}</definedName>
    <definedName name="deergfdsd_2_1" localSheetId="0" hidden="1">{#N/A,#N/A,FALSE,"Sheet1 (2)"}</definedName>
    <definedName name="deergfdsd_2_1" hidden="1">{#N/A,#N/A,FALSE,"Sheet1 (2)"}</definedName>
    <definedName name="deergfdsd_2_2" localSheetId="0" hidden="1">{#N/A,#N/A,FALSE,"Sheet1 (2)"}</definedName>
    <definedName name="deergfdsd_2_2" hidden="1">{#N/A,#N/A,FALSE,"Sheet1 (2)"}</definedName>
    <definedName name="deergfdsd_3" localSheetId="0" hidden="1">{#N/A,#N/A,FALSE,"Sheet1 (2)"}</definedName>
    <definedName name="deergfdsd_3" hidden="1">{#N/A,#N/A,FALSE,"Sheet1 (2)"}</definedName>
    <definedName name="deergfdsd_4" localSheetId="0" hidden="1">{#N/A,#N/A,FALSE,"Sheet1 (2)"}</definedName>
    <definedName name="deergfdsd_4" hidden="1">{#N/A,#N/A,FALSE,"Sheet1 (2)"}</definedName>
    <definedName name="def" localSheetId="0">{"BRAND",0,"Auto","Auto","";"CTY",0,"Auto","Auto",""}</definedName>
    <definedName name="def">{"BRAND",0,"Auto","Auto","";"CTY",0,"Auto","Auto",""}</definedName>
    <definedName name="DEGI">#REF!</definedName>
    <definedName name="Delivery_Method">#REF!</definedName>
    <definedName name="DEMİRÖRENİNT">#REF!</definedName>
    <definedName name="Demo">'[71]Dijital Plan'!#REF!</definedName>
    <definedName name="denem" hidden="1">#REF!</definedName>
    <definedName name="deneme" hidden="1">#REF!</definedName>
    <definedName name="deniz1" localSheetId="0" hidden="1">{#N/A,#N/A,FALSE,"Sheet1 (2)"}</definedName>
    <definedName name="deniz1" hidden="1">{#N/A,#N/A,FALSE,"Sheet1 (2)"}</definedName>
    <definedName name="DENİZBANK" localSheetId="0" hidden="1">{#N/A,#N/A,FALSE,"Sheet1 (2)"}</definedName>
    <definedName name="DENİZBANK" hidden="1">{#N/A,#N/A,FALSE,"Sheet1 (2)"}</definedName>
    <definedName name="DENİZBANK_1" localSheetId="0" hidden="1">{#N/A,#N/A,FALSE,"Sheet1 (2)"}</definedName>
    <definedName name="DENİZBANK_1" hidden="1">{#N/A,#N/A,FALSE,"Sheet1 (2)"}</definedName>
    <definedName name="DENİZBANK_1_1" localSheetId="0" hidden="1">{#N/A,#N/A,FALSE,"Sheet1 (2)"}</definedName>
    <definedName name="DENİZBANK_1_1" hidden="1">{#N/A,#N/A,FALSE,"Sheet1 (2)"}</definedName>
    <definedName name="DENİZBANK_1_2" localSheetId="0" hidden="1">{#N/A,#N/A,FALSE,"Sheet1 (2)"}</definedName>
    <definedName name="DENİZBANK_1_2" hidden="1">{#N/A,#N/A,FALSE,"Sheet1 (2)"}</definedName>
    <definedName name="DENİZBANK_1_3" localSheetId="0" hidden="1">{#N/A,#N/A,FALSE,"Sheet1 (2)"}</definedName>
    <definedName name="DENİZBANK_1_3" hidden="1">{#N/A,#N/A,FALSE,"Sheet1 (2)"}</definedName>
    <definedName name="DENİZBANK_2" localSheetId="0" hidden="1">{#N/A,#N/A,FALSE,"Sheet1 (2)"}</definedName>
    <definedName name="DENİZBANK_2" hidden="1">{#N/A,#N/A,FALSE,"Sheet1 (2)"}</definedName>
    <definedName name="DENİZBANK_2_1" localSheetId="0" hidden="1">{#N/A,#N/A,FALSE,"Sheet1 (2)"}</definedName>
    <definedName name="DENİZBANK_2_1" hidden="1">{#N/A,#N/A,FALSE,"Sheet1 (2)"}</definedName>
    <definedName name="DENİZBANK_2_2" localSheetId="0" hidden="1">{#N/A,#N/A,FALSE,"Sheet1 (2)"}</definedName>
    <definedName name="DENİZBANK_2_2" hidden="1">{#N/A,#N/A,FALSE,"Sheet1 (2)"}</definedName>
    <definedName name="DENİZBANK_3" localSheetId="0" hidden="1">{#N/A,#N/A,FALSE,"Sheet1 (2)"}</definedName>
    <definedName name="DENİZBANK_3" hidden="1">{#N/A,#N/A,FALSE,"Sheet1 (2)"}</definedName>
    <definedName name="DENİZBANK_4" localSheetId="0" hidden="1">{#N/A,#N/A,FALSE,"Sheet1 (2)"}</definedName>
    <definedName name="DENİZBANK_4" hidden="1">{#N/A,#N/A,FALSE,"Sheet1 (2)"}</definedName>
    <definedName name="DENİZLİ">#REF!</definedName>
    <definedName name="deppo">#REF!</definedName>
    <definedName name="DER">#REF!</definedName>
    <definedName name="DER_2">#REF!</definedName>
    <definedName name="DER_3">#REF!</definedName>
    <definedName name="DER_4">#REF!</definedName>
    <definedName name="DER_5">#REF!</definedName>
    <definedName name="DER_6">#REF!</definedName>
    <definedName name="DER_7">#REF!</definedName>
    <definedName name="der_adi">#REF!</definedName>
    <definedName name="der_adi_2">#REF!</definedName>
    <definedName name="der_adi_3">#REF!</definedName>
    <definedName name="der_adi_4">#REF!</definedName>
    <definedName name="der_adi_5">#REF!</definedName>
    <definedName name="der_adi_6">#REF!</definedName>
    <definedName name="der_adi_7">#REF!</definedName>
    <definedName name="der_ahp_tutar">#REF!</definedName>
    <definedName name="der_ahp_tutar_2">#REF!</definedName>
    <definedName name="der_ahp_tutar_3">#REF!</definedName>
    <definedName name="der_ahp_tutar_4">#REF!</definedName>
    <definedName name="der_ahp_tutar_5">#REF!</definedName>
    <definedName name="der_ahp_tutar_6">#REF!</definedName>
    <definedName name="der_ahp_tutar_7">#REF!</definedName>
    <definedName name="der_grubu">#REF!</definedName>
    <definedName name="der_grubu_2">#REF!</definedName>
    <definedName name="der_grubu_3">#REF!</definedName>
    <definedName name="der_grubu_4">#REF!</definedName>
    <definedName name="der_grubu_5">#REF!</definedName>
    <definedName name="der_grubu_6">#REF!</definedName>
    <definedName name="der_grubu_7">#REF!</definedName>
    <definedName name="der_net_tutar">#REF!</definedName>
    <definedName name="der_net_tutar_2">#REF!</definedName>
    <definedName name="der_net_tutar_3">#REF!</definedName>
    <definedName name="der_net_tutar_4">#REF!</definedName>
    <definedName name="der_net_tutar_5">#REF!</definedName>
    <definedName name="der_net_tutar_6">#REF!</definedName>
    <definedName name="der_net_tutar_7">#REF!</definedName>
    <definedName name="der_ratecard">#REF!</definedName>
    <definedName name="der_ratecard_2">#REF!</definedName>
    <definedName name="der_ratecard_3">#REF!</definedName>
    <definedName name="der_ratecard_4">#REF!</definedName>
    <definedName name="der_ratecard_5">#REF!</definedName>
    <definedName name="der_ratecard_6">#REF!</definedName>
    <definedName name="der_ratecard_7">#REF!</definedName>
    <definedName name="der_tiraj">#REF!</definedName>
    <definedName name="der_tutar">#REF!</definedName>
    <definedName name="der_tutar_2">#REF!</definedName>
    <definedName name="der_tutar_3">#REF!</definedName>
    <definedName name="der_tutar_4">#REF!</definedName>
    <definedName name="der_tutar_5">#REF!</definedName>
    <definedName name="der_tutar_6">#REF!</definedName>
    <definedName name="der_tutar_7">#REF!</definedName>
    <definedName name="der1_adi">#REF!</definedName>
    <definedName name="DERGI" localSheetId="0" hidden="1">{#N/A,#N/A,FALSE,"Sheet1 (2)"}</definedName>
    <definedName name="DERGI" hidden="1">{#N/A,#N/A,FALSE,"Sheet1 (2)"}</definedName>
    <definedName name="DERGİ" localSheetId="0" hidden="1">{#N/A,#N/A,FALSE,"Sheet1 (2)"}</definedName>
    <definedName name="DERGİ" hidden="1">{#N/A,#N/A,FALSE,"Sheet1 (2)"}</definedName>
    <definedName name="DERGİ_06">#REF!</definedName>
    <definedName name="DERGİ_07">#REF!</definedName>
    <definedName name="DERGİ_08">#REF!</definedName>
    <definedName name="DERGI_1" localSheetId="0" hidden="1">{#N/A,#N/A,FALSE,"Sheet1 (2)"}</definedName>
    <definedName name="DERGI_1" hidden="1">{#N/A,#N/A,FALSE,"Sheet1 (2)"}</definedName>
    <definedName name="DERGİ_1" localSheetId="0" hidden="1">{#N/A,#N/A,FALSE,"Sheet1 (2)"}</definedName>
    <definedName name="DERGİ_1" hidden="1">{#N/A,#N/A,FALSE,"Sheet1 (2)"}</definedName>
    <definedName name="DERGI_1_1" localSheetId="0" hidden="1">{#N/A,#N/A,FALSE,"Sheet1 (2)"}</definedName>
    <definedName name="DERGI_1_1" hidden="1">{#N/A,#N/A,FALSE,"Sheet1 (2)"}</definedName>
    <definedName name="DERGİ_1_1" localSheetId="0" hidden="1">{#N/A,#N/A,FALSE,"Sheet1 (2)"}</definedName>
    <definedName name="DERGİ_1_1" hidden="1">{#N/A,#N/A,FALSE,"Sheet1 (2)"}</definedName>
    <definedName name="DERGI_1_2" localSheetId="0" hidden="1">{#N/A,#N/A,FALSE,"Sheet1 (2)"}</definedName>
    <definedName name="DERGI_1_2" hidden="1">{#N/A,#N/A,FALSE,"Sheet1 (2)"}</definedName>
    <definedName name="DERGİ_1_2" localSheetId="0" hidden="1">{#N/A,#N/A,FALSE,"Sheet1 (2)"}</definedName>
    <definedName name="DERGİ_1_2" hidden="1">{#N/A,#N/A,FALSE,"Sheet1 (2)"}</definedName>
    <definedName name="DERGI_1_3" localSheetId="0" hidden="1">{#N/A,#N/A,FALSE,"Sheet1 (2)"}</definedName>
    <definedName name="DERGI_1_3" hidden="1">{#N/A,#N/A,FALSE,"Sheet1 (2)"}</definedName>
    <definedName name="DERGİ_1_3" localSheetId="0" hidden="1">{#N/A,#N/A,FALSE,"Sheet1 (2)"}</definedName>
    <definedName name="DERGİ_1_3" hidden="1">{#N/A,#N/A,FALSE,"Sheet1 (2)"}</definedName>
    <definedName name="DERGI_2" localSheetId="0" hidden="1">{#N/A,#N/A,FALSE,"Sheet1 (2)"}</definedName>
    <definedName name="DERGI_2" hidden="1">{#N/A,#N/A,FALSE,"Sheet1 (2)"}</definedName>
    <definedName name="DERGİ_2" localSheetId="0" hidden="1">{#N/A,#N/A,FALSE,"Sheet1 (2)"}</definedName>
    <definedName name="DERGİ_2" hidden="1">{#N/A,#N/A,FALSE,"Sheet1 (2)"}</definedName>
    <definedName name="DERGI_2_1" localSheetId="0" hidden="1">{#N/A,#N/A,FALSE,"Sheet1 (2)"}</definedName>
    <definedName name="DERGI_2_1" hidden="1">{#N/A,#N/A,FALSE,"Sheet1 (2)"}</definedName>
    <definedName name="DERGİ_2_1" localSheetId="0" hidden="1">{#N/A,#N/A,FALSE,"Sheet1 (2)"}</definedName>
    <definedName name="DERGİ_2_1" hidden="1">{#N/A,#N/A,FALSE,"Sheet1 (2)"}</definedName>
    <definedName name="DERGI_2_2" localSheetId="0" hidden="1">{#N/A,#N/A,FALSE,"Sheet1 (2)"}</definedName>
    <definedName name="DERGI_2_2" hidden="1">{#N/A,#N/A,FALSE,"Sheet1 (2)"}</definedName>
    <definedName name="DERGİ_2_2" localSheetId="0" hidden="1">{#N/A,#N/A,FALSE,"Sheet1 (2)"}</definedName>
    <definedName name="DERGİ_2_2" hidden="1">{#N/A,#N/A,FALSE,"Sheet1 (2)"}</definedName>
    <definedName name="DERGI_3" localSheetId="0" hidden="1">{#N/A,#N/A,FALSE,"Sheet1 (2)"}</definedName>
    <definedName name="DERGI_3" hidden="1">{#N/A,#N/A,FALSE,"Sheet1 (2)"}</definedName>
    <definedName name="DERGİ_3" localSheetId="0" hidden="1">{#N/A,#N/A,FALSE,"Sheet1 (2)"}</definedName>
    <definedName name="DERGİ_3" hidden="1">{#N/A,#N/A,FALSE,"Sheet1 (2)"}</definedName>
    <definedName name="DERGI_4" localSheetId="0" hidden="1">{#N/A,#N/A,FALSE,"Sheet1 (2)"}</definedName>
    <definedName name="DERGI_4" hidden="1">{#N/A,#N/A,FALSE,"Sheet1 (2)"}</definedName>
    <definedName name="DERGİ_4" localSheetId="0" hidden="1">{#N/A,#N/A,FALSE,"Sheet1 (2)"}</definedName>
    <definedName name="DERGİ_4" hidden="1">{#N/A,#N/A,FALSE,"Sheet1 (2)"}</definedName>
    <definedName name="DERGI1" localSheetId="0" hidden="1">{#N/A,#N/A,FALSE,"Sheet1 (2)"}</definedName>
    <definedName name="DERGI1" hidden="1">{#N/A,#N/A,FALSE,"Sheet1 (2)"}</definedName>
    <definedName name="DERGI1_1" localSheetId="0" hidden="1">{#N/A,#N/A,FALSE,"Sheet1 (2)"}</definedName>
    <definedName name="DERGI1_1" hidden="1">{#N/A,#N/A,FALSE,"Sheet1 (2)"}</definedName>
    <definedName name="DERGI1_1_1" localSheetId="0" hidden="1">{#N/A,#N/A,FALSE,"Sheet1 (2)"}</definedName>
    <definedName name="DERGI1_1_1" hidden="1">{#N/A,#N/A,FALSE,"Sheet1 (2)"}</definedName>
    <definedName name="DERGI1_1_2" localSheetId="0" hidden="1">{#N/A,#N/A,FALSE,"Sheet1 (2)"}</definedName>
    <definedName name="DERGI1_1_2" hidden="1">{#N/A,#N/A,FALSE,"Sheet1 (2)"}</definedName>
    <definedName name="DERGI1_1_3" localSheetId="0" hidden="1">{#N/A,#N/A,FALSE,"Sheet1 (2)"}</definedName>
    <definedName name="DERGI1_1_3" hidden="1">{#N/A,#N/A,FALSE,"Sheet1 (2)"}</definedName>
    <definedName name="DERGI1_2" localSheetId="0" hidden="1">{#N/A,#N/A,FALSE,"Sheet1 (2)"}</definedName>
    <definedName name="DERGI1_2" hidden="1">{#N/A,#N/A,FALSE,"Sheet1 (2)"}</definedName>
    <definedName name="DERGI1_2_1" localSheetId="0" hidden="1">{#N/A,#N/A,FALSE,"Sheet1 (2)"}</definedName>
    <definedName name="DERGI1_2_1" hidden="1">{#N/A,#N/A,FALSE,"Sheet1 (2)"}</definedName>
    <definedName name="DERGI1_2_2" localSheetId="0" hidden="1">{#N/A,#N/A,FALSE,"Sheet1 (2)"}</definedName>
    <definedName name="DERGI1_2_2" hidden="1">{#N/A,#N/A,FALSE,"Sheet1 (2)"}</definedName>
    <definedName name="DERGI1_3" localSheetId="0" hidden="1">{#N/A,#N/A,FALSE,"Sheet1 (2)"}</definedName>
    <definedName name="DERGI1_3" hidden="1">{#N/A,#N/A,FALSE,"Sheet1 (2)"}</definedName>
    <definedName name="DERGI1_4" localSheetId="0" hidden="1">{#N/A,#N/A,FALSE,"Sheet1 (2)"}</definedName>
    <definedName name="DERGI1_4" hidden="1">{#N/A,#N/A,FALSE,"Sheet1 (2)"}</definedName>
    <definedName name="dersdg" localSheetId="0" hidden="1">{#N/A,#N/A,FALSE,"Sheet1 (2)"}</definedName>
    <definedName name="dersdg" hidden="1">{#N/A,#N/A,FALSE,"Sheet1 (2)"}</definedName>
    <definedName name="dersdg_1" localSheetId="0" hidden="1">{#N/A,#N/A,FALSE,"Sheet1 (2)"}</definedName>
    <definedName name="dersdg_1" hidden="1">{#N/A,#N/A,FALSE,"Sheet1 (2)"}</definedName>
    <definedName name="dersdg_1_1" localSheetId="0" hidden="1">{#N/A,#N/A,FALSE,"Sheet1 (2)"}</definedName>
    <definedName name="dersdg_1_1" hidden="1">{#N/A,#N/A,FALSE,"Sheet1 (2)"}</definedName>
    <definedName name="dersdg_1_2" localSheetId="0" hidden="1">{#N/A,#N/A,FALSE,"Sheet1 (2)"}</definedName>
    <definedName name="dersdg_1_2" hidden="1">{#N/A,#N/A,FALSE,"Sheet1 (2)"}</definedName>
    <definedName name="dersdg_1_3" localSheetId="0" hidden="1">{#N/A,#N/A,FALSE,"Sheet1 (2)"}</definedName>
    <definedName name="dersdg_1_3" hidden="1">{#N/A,#N/A,FALSE,"Sheet1 (2)"}</definedName>
    <definedName name="dersdg_2" localSheetId="0" hidden="1">{#N/A,#N/A,FALSE,"Sheet1 (2)"}</definedName>
    <definedName name="dersdg_2" hidden="1">{#N/A,#N/A,FALSE,"Sheet1 (2)"}</definedName>
    <definedName name="dersdg_2_1" localSheetId="0" hidden="1">{#N/A,#N/A,FALSE,"Sheet1 (2)"}</definedName>
    <definedName name="dersdg_2_1" hidden="1">{#N/A,#N/A,FALSE,"Sheet1 (2)"}</definedName>
    <definedName name="dersdg_2_2" localSheetId="0" hidden="1">{#N/A,#N/A,FALSE,"Sheet1 (2)"}</definedName>
    <definedName name="dersdg_2_2" hidden="1">{#N/A,#N/A,FALSE,"Sheet1 (2)"}</definedName>
    <definedName name="dersdg_3" localSheetId="0" hidden="1">{#N/A,#N/A,FALSE,"Sheet1 (2)"}</definedName>
    <definedName name="dersdg_3" hidden="1">{#N/A,#N/A,FALSE,"Sheet1 (2)"}</definedName>
    <definedName name="dersdg_4" localSheetId="0" hidden="1">{#N/A,#N/A,FALSE,"Sheet1 (2)"}</definedName>
    <definedName name="dersdg_4" hidden="1">{#N/A,#N/A,FALSE,"Sheet1 (2)"}</definedName>
    <definedName name="DERWE" localSheetId="0" hidden="1">{#N/A,#N/A,FALSE,"Sheet1 (2)"}</definedName>
    <definedName name="DERWE" hidden="1">{#N/A,#N/A,FALSE,"Sheet1 (2)"}</definedName>
    <definedName name="derwr" localSheetId="0" hidden="1">{#N/A,#N/A,FALSE,"Sheet1 (2)"}</definedName>
    <definedName name="derwr" hidden="1">{#N/A,#N/A,FALSE,"Sheet1 (2)"}</definedName>
    <definedName name="derwr_1" localSheetId="0" hidden="1">{#N/A,#N/A,FALSE,"Sheet1 (2)"}</definedName>
    <definedName name="derwr_1" hidden="1">{#N/A,#N/A,FALSE,"Sheet1 (2)"}</definedName>
    <definedName name="derwr_1_1" localSheetId="0" hidden="1">{#N/A,#N/A,FALSE,"Sheet1 (2)"}</definedName>
    <definedName name="derwr_1_1" hidden="1">{#N/A,#N/A,FALSE,"Sheet1 (2)"}</definedName>
    <definedName name="derwr_1_2" localSheetId="0" hidden="1">{#N/A,#N/A,FALSE,"Sheet1 (2)"}</definedName>
    <definedName name="derwr_1_2" hidden="1">{#N/A,#N/A,FALSE,"Sheet1 (2)"}</definedName>
    <definedName name="derwr_1_3" localSheetId="0" hidden="1">{#N/A,#N/A,FALSE,"Sheet1 (2)"}</definedName>
    <definedName name="derwr_1_3" hidden="1">{#N/A,#N/A,FALSE,"Sheet1 (2)"}</definedName>
    <definedName name="derwr_2" localSheetId="0" hidden="1">{#N/A,#N/A,FALSE,"Sheet1 (2)"}</definedName>
    <definedName name="derwr_2" hidden="1">{#N/A,#N/A,FALSE,"Sheet1 (2)"}</definedName>
    <definedName name="derwr_2_1" localSheetId="0" hidden="1">{#N/A,#N/A,FALSE,"Sheet1 (2)"}</definedName>
    <definedName name="derwr_2_1" hidden="1">{#N/A,#N/A,FALSE,"Sheet1 (2)"}</definedName>
    <definedName name="derwr_2_2" localSheetId="0" hidden="1">{#N/A,#N/A,FALSE,"Sheet1 (2)"}</definedName>
    <definedName name="derwr_2_2" hidden="1">{#N/A,#N/A,FALSE,"Sheet1 (2)"}</definedName>
    <definedName name="derwr_3" localSheetId="0" hidden="1">{#N/A,#N/A,FALSE,"Sheet1 (2)"}</definedName>
    <definedName name="derwr_3" hidden="1">{#N/A,#N/A,FALSE,"Sheet1 (2)"}</definedName>
    <definedName name="derwr_4" localSheetId="0" hidden="1">{#N/A,#N/A,FALSE,"Sheet1 (2)"}</definedName>
    <definedName name="derwr_4" hidden="1">{#N/A,#N/A,FALSE,"Sheet1 (2)"}</definedName>
    <definedName name="des" localSheetId="0" hidden="1">{#N/A,#N/A,FALSE,"Sheet1 (2)"}</definedName>
    <definedName name="des" hidden="1">{#N/A,#N/A,FALSE,"Sheet1 (2)"}</definedName>
    <definedName name="des_1" localSheetId="0" hidden="1">{#N/A,#N/A,FALSE,"Sheet1 (2)"}</definedName>
    <definedName name="des_1" hidden="1">{#N/A,#N/A,FALSE,"Sheet1 (2)"}</definedName>
    <definedName name="des_1_1" localSheetId="0" hidden="1">{#N/A,#N/A,FALSE,"Sheet1 (2)"}</definedName>
    <definedName name="des_1_1" hidden="1">{#N/A,#N/A,FALSE,"Sheet1 (2)"}</definedName>
    <definedName name="des_1_2" localSheetId="0" hidden="1">{#N/A,#N/A,FALSE,"Sheet1 (2)"}</definedName>
    <definedName name="des_1_2" hidden="1">{#N/A,#N/A,FALSE,"Sheet1 (2)"}</definedName>
    <definedName name="des_1_3" localSheetId="0" hidden="1">{#N/A,#N/A,FALSE,"Sheet1 (2)"}</definedName>
    <definedName name="des_1_3" hidden="1">{#N/A,#N/A,FALSE,"Sheet1 (2)"}</definedName>
    <definedName name="des_2" localSheetId="0" hidden="1">{#N/A,#N/A,FALSE,"Sheet1 (2)"}</definedName>
    <definedName name="des_2" hidden="1">{#N/A,#N/A,FALSE,"Sheet1 (2)"}</definedName>
    <definedName name="des_2_1" localSheetId="0" hidden="1">{#N/A,#N/A,FALSE,"Sheet1 (2)"}</definedName>
    <definedName name="des_2_1" hidden="1">{#N/A,#N/A,FALSE,"Sheet1 (2)"}</definedName>
    <definedName name="des_2_2" localSheetId="0" hidden="1">{#N/A,#N/A,FALSE,"Sheet1 (2)"}</definedName>
    <definedName name="des_2_2" hidden="1">{#N/A,#N/A,FALSE,"Sheet1 (2)"}</definedName>
    <definedName name="des_3" localSheetId="0" hidden="1">{#N/A,#N/A,FALSE,"Sheet1 (2)"}</definedName>
    <definedName name="des_3" hidden="1">{#N/A,#N/A,FALSE,"Sheet1 (2)"}</definedName>
    <definedName name="des_4" localSheetId="0" hidden="1">{#N/A,#N/A,FALSE,"Sheet1 (2)"}</definedName>
    <definedName name="des_4" hidden="1">{#N/A,#N/A,FALSE,"Sheet1 (2)"}</definedName>
    <definedName name="DetailFormat">#REF!</definedName>
    <definedName name="dewafljkhfldfjbdajg" localSheetId="0" hidden="1">{"'Jan - March 2000'!$A$5:$J$46"}</definedName>
    <definedName name="dewafljkhfldfjbdajg" hidden="1">{"'Jan - March 2000'!$A$5:$J$46"}</definedName>
    <definedName name="df">#REF!</definedName>
    <definedName name="dfa" localSheetId="0" hidden="1">{#N/A,#N/A,FALSE,"Sheet1 (2)"}</definedName>
    <definedName name="dfa" hidden="1">{#N/A,#N/A,FALSE,"Sheet1 (2)"}</definedName>
    <definedName name="dfa_1" localSheetId="0" hidden="1">{#N/A,#N/A,FALSE,"Sheet1 (2)"}</definedName>
    <definedName name="dfa_1" hidden="1">{#N/A,#N/A,FALSE,"Sheet1 (2)"}</definedName>
    <definedName name="dfa_1_1" localSheetId="0" hidden="1">{#N/A,#N/A,FALSE,"Sheet1 (2)"}</definedName>
    <definedName name="dfa_1_1" hidden="1">{#N/A,#N/A,FALSE,"Sheet1 (2)"}</definedName>
    <definedName name="dfa_1_2" localSheetId="0" hidden="1">{#N/A,#N/A,FALSE,"Sheet1 (2)"}</definedName>
    <definedName name="dfa_1_2" hidden="1">{#N/A,#N/A,FALSE,"Sheet1 (2)"}</definedName>
    <definedName name="dfa_1_3" localSheetId="0" hidden="1">{#N/A,#N/A,FALSE,"Sheet1 (2)"}</definedName>
    <definedName name="dfa_1_3" hidden="1">{#N/A,#N/A,FALSE,"Sheet1 (2)"}</definedName>
    <definedName name="dfa_2" localSheetId="0" hidden="1">{#N/A,#N/A,FALSE,"Sheet1 (2)"}</definedName>
    <definedName name="dfa_2" hidden="1">{#N/A,#N/A,FALSE,"Sheet1 (2)"}</definedName>
    <definedName name="dfa_2_1" localSheetId="0" hidden="1">{#N/A,#N/A,FALSE,"Sheet1 (2)"}</definedName>
    <definedName name="dfa_2_1" hidden="1">{#N/A,#N/A,FALSE,"Sheet1 (2)"}</definedName>
    <definedName name="dfa_2_2" localSheetId="0" hidden="1">{#N/A,#N/A,FALSE,"Sheet1 (2)"}</definedName>
    <definedName name="dfa_2_2" hidden="1">{#N/A,#N/A,FALSE,"Sheet1 (2)"}</definedName>
    <definedName name="dfa_3" localSheetId="0" hidden="1">{#N/A,#N/A,FALSE,"Sheet1 (2)"}</definedName>
    <definedName name="dfa_3" hidden="1">{#N/A,#N/A,FALSE,"Sheet1 (2)"}</definedName>
    <definedName name="dfa_4" localSheetId="0" hidden="1">{#N/A,#N/A,FALSE,"Sheet1 (2)"}</definedName>
    <definedName name="dfa_4" hidden="1">{#N/A,#N/A,FALSE,"Sheet1 (2)"}</definedName>
    <definedName name="DFBGBGRBG" hidden="1">#REF!</definedName>
    <definedName name="dfd" localSheetId="0" hidden="1">{"'Jan - March 2000'!$A$5:$J$46"}</definedName>
    <definedName name="dfd" hidden="1">{"'Jan - March 2000'!$A$5:$J$46"}</definedName>
    <definedName name="dfdaf" localSheetId="0" hidden="1">{#N/A,#N/A,FALSE,"Sheet1 (2)"}</definedName>
    <definedName name="dfdaf" hidden="1">{#N/A,#N/A,FALSE,"Sheet1 (2)"}</definedName>
    <definedName name="dfdasf">#REF!</definedName>
    <definedName name="DFDF" localSheetId="0">'Haziran Gerçekleşen Plan'!DFDF</definedName>
    <definedName name="DFDF">[0]!DFDF</definedName>
    <definedName name="dfdfsfqsfdfwfw" localSheetId="0" hidden="1">{#N/A,#N/A,FALSE,"Sheet1 (2)"}</definedName>
    <definedName name="dfdfsfqsfdfwfw" hidden="1">{#N/A,#N/A,FALSE,"Sheet1 (2)"}</definedName>
    <definedName name="dfdfss" hidden="1">#REF!</definedName>
    <definedName name="dfdg" localSheetId="0" hidden="1">{#N/A,#N/A,FALSE,"Sheet1 (2)"}</definedName>
    <definedName name="dfdg" hidden="1">{#N/A,#N/A,FALSE,"Sheet1 (2)"}</definedName>
    <definedName name="dfdg_1" localSheetId="0" hidden="1">{#N/A,#N/A,FALSE,"Sheet1 (2)"}</definedName>
    <definedName name="dfdg_1" hidden="1">{#N/A,#N/A,FALSE,"Sheet1 (2)"}</definedName>
    <definedName name="dfdg_1_1" localSheetId="0" hidden="1">{#N/A,#N/A,FALSE,"Sheet1 (2)"}</definedName>
    <definedName name="dfdg_1_1" hidden="1">{#N/A,#N/A,FALSE,"Sheet1 (2)"}</definedName>
    <definedName name="dfdg_1_2" localSheetId="0" hidden="1">{#N/A,#N/A,FALSE,"Sheet1 (2)"}</definedName>
    <definedName name="dfdg_1_2" hidden="1">{#N/A,#N/A,FALSE,"Sheet1 (2)"}</definedName>
    <definedName name="dfdg_1_3" localSheetId="0" hidden="1">{#N/A,#N/A,FALSE,"Sheet1 (2)"}</definedName>
    <definedName name="dfdg_1_3" hidden="1">{#N/A,#N/A,FALSE,"Sheet1 (2)"}</definedName>
    <definedName name="dfdg_2" localSheetId="0" hidden="1">{#N/A,#N/A,FALSE,"Sheet1 (2)"}</definedName>
    <definedName name="dfdg_2" hidden="1">{#N/A,#N/A,FALSE,"Sheet1 (2)"}</definedName>
    <definedName name="dfdg_2_1" localSheetId="0" hidden="1">{#N/A,#N/A,FALSE,"Sheet1 (2)"}</definedName>
    <definedName name="dfdg_2_1" hidden="1">{#N/A,#N/A,FALSE,"Sheet1 (2)"}</definedName>
    <definedName name="dfdg_2_2" localSheetId="0" hidden="1">{#N/A,#N/A,FALSE,"Sheet1 (2)"}</definedName>
    <definedName name="dfdg_2_2" hidden="1">{#N/A,#N/A,FALSE,"Sheet1 (2)"}</definedName>
    <definedName name="dfdg_3" localSheetId="0" hidden="1">{#N/A,#N/A,FALSE,"Sheet1 (2)"}</definedName>
    <definedName name="dfdg_3" hidden="1">{#N/A,#N/A,FALSE,"Sheet1 (2)"}</definedName>
    <definedName name="dfdg_4" localSheetId="0" hidden="1">{#N/A,#N/A,FALSE,"Sheet1 (2)"}</definedName>
    <definedName name="dfdg_4" hidden="1">{#N/A,#N/A,FALSE,"Sheet1 (2)"}</definedName>
    <definedName name="dfdsadfsa">#REF!</definedName>
    <definedName name="dfe" hidden="1">#REF!</definedName>
    <definedName name="dff" hidden="1">#REF!</definedName>
    <definedName name="dffdf">#REF!</definedName>
    <definedName name="DFFFF">'[72]tv spot list'!$D$13:$D$2993</definedName>
    <definedName name="dffffg" localSheetId="0" hidden="1">{"'Jan - March 2000'!$A$5:$J$46"}</definedName>
    <definedName name="dffffg" hidden="1">{"'Jan - March 2000'!$A$5:$J$46"}</definedName>
    <definedName name="dfffgfdg" localSheetId="0" hidden="1">{"'Jan - March 2000'!$A$5:$J$46"}</definedName>
    <definedName name="dfffgfdg" hidden="1">{"'Jan - March 2000'!$A$5:$J$46"}</definedName>
    <definedName name="dffgsfg" hidden="1">#REF!</definedName>
    <definedName name="DFG">#REF!</definedName>
    <definedName name="dfgdf" localSheetId="0" hidden="1">{"'Jan - March 2000'!$A$5:$J$46"}</definedName>
    <definedName name="dfgdf" hidden="1">{"'Jan - March 2000'!$A$5:$J$46"}</definedName>
    <definedName name="dfgf" hidden="1">#REF!</definedName>
    <definedName name="dfgfgtyy" localSheetId="0" hidden="1">{#N/A,#N/A,FALSE,"Sheet1 (2)"}</definedName>
    <definedName name="dfgfgtyy" hidden="1">{#N/A,#N/A,FALSE,"Sheet1 (2)"}</definedName>
    <definedName name="dfgfgtyy_1" localSheetId="0" hidden="1">{#N/A,#N/A,FALSE,"Sheet1 (2)"}</definedName>
    <definedName name="dfgfgtyy_1" hidden="1">{#N/A,#N/A,FALSE,"Sheet1 (2)"}</definedName>
    <definedName name="dfgfgtyy_1_1" localSheetId="0" hidden="1">{#N/A,#N/A,FALSE,"Sheet1 (2)"}</definedName>
    <definedName name="dfgfgtyy_1_1" hidden="1">{#N/A,#N/A,FALSE,"Sheet1 (2)"}</definedName>
    <definedName name="dfgfgtyy_1_2" localSheetId="0" hidden="1">{#N/A,#N/A,FALSE,"Sheet1 (2)"}</definedName>
    <definedName name="dfgfgtyy_1_2" hidden="1">{#N/A,#N/A,FALSE,"Sheet1 (2)"}</definedName>
    <definedName name="dfgfgtyy_1_3" localSheetId="0" hidden="1">{#N/A,#N/A,FALSE,"Sheet1 (2)"}</definedName>
    <definedName name="dfgfgtyy_1_3" hidden="1">{#N/A,#N/A,FALSE,"Sheet1 (2)"}</definedName>
    <definedName name="dfgfgtyy_2" localSheetId="0" hidden="1">{#N/A,#N/A,FALSE,"Sheet1 (2)"}</definedName>
    <definedName name="dfgfgtyy_2" hidden="1">{#N/A,#N/A,FALSE,"Sheet1 (2)"}</definedName>
    <definedName name="dfgfgtyy_2_1" localSheetId="0" hidden="1">{#N/A,#N/A,FALSE,"Sheet1 (2)"}</definedName>
    <definedName name="dfgfgtyy_2_1" hidden="1">{#N/A,#N/A,FALSE,"Sheet1 (2)"}</definedName>
    <definedName name="dfgfgtyy_2_2" localSheetId="0" hidden="1">{#N/A,#N/A,FALSE,"Sheet1 (2)"}</definedName>
    <definedName name="dfgfgtyy_2_2" hidden="1">{#N/A,#N/A,FALSE,"Sheet1 (2)"}</definedName>
    <definedName name="dfgfgtyy_3" localSheetId="0" hidden="1">{#N/A,#N/A,FALSE,"Sheet1 (2)"}</definedName>
    <definedName name="dfgfgtyy_3" hidden="1">{#N/A,#N/A,FALSE,"Sheet1 (2)"}</definedName>
    <definedName name="dfgfgtyy_4" localSheetId="0" hidden="1">{#N/A,#N/A,FALSE,"Sheet1 (2)"}</definedName>
    <definedName name="dfgfgtyy_4" hidden="1">{#N/A,#N/A,FALSE,"Sheet1 (2)"}</definedName>
    <definedName name="dfgftr" localSheetId="0" hidden="1">{#N/A,#N/A,FALSE,"Sheet1 (2)"}</definedName>
    <definedName name="dfgftr" hidden="1">{#N/A,#N/A,FALSE,"Sheet1 (2)"}</definedName>
    <definedName name="dfgftr_1" localSheetId="0" hidden="1">{#N/A,#N/A,FALSE,"Sheet1 (2)"}</definedName>
    <definedName name="dfgftr_1" hidden="1">{#N/A,#N/A,FALSE,"Sheet1 (2)"}</definedName>
    <definedName name="dfgftr_1_1" localSheetId="0" hidden="1">{#N/A,#N/A,FALSE,"Sheet1 (2)"}</definedName>
    <definedName name="dfgftr_1_1" hidden="1">{#N/A,#N/A,FALSE,"Sheet1 (2)"}</definedName>
    <definedName name="dfgftr_1_2" localSheetId="0" hidden="1">{#N/A,#N/A,FALSE,"Sheet1 (2)"}</definedName>
    <definedName name="dfgftr_1_2" hidden="1">{#N/A,#N/A,FALSE,"Sheet1 (2)"}</definedName>
    <definedName name="dfgftr_1_3" localSheetId="0" hidden="1">{#N/A,#N/A,FALSE,"Sheet1 (2)"}</definedName>
    <definedName name="dfgftr_1_3" hidden="1">{#N/A,#N/A,FALSE,"Sheet1 (2)"}</definedName>
    <definedName name="dfgftr_2" localSheetId="0" hidden="1">{#N/A,#N/A,FALSE,"Sheet1 (2)"}</definedName>
    <definedName name="dfgftr_2" hidden="1">{#N/A,#N/A,FALSE,"Sheet1 (2)"}</definedName>
    <definedName name="dfgftr_2_1" localSheetId="0" hidden="1">{#N/A,#N/A,FALSE,"Sheet1 (2)"}</definedName>
    <definedName name="dfgftr_2_1" hidden="1">{#N/A,#N/A,FALSE,"Sheet1 (2)"}</definedName>
    <definedName name="dfgftr_2_2" localSheetId="0" hidden="1">{#N/A,#N/A,FALSE,"Sheet1 (2)"}</definedName>
    <definedName name="dfgftr_2_2" hidden="1">{#N/A,#N/A,FALSE,"Sheet1 (2)"}</definedName>
    <definedName name="dfgftr_3" localSheetId="0" hidden="1">{#N/A,#N/A,FALSE,"Sheet1 (2)"}</definedName>
    <definedName name="dfgftr_3" hidden="1">{#N/A,#N/A,FALSE,"Sheet1 (2)"}</definedName>
    <definedName name="dfgftr_4" localSheetId="0" hidden="1">{#N/A,#N/A,FALSE,"Sheet1 (2)"}</definedName>
    <definedName name="dfgftr_4" hidden="1">{#N/A,#N/A,FALSE,"Sheet1 (2)"}</definedName>
    <definedName name="dfggg" localSheetId="0" hidden="1">{#N/A,#N/A,FALSE,"Sheet1 (2)"}</definedName>
    <definedName name="dfggg" hidden="1">{#N/A,#N/A,FALSE,"Sheet1 (2)"}</definedName>
    <definedName name="dfggg_1" localSheetId="0" hidden="1">{#N/A,#N/A,FALSE,"Sheet1 (2)"}</definedName>
    <definedName name="dfggg_1" hidden="1">{#N/A,#N/A,FALSE,"Sheet1 (2)"}</definedName>
    <definedName name="dfggg_1_1" localSheetId="0" hidden="1">{#N/A,#N/A,FALSE,"Sheet1 (2)"}</definedName>
    <definedName name="dfggg_1_1" hidden="1">{#N/A,#N/A,FALSE,"Sheet1 (2)"}</definedName>
    <definedName name="dfggg_1_2" localSheetId="0" hidden="1">{#N/A,#N/A,FALSE,"Sheet1 (2)"}</definedName>
    <definedName name="dfggg_1_2" hidden="1">{#N/A,#N/A,FALSE,"Sheet1 (2)"}</definedName>
    <definedName name="dfggg_1_3" localSheetId="0" hidden="1">{#N/A,#N/A,FALSE,"Sheet1 (2)"}</definedName>
    <definedName name="dfggg_1_3" hidden="1">{#N/A,#N/A,FALSE,"Sheet1 (2)"}</definedName>
    <definedName name="dfggg_2" localSheetId="0" hidden="1">{#N/A,#N/A,FALSE,"Sheet1 (2)"}</definedName>
    <definedName name="dfggg_2" hidden="1">{#N/A,#N/A,FALSE,"Sheet1 (2)"}</definedName>
    <definedName name="dfggg_2_1" localSheetId="0" hidden="1">{#N/A,#N/A,FALSE,"Sheet1 (2)"}</definedName>
    <definedName name="dfggg_2_1" hidden="1">{#N/A,#N/A,FALSE,"Sheet1 (2)"}</definedName>
    <definedName name="dfggg_2_2" localSheetId="0" hidden="1">{#N/A,#N/A,FALSE,"Sheet1 (2)"}</definedName>
    <definedName name="dfggg_2_2" hidden="1">{#N/A,#N/A,FALSE,"Sheet1 (2)"}</definedName>
    <definedName name="dfggg_3" localSheetId="0" hidden="1">{#N/A,#N/A,FALSE,"Sheet1 (2)"}</definedName>
    <definedName name="dfggg_3" hidden="1">{#N/A,#N/A,FALSE,"Sheet1 (2)"}</definedName>
    <definedName name="dfggg_4" localSheetId="0" hidden="1">{#N/A,#N/A,FALSE,"Sheet1 (2)"}</definedName>
    <definedName name="dfggg_4" hidden="1">{#N/A,#N/A,FALSE,"Sheet1 (2)"}</definedName>
    <definedName name="dfggh" localSheetId="0" hidden="1">{#N/A,#N/A,FALSE,"Sheet1 (2)"}</definedName>
    <definedName name="dfggh" hidden="1">{#N/A,#N/A,FALSE,"Sheet1 (2)"}</definedName>
    <definedName name="dfggh_1" localSheetId="0" hidden="1">{#N/A,#N/A,FALSE,"Sheet1 (2)"}</definedName>
    <definedName name="dfggh_1" hidden="1">{#N/A,#N/A,FALSE,"Sheet1 (2)"}</definedName>
    <definedName name="dfggh_1_1" localSheetId="0" hidden="1">{#N/A,#N/A,FALSE,"Sheet1 (2)"}</definedName>
    <definedName name="dfggh_1_1" hidden="1">{#N/A,#N/A,FALSE,"Sheet1 (2)"}</definedName>
    <definedName name="dfggh_1_2" localSheetId="0" hidden="1">{#N/A,#N/A,FALSE,"Sheet1 (2)"}</definedName>
    <definedName name="dfggh_1_2" hidden="1">{#N/A,#N/A,FALSE,"Sheet1 (2)"}</definedName>
    <definedName name="dfggh_1_3" localSheetId="0" hidden="1">{#N/A,#N/A,FALSE,"Sheet1 (2)"}</definedName>
    <definedName name="dfggh_1_3" hidden="1">{#N/A,#N/A,FALSE,"Sheet1 (2)"}</definedName>
    <definedName name="dfggh_2" localSheetId="0" hidden="1">{#N/A,#N/A,FALSE,"Sheet1 (2)"}</definedName>
    <definedName name="dfggh_2" hidden="1">{#N/A,#N/A,FALSE,"Sheet1 (2)"}</definedName>
    <definedName name="dfggh_2_1" localSheetId="0" hidden="1">{#N/A,#N/A,FALSE,"Sheet1 (2)"}</definedName>
    <definedName name="dfggh_2_1" hidden="1">{#N/A,#N/A,FALSE,"Sheet1 (2)"}</definedName>
    <definedName name="dfggh_2_2" localSheetId="0" hidden="1">{#N/A,#N/A,FALSE,"Sheet1 (2)"}</definedName>
    <definedName name="dfggh_2_2" hidden="1">{#N/A,#N/A,FALSE,"Sheet1 (2)"}</definedName>
    <definedName name="dfggh_3" localSheetId="0" hidden="1">{#N/A,#N/A,FALSE,"Sheet1 (2)"}</definedName>
    <definedName name="dfggh_3" hidden="1">{#N/A,#N/A,FALSE,"Sheet1 (2)"}</definedName>
    <definedName name="dfggh_4" localSheetId="0" hidden="1">{#N/A,#N/A,FALSE,"Sheet1 (2)"}</definedName>
    <definedName name="dfggh_4" hidden="1">{#N/A,#N/A,FALSE,"Sheet1 (2)"}</definedName>
    <definedName name="dfghdfgh" localSheetId="0">{"BRAND",0,"Auto","Auto","";"CTY",0,"Auto","Auto",""}</definedName>
    <definedName name="dfghdfgh">{"BRAND",0,"Auto","Auto","";"CTY",0,"Auto","Auto",""}</definedName>
    <definedName name="DFGHDFGH2" localSheetId="0">{"BRAND",0,"Auto","Auto","";"CTY",0,"Auto","Auto",""}</definedName>
    <definedName name="DFGHDFGH2">{"BRAND",0,"Auto","Auto","";"CTY",0,"Auto","Auto",""}</definedName>
    <definedName name="dfgjhfgjh" localSheetId="0">{"VOLUME","SUM(VOLUME)","YNNNN",FALSE}</definedName>
    <definedName name="dfgjhfgjh">{"VOLUME","SUM(VOLUME)","YNNNN",FALSE}</definedName>
    <definedName name="DFGJHFGJH2" localSheetId="0">{"VOLUME","SUM(VOLUME)","YNNNN",FALSE}</definedName>
    <definedName name="DFGJHFGJH2">{"VOLUME","SUM(VOLUME)","YNNNN",FALSE}</definedName>
    <definedName name="dfgsdfgsdf" localSheetId="0">{"YR",0,"Auto","Auto",""}</definedName>
    <definedName name="dfgsdfgsdf">{"YR",0,"Auto","Auto",""}</definedName>
    <definedName name="DFGSDFGSDF2" localSheetId="0">{"YR",0,"Auto","Auto",""}</definedName>
    <definedName name="DFGSDFGSDF2">{"YR",0,"Auto","Auto",""}</definedName>
    <definedName name="dfhf" hidden="1">#REF!</definedName>
    <definedName name="dfhggh" localSheetId="0" hidden="1">{#N/A,#N/A,FALSE,"Sheet1 (2)"}</definedName>
    <definedName name="dfhggh" hidden="1">{#N/A,#N/A,FALSE,"Sheet1 (2)"}</definedName>
    <definedName name="dfhggh_1" localSheetId="0" hidden="1">{#N/A,#N/A,FALSE,"Sheet1 (2)"}</definedName>
    <definedName name="dfhggh_1" hidden="1">{#N/A,#N/A,FALSE,"Sheet1 (2)"}</definedName>
    <definedName name="dfhggh_1_1" localSheetId="0" hidden="1">{#N/A,#N/A,FALSE,"Sheet1 (2)"}</definedName>
    <definedName name="dfhggh_1_1" hidden="1">{#N/A,#N/A,FALSE,"Sheet1 (2)"}</definedName>
    <definedName name="dfhggh_1_2" localSheetId="0" hidden="1">{#N/A,#N/A,FALSE,"Sheet1 (2)"}</definedName>
    <definedName name="dfhggh_1_2" hidden="1">{#N/A,#N/A,FALSE,"Sheet1 (2)"}</definedName>
    <definedName name="dfhggh_1_3" localSheetId="0" hidden="1">{#N/A,#N/A,FALSE,"Sheet1 (2)"}</definedName>
    <definedName name="dfhggh_1_3" hidden="1">{#N/A,#N/A,FALSE,"Sheet1 (2)"}</definedName>
    <definedName name="dfhggh_2" localSheetId="0" hidden="1">{#N/A,#N/A,FALSE,"Sheet1 (2)"}</definedName>
    <definedName name="dfhggh_2" hidden="1">{#N/A,#N/A,FALSE,"Sheet1 (2)"}</definedName>
    <definedName name="dfhggh_2_1" localSheetId="0" hidden="1">{#N/A,#N/A,FALSE,"Sheet1 (2)"}</definedName>
    <definedName name="dfhggh_2_1" hidden="1">{#N/A,#N/A,FALSE,"Sheet1 (2)"}</definedName>
    <definedName name="dfhggh_2_2" localSheetId="0" hidden="1">{#N/A,#N/A,FALSE,"Sheet1 (2)"}</definedName>
    <definedName name="dfhggh_2_2" hidden="1">{#N/A,#N/A,FALSE,"Sheet1 (2)"}</definedName>
    <definedName name="dfhggh_3" localSheetId="0" hidden="1">{#N/A,#N/A,FALSE,"Sheet1 (2)"}</definedName>
    <definedName name="dfhggh_3" hidden="1">{#N/A,#N/A,FALSE,"Sheet1 (2)"}</definedName>
    <definedName name="dfhggh_4" localSheetId="0" hidden="1">{#N/A,#N/A,FALSE,"Sheet1 (2)"}</definedName>
    <definedName name="dfhggh_4" hidden="1">{#N/A,#N/A,FALSE,"Sheet1 (2)"}</definedName>
    <definedName name="dfhrt66" localSheetId="0" hidden="1">{#N/A,#N/A,FALSE,"Sheet1 (2)"}</definedName>
    <definedName name="dfhrt66" hidden="1">{#N/A,#N/A,FALSE,"Sheet1 (2)"}</definedName>
    <definedName name="dfr" localSheetId="0">'Haziran Gerçekleşen Plan'!dfr</definedName>
    <definedName name="dfr">[0]!dfr</definedName>
    <definedName name="dfs">#REF!</definedName>
    <definedName name="dfsd">#REF!</definedName>
    <definedName name="dfsdasdf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fsdas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fsdf" localSheetId="0" hidden="1">{#N/A,#N/A,FALSE,"Sheet1 (2)"}</definedName>
    <definedName name="dfsdf" hidden="1">{#N/A,#N/A,FALSE,"Sheet1 (2)"}</definedName>
    <definedName name="dfsdf_1" localSheetId="0" hidden="1">{#N/A,#N/A,FALSE,"Sheet1 (2)"}</definedName>
    <definedName name="dfsdf_1" hidden="1">{#N/A,#N/A,FALSE,"Sheet1 (2)"}</definedName>
    <definedName name="dfsdf_1_1" localSheetId="0" hidden="1">{#N/A,#N/A,FALSE,"Sheet1 (2)"}</definedName>
    <definedName name="dfsdf_1_1" hidden="1">{#N/A,#N/A,FALSE,"Sheet1 (2)"}</definedName>
    <definedName name="dfsdf_1_2" localSheetId="0" hidden="1">{#N/A,#N/A,FALSE,"Sheet1 (2)"}</definedName>
    <definedName name="dfsdf_1_2" hidden="1">{#N/A,#N/A,FALSE,"Sheet1 (2)"}</definedName>
    <definedName name="dfsdf_1_3" localSheetId="0" hidden="1">{#N/A,#N/A,FALSE,"Sheet1 (2)"}</definedName>
    <definedName name="dfsdf_1_3" hidden="1">{#N/A,#N/A,FALSE,"Sheet1 (2)"}</definedName>
    <definedName name="dfsdf_2" localSheetId="0" hidden="1">{#N/A,#N/A,FALSE,"Sheet1 (2)"}</definedName>
    <definedName name="dfsdf_2" hidden="1">{#N/A,#N/A,FALSE,"Sheet1 (2)"}</definedName>
    <definedName name="dfsdf_2_1" localSheetId="0" hidden="1">{#N/A,#N/A,FALSE,"Sheet1 (2)"}</definedName>
    <definedName name="dfsdf_2_1" hidden="1">{#N/A,#N/A,FALSE,"Sheet1 (2)"}</definedName>
    <definedName name="dfsdf_2_2" localSheetId="0" hidden="1">{#N/A,#N/A,FALSE,"Sheet1 (2)"}</definedName>
    <definedName name="dfsdf_2_2" hidden="1">{#N/A,#N/A,FALSE,"Sheet1 (2)"}</definedName>
    <definedName name="dfsdf_3" localSheetId="0" hidden="1">{#N/A,#N/A,FALSE,"Sheet1 (2)"}</definedName>
    <definedName name="dfsdf_3" hidden="1">{#N/A,#N/A,FALSE,"Sheet1 (2)"}</definedName>
    <definedName name="dfsdf_4" localSheetId="0" hidden="1">{#N/A,#N/A,FALSE,"Sheet1 (2)"}</definedName>
    <definedName name="dfsdf_4" hidden="1">{#N/A,#N/A,FALSE,"Sheet1 (2)"}</definedName>
    <definedName name="dfsdfdf">#REF!</definedName>
    <definedName name="DFSDFSSD" localSheetId="0" hidden="1">{"'Jan - March 2000'!$A$5:$J$46"}</definedName>
    <definedName name="DFSDFSSD" hidden="1">{"'Jan - March 2000'!$A$5:$J$46"}</definedName>
    <definedName name="DFSSFSDSS" localSheetId="0" hidden="1">{#N/A,#N/A,FALSE,"Sheet1 (2)"}</definedName>
    <definedName name="DFSSFSDSS" hidden="1">{#N/A,#N/A,FALSE,"Sheet1 (2)"}</definedName>
    <definedName name="DFSSFSDSS_1" localSheetId="0" hidden="1">{#N/A,#N/A,FALSE,"Sheet1 (2)"}</definedName>
    <definedName name="DFSSFSDSS_1" hidden="1">{#N/A,#N/A,FALSE,"Sheet1 (2)"}</definedName>
    <definedName name="DFSSFSDSS_1_1" localSheetId="0" hidden="1">{#N/A,#N/A,FALSE,"Sheet1 (2)"}</definedName>
    <definedName name="DFSSFSDSS_1_1" hidden="1">{#N/A,#N/A,FALSE,"Sheet1 (2)"}</definedName>
    <definedName name="DFSSFSDSS_1_2" localSheetId="0" hidden="1">{#N/A,#N/A,FALSE,"Sheet1 (2)"}</definedName>
    <definedName name="DFSSFSDSS_1_2" hidden="1">{#N/A,#N/A,FALSE,"Sheet1 (2)"}</definedName>
    <definedName name="DFSSFSDSS_1_3" localSheetId="0" hidden="1">{#N/A,#N/A,FALSE,"Sheet1 (2)"}</definedName>
    <definedName name="DFSSFSDSS_1_3" hidden="1">{#N/A,#N/A,FALSE,"Sheet1 (2)"}</definedName>
    <definedName name="DFSSFSDSS_2" localSheetId="0" hidden="1">{#N/A,#N/A,FALSE,"Sheet1 (2)"}</definedName>
    <definedName name="DFSSFSDSS_2" hidden="1">{#N/A,#N/A,FALSE,"Sheet1 (2)"}</definedName>
    <definedName name="DFSSFSDSS_2_1" localSheetId="0" hidden="1">{#N/A,#N/A,FALSE,"Sheet1 (2)"}</definedName>
    <definedName name="DFSSFSDSS_2_1" hidden="1">{#N/A,#N/A,FALSE,"Sheet1 (2)"}</definedName>
    <definedName name="DFSSFSDSS_2_2" localSheetId="0" hidden="1">{#N/A,#N/A,FALSE,"Sheet1 (2)"}</definedName>
    <definedName name="DFSSFSDSS_2_2" hidden="1">{#N/A,#N/A,FALSE,"Sheet1 (2)"}</definedName>
    <definedName name="DFSSFSDSS_3" localSheetId="0" hidden="1">{#N/A,#N/A,FALSE,"Sheet1 (2)"}</definedName>
    <definedName name="DFSSFSDSS_3" hidden="1">{#N/A,#N/A,FALSE,"Sheet1 (2)"}</definedName>
    <definedName name="DFSSFSDSS_4" localSheetId="0" hidden="1">{#N/A,#N/A,FALSE,"Sheet1 (2)"}</definedName>
    <definedName name="DFSSFSDSS_4" hidden="1">{#N/A,#N/A,FALSE,"Sheet1 (2)"}</definedName>
    <definedName name="dftertyeyh" localSheetId="0" hidden="1">{#N/A,#N/A,FALSE,"Sheet1 (2)"}</definedName>
    <definedName name="dftertyeyh" hidden="1">{#N/A,#N/A,FALSE,"Sheet1 (2)"}</definedName>
    <definedName name="dftertyeyh_1" localSheetId="0" hidden="1">{#N/A,#N/A,FALSE,"Sheet1 (2)"}</definedName>
    <definedName name="dftertyeyh_1" hidden="1">{#N/A,#N/A,FALSE,"Sheet1 (2)"}</definedName>
    <definedName name="dftertyeyh_1_1" localSheetId="0" hidden="1">{#N/A,#N/A,FALSE,"Sheet1 (2)"}</definedName>
    <definedName name="dftertyeyh_1_1" hidden="1">{#N/A,#N/A,FALSE,"Sheet1 (2)"}</definedName>
    <definedName name="dftertyeyh_1_2" localSheetId="0" hidden="1">{#N/A,#N/A,FALSE,"Sheet1 (2)"}</definedName>
    <definedName name="dftertyeyh_1_2" hidden="1">{#N/A,#N/A,FALSE,"Sheet1 (2)"}</definedName>
    <definedName name="dftertyeyh_1_3" localSheetId="0" hidden="1">{#N/A,#N/A,FALSE,"Sheet1 (2)"}</definedName>
    <definedName name="dftertyeyh_1_3" hidden="1">{#N/A,#N/A,FALSE,"Sheet1 (2)"}</definedName>
    <definedName name="dftertyeyh_2" localSheetId="0" hidden="1">{#N/A,#N/A,FALSE,"Sheet1 (2)"}</definedName>
    <definedName name="dftertyeyh_2" hidden="1">{#N/A,#N/A,FALSE,"Sheet1 (2)"}</definedName>
    <definedName name="dftertyeyh_2_1" localSheetId="0" hidden="1">{#N/A,#N/A,FALSE,"Sheet1 (2)"}</definedName>
    <definedName name="dftertyeyh_2_1" hidden="1">{#N/A,#N/A,FALSE,"Sheet1 (2)"}</definedName>
    <definedName name="dftertyeyh_2_2" localSheetId="0" hidden="1">{#N/A,#N/A,FALSE,"Sheet1 (2)"}</definedName>
    <definedName name="dftertyeyh_2_2" hidden="1">{#N/A,#N/A,FALSE,"Sheet1 (2)"}</definedName>
    <definedName name="dftertyeyh_3" localSheetId="0" hidden="1">{#N/A,#N/A,FALSE,"Sheet1 (2)"}</definedName>
    <definedName name="dftertyeyh_3" hidden="1">{#N/A,#N/A,FALSE,"Sheet1 (2)"}</definedName>
    <definedName name="dftertyeyh_4" localSheetId="0" hidden="1">{#N/A,#N/A,FALSE,"Sheet1 (2)"}</definedName>
    <definedName name="dftertyeyh_4" hidden="1">{#N/A,#N/A,FALSE,"Sheet1 (2)"}</definedName>
    <definedName name="dfvçf" localSheetId="0" hidden="1">{#N/A,#N/A,FALSE,"Sheet1 (2)"}</definedName>
    <definedName name="dfvçf" hidden="1">{#N/A,#N/A,FALSE,"Sheet1 (2)"}</definedName>
    <definedName name="dfvçf_1" localSheetId="0" hidden="1">{#N/A,#N/A,FALSE,"Sheet1 (2)"}</definedName>
    <definedName name="dfvçf_1" hidden="1">{#N/A,#N/A,FALSE,"Sheet1 (2)"}</definedName>
    <definedName name="dfvçf_1_1" localSheetId="0" hidden="1">{#N/A,#N/A,FALSE,"Sheet1 (2)"}</definedName>
    <definedName name="dfvçf_1_1" hidden="1">{#N/A,#N/A,FALSE,"Sheet1 (2)"}</definedName>
    <definedName name="dfvçf_1_2" localSheetId="0" hidden="1">{#N/A,#N/A,FALSE,"Sheet1 (2)"}</definedName>
    <definedName name="dfvçf_1_2" hidden="1">{#N/A,#N/A,FALSE,"Sheet1 (2)"}</definedName>
    <definedName name="dfvçf_1_3" localSheetId="0" hidden="1">{#N/A,#N/A,FALSE,"Sheet1 (2)"}</definedName>
    <definedName name="dfvçf_1_3" hidden="1">{#N/A,#N/A,FALSE,"Sheet1 (2)"}</definedName>
    <definedName name="dfvçf_2" localSheetId="0" hidden="1">{#N/A,#N/A,FALSE,"Sheet1 (2)"}</definedName>
    <definedName name="dfvçf_2" hidden="1">{#N/A,#N/A,FALSE,"Sheet1 (2)"}</definedName>
    <definedName name="dfvçf_2_1" localSheetId="0" hidden="1">{#N/A,#N/A,FALSE,"Sheet1 (2)"}</definedName>
    <definedName name="dfvçf_2_1" hidden="1">{#N/A,#N/A,FALSE,"Sheet1 (2)"}</definedName>
    <definedName name="dfvçf_2_2" localSheetId="0" hidden="1">{#N/A,#N/A,FALSE,"Sheet1 (2)"}</definedName>
    <definedName name="dfvçf_2_2" hidden="1">{#N/A,#N/A,FALSE,"Sheet1 (2)"}</definedName>
    <definedName name="dfvçf_3" localSheetId="0" hidden="1">{#N/A,#N/A,FALSE,"Sheet1 (2)"}</definedName>
    <definedName name="dfvçf_3" hidden="1">{#N/A,#N/A,FALSE,"Sheet1 (2)"}</definedName>
    <definedName name="dfvçf_4" localSheetId="0" hidden="1">{#N/A,#N/A,FALSE,"Sheet1 (2)"}</definedName>
    <definedName name="dfvçf_4" hidden="1">{#N/A,#N/A,FALSE,"Sheet1 (2)"}</definedName>
    <definedName name="dfwaef" localSheetId="0" hidden="1">{#N/A,#N/A,FALSE,"Sheet1 (2)"}</definedName>
    <definedName name="dfwaef" hidden="1">{#N/A,#N/A,FALSE,"Sheet1 (2)"}</definedName>
    <definedName name="dfwaef_1" localSheetId="0" hidden="1">{#N/A,#N/A,FALSE,"Sheet1 (2)"}</definedName>
    <definedName name="dfwaef_1" hidden="1">{#N/A,#N/A,FALSE,"Sheet1 (2)"}</definedName>
    <definedName name="dfwaef_1_1" localSheetId="0" hidden="1">{#N/A,#N/A,FALSE,"Sheet1 (2)"}</definedName>
    <definedName name="dfwaef_1_1" hidden="1">{#N/A,#N/A,FALSE,"Sheet1 (2)"}</definedName>
    <definedName name="dfwaef_1_2" localSheetId="0" hidden="1">{#N/A,#N/A,FALSE,"Sheet1 (2)"}</definedName>
    <definedName name="dfwaef_1_2" hidden="1">{#N/A,#N/A,FALSE,"Sheet1 (2)"}</definedName>
    <definedName name="dfwaef_1_3" localSheetId="0" hidden="1">{#N/A,#N/A,FALSE,"Sheet1 (2)"}</definedName>
    <definedName name="dfwaef_1_3" hidden="1">{#N/A,#N/A,FALSE,"Sheet1 (2)"}</definedName>
    <definedName name="dfwaef_2" localSheetId="0" hidden="1">{#N/A,#N/A,FALSE,"Sheet1 (2)"}</definedName>
    <definedName name="dfwaef_2" hidden="1">{#N/A,#N/A,FALSE,"Sheet1 (2)"}</definedName>
    <definedName name="dfwaef_2_1" localSheetId="0" hidden="1">{#N/A,#N/A,FALSE,"Sheet1 (2)"}</definedName>
    <definedName name="dfwaef_2_1" hidden="1">{#N/A,#N/A,FALSE,"Sheet1 (2)"}</definedName>
    <definedName name="dfwaef_2_2" localSheetId="0" hidden="1">{#N/A,#N/A,FALSE,"Sheet1 (2)"}</definedName>
    <definedName name="dfwaef_2_2" hidden="1">{#N/A,#N/A,FALSE,"Sheet1 (2)"}</definedName>
    <definedName name="dfwaef_3" localSheetId="0" hidden="1">{#N/A,#N/A,FALSE,"Sheet1 (2)"}</definedName>
    <definedName name="dfwaef_3" hidden="1">{#N/A,#N/A,FALSE,"Sheet1 (2)"}</definedName>
    <definedName name="dfwaef_4" localSheetId="0" hidden="1">{#N/A,#N/A,FALSE,"Sheet1 (2)"}</definedName>
    <definedName name="dfwaef_4" hidden="1">{#N/A,#N/A,FALSE,"Sheet1 (2)"}</definedName>
    <definedName name="dgd" localSheetId="0" hidden="1">{"'Jan - March 2000'!$A$5:$J$46"}</definedName>
    <definedName name="dgd" hidden="1">{"'Jan - March 2000'!$A$5:$J$46"}</definedName>
    <definedName name="DGDA" localSheetId="0" hidden="1">{#N/A,#N/A,FALSE,"Sheet1 (2)"}</definedName>
    <definedName name="DGDA" hidden="1">{#N/A,#N/A,FALSE,"Sheet1 (2)"}</definedName>
    <definedName name="dgdjjjjjjjjjjjjjjjj" localSheetId="0" hidden="1">{"'Jan - March 2000'!$A$5:$J$46"}</definedName>
    <definedName name="dgdjjjjjjjjjjjjjjjj" hidden="1">{"'Jan - March 2000'!$A$5:$J$46"}</definedName>
    <definedName name="dggdf" localSheetId="0" hidden="1">{#N/A,#N/A,FALSE,"Sheet1 (2)"}</definedName>
    <definedName name="dggdf" hidden="1">{#N/A,#N/A,FALSE,"Sheet1 (2)"}</definedName>
    <definedName name="dgh" localSheetId="0" hidden="1">{#N/A,#N/A,FALSE,"Sheet1 (2)"}</definedName>
    <definedName name="dgh" hidden="1">{#N/A,#N/A,FALSE,"Sheet1 (2)"}</definedName>
    <definedName name="dgh_1" localSheetId="0" hidden="1">{#N/A,#N/A,FALSE,"Sheet1 (2)"}</definedName>
    <definedName name="dgh_1" hidden="1">{#N/A,#N/A,FALSE,"Sheet1 (2)"}</definedName>
    <definedName name="dgh_1_1" localSheetId="0" hidden="1">{#N/A,#N/A,FALSE,"Sheet1 (2)"}</definedName>
    <definedName name="dgh_1_1" hidden="1">{#N/A,#N/A,FALSE,"Sheet1 (2)"}</definedName>
    <definedName name="dgh_1_2" localSheetId="0" hidden="1">{#N/A,#N/A,FALSE,"Sheet1 (2)"}</definedName>
    <definedName name="dgh_1_2" hidden="1">{#N/A,#N/A,FALSE,"Sheet1 (2)"}</definedName>
    <definedName name="dgh_1_3" localSheetId="0" hidden="1">{#N/A,#N/A,FALSE,"Sheet1 (2)"}</definedName>
    <definedName name="dgh_1_3" hidden="1">{#N/A,#N/A,FALSE,"Sheet1 (2)"}</definedName>
    <definedName name="dgh_2" localSheetId="0" hidden="1">{#N/A,#N/A,FALSE,"Sheet1 (2)"}</definedName>
    <definedName name="dgh_2" hidden="1">{#N/A,#N/A,FALSE,"Sheet1 (2)"}</definedName>
    <definedName name="dgh_2_1" localSheetId="0" hidden="1">{#N/A,#N/A,FALSE,"Sheet1 (2)"}</definedName>
    <definedName name="dgh_2_1" hidden="1">{#N/A,#N/A,FALSE,"Sheet1 (2)"}</definedName>
    <definedName name="dgh_2_2" localSheetId="0" hidden="1">{#N/A,#N/A,FALSE,"Sheet1 (2)"}</definedName>
    <definedName name="dgh_2_2" hidden="1">{#N/A,#N/A,FALSE,"Sheet1 (2)"}</definedName>
    <definedName name="dgh_3" localSheetId="0" hidden="1">{#N/A,#N/A,FALSE,"Sheet1 (2)"}</definedName>
    <definedName name="dgh_3" hidden="1">{#N/A,#N/A,FALSE,"Sheet1 (2)"}</definedName>
    <definedName name="dgh_4" localSheetId="0" hidden="1">{#N/A,#N/A,FALSE,"Sheet1 (2)"}</definedName>
    <definedName name="dgh_4" hidden="1">{#N/A,#N/A,FALSE,"Sheet1 (2)"}</definedName>
    <definedName name="dgzffg" localSheetId="0" hidden="1">{"'Jan - March 2000'!$A$5:$J$46"}</definedName>
    <definedName name="dgzffg" hidden="1">{"'Jan - March 2000'!$A$5:$J$46"}</definedName>
    <definedName name="DialogMsg_ErrorsAndWarns">[21]Hidden_Data!$AA$15</definedName>
    <definedName name="DialogMsg_ExistingPlacementsCannotBeEdited">[21]Hidden_Data!$AA$18</definedName>
    <definedName name="DialogMsg_MissingData">[21]Hidden_Data!$AA$19</definedName>
    <definedName name="DialogMsg_NoErrors">[21]Hidden_Data!$AA$14</definedName>
    <definedName name="DialogMsg_NoResponseFromService">[21]Hidden_Data!$AA$17</definedName>
    <definedName name="DialogMsg_Warns">[21]Hidden_Data!$AA$16</definedName>
    <definedName name="Dialogs_TemplateRange_Msg">[21]Hidden_Data!$AA$14:$AA$19</definedName>
    <definedName name="Diff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if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ifferences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ifference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IGER">#REF!</definedName>
    <definedName name="Digital1" localSheetId="0" hidden="1">{#N/A,#N/A,FALSE,"Sheet1 (2)"}</definedName>
    <definedName name="Digital1" hidden="1">{#N/A,#N/A,FALSE,"Sheet1 (2)"}</definedName>
    <definedName name="DIGITALREKLAM">#REF!</definedName>
    <definedName name="DİGİTALSCOMREKLAM">#REF!</definedName>
    <definedName name="diji" localSheetId="0" hidden="1">{#N/A,#N/A,FALSE,"Sheet1 (2)"}</definedName>
    <definedName name="diji" hidden="1">{#N/A,#N/A,FALSE,"Sheet1 (2)"}</definedName>
    <definedName name="diji_1" localSheetId="0" hidden="1">{#N/A,#N/A,FALSE,"Sheet1 (2)"}</definedName>
    <definedName name="diji_1" hidden="1">{#N/A,#N/A,FALSE,"Sheet1 (2)"}</definedName>
    <definedName name="diji_1_1" localSheetId="0" hidden="1">{#N/A,#N/A,FALSE,"Sheet1 (2)"}</definedName>
    <definedName name="diji_1_1" hidden="1">{#N/A,#N/A,FALSE,"Sheet1 (2)"}</definedName>
    <definedName name="diji_1_2" localSheetId="0" hidden="1">{#N/A,#N/A,FALSE,"Sheet1 (2)"}</definedName>
    <definedName name="diji_1_2" hidden="1">{#N/A,#N/A,FALSE,"Sheet1 (2)"}</definedName>
    <definedName name="diji_1_3" localSheetId="0" hidden="1">{#N/A,#N/A,FALSE,"Sheet1 (2)"}</definedName>
    <definedName name="diji_1_3" hidden="1">{#N/A,#N/A,FALSE,"Sheet1 (2)"}</definedName>
    <definedName name="diji_2" localSheetId="0" hidden="1">{#N/A,#N/A,FALSE,"Sheet1 (2)"}</definedName>
    <definedName name="diji_2" hidden="1">{#N/A,#N/A,FALSE,"Sheet1 (2)"}</definedName>
    <definedName name="diji_2_1" localSheetId="0" hidden="1">{#N/A,#N/A,FALSE,"Sheet1 (2)"}</definedName>
    <definedName name="diji_2_1" hidden="1">{#N/A,#N/A,FALSE,"Sheet1 (2)"}</definedName>
    <definedName name="diji_2_2" localSheetId="0" hidden="1">{#N/A,#N/A,FALSE,"Sheet1 (2)"}</definedName>
    <definedName name="diji_2_2" hidden="1">{#N/A,#N/A,FALSE,"Sheet1 (2)"}</definedName>
    <definedName name="diji_3" localSheetId="0" hidden="1">{#N/A,#N/A,FALSE,"Sheet1 (2)"}</definedName>
    <definedName name="diji_3" hidden="1">{#N/A,#N/A,FALSE,"Sheet1 (2)"}</definedName>
    <definedName name="diji_4" localSheetId="0" hidden="1">{#N/A,#N/A,FALSE,"Sheet1 (2)"}</definedName>
    <definedName name="diji_4" hidden="1">{#N/A,#N/A,FALSE,"Sheet1 (2)"}</definedName>
    <definedName name="dijitalhaziran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ijitalhazira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ilim">[42]Ayarlar!$H$2:$I$35</definedName>
    <definedName name="dimension">#REF!</definedName>
    <definedName name="Dimensions">#REF!</definedName>
    <definedName name="dimensions_list_">[51]Meta!$A$11:$A$30</definedName>
    <definedName name="DİPNOTLAR" localSheetId="0" hidden="1">{#N/A,#N/A,FALSE,"MALİTABLOLAR";#N/A,#N/A,FALSE,"PERS MSRMRZ";#N/A,#N/A,FALSE,"MALİTABLOLAR";#N/A,#N/A,FALSE,"İskonto"}</definedName>
    <definedName name="DİPNOTLAR" hidden="1">{#N/A,#N/A,FALSE,"MALİTABLOLAR";#N/A,#N/A,FALSE,"PERS MSRMRZ";#N/A,#N/A,FALSE,"MALİTABLOLAR";#N/A,#N/A,FALSE,"İskonto"}</definedName>
    <definedName name="DİPNOTLAR_1" localSheetId="0" hidden="1">{#N/A,#N/A,FALSE,"MALİTABLOLAR";#N/A,#N/A,FALSE,"PERS MSRMRZ";#N/A,#N/A,FALSE,"MALİTABLOLAR";#N/A,#N/A,FALSE,"İskonto"}</definedName>
    <definedName name="DİPNOTLAR_1" hidden="1">{#N/A,#N/A,FALSE,"MALİTABLOLAR";#N/A,#N/A,FALSE,"PERS MSRMRZ";#N/A,#N/A,FALSE,"MALİTABLOLAR";#N/A,#N/A,FALSE,"İskonto"}</definedName>
    <definedName name="DİPNOTLAR_1_1" localSheetId="0" hidden="1">{#N/A,#N/A,FALSE,"MALİTABLOLAR";#N/A,#N/A,FALSE,"PERS MSRMRZ";#N/A,#N/A,FALSE,"MALİTABLOLAR";#N/A,#N/A,FALSE,"İskonto"}</definedName>
    <definedName name="DİPNOTLAR_1_1" hidden="1">{#N/A,#N/A,FALSE,"MALİTABLOLAR";#N/A,#N/A,FALSE,"PERS MSRMRZ";#N/A,#N/A,FALSE,"MALİTABLOLAR";#N/A,#N/A,FALSE,"İskonto"}</definedName>
    <definedName name="DİPNOTLAR_1_2" localSheetId="0" hidden="1">{#N/A,#N/A,FALSE,"MALİTABLOLAR";#N/A,#N/A,FALSE,"PERS MSRMRZ";#N/A,#N/A,FALSE,"MALİTABLOLAR";#N/A,#N/A,FALSE,"İskonto"}</definedName>
    <definedName name="DİPNOTLAR_1_2" hidden="1">{#N/A,#N/A,FALSE,"MALİTABLOLAR";#N/A,#N/A,FALSE,"PERS MSRMRZ";#N/A,#N/A,FALSE,"MALİTABLOLAR";#N/A,#N/A,FALSE,"İskonto"}</definedName>
    <definedName name="DİPNOTLAR_1_3" localSheetId="0" hidden="1">{#N/A,#N/A,FALSE,"MALİTABLOLAR";#N/A,#N/A,FALSE,"PERS MSRMRZ";#N/A,#N/A,FALSE,"MALİTABLOLAR";#N/A,#N/A,FALSE,"İskonto"}</definedName>
    <definedName name="DİPNOTLAR_1_3" hidden="1">{#N/A,#N/A,FALSE,"MALİTABLOLAR";#N/A,#N/A,FALSE,"PERS MSRMRZ";#N/A,#N/A,FALSE,"MALİTABLOLAR";#N/A,#N/A,FALSE,"İskonto"}</definedName>
    <definedName name="DİPNOTLAR_2" localSheetId="0" hidden="1">{#N/A,#N/A,FALSE,"MALİTABLOLAR";#N/A,#N/A,FALSE,"PERS MSRMRZ";#N/A,#N/A,FALSE,"MALİTABLOLAR";#N/A,#N/A,FALSE,"İskonto"}</definedName>
    <definedName name="DİPNOTLAR_2" hidden="1">{#N/A,#N/A,FALSE,"MALİTABLOLAR";#N/A,#N/A,FALSE,"PERS MSRMRZ";#N/A,#N/A,FALSE,"MALİTABLOLAR";#N/A,#N/A,FALSE,"İskonto"}</definedName>
    <definedName name="DİPNOTLAR_2_1" localSheetId="0" hidden="1">{#N/A,#N/A,FALSE,"MALİTABLOLAR";#N/A,#N/A,FALSE,"PERS MSRMRZ";#N/A,#N/A,FALSE,"MALİTABLOLAR";#N/A,#N/A,FALSE,"İskonto"}</definedName>
    <definedName name="DİPNOTLAR_2_1" hidden="1">{#N/A,#N/A,FALSE,"MALİTABLOLAR";#N/A,#N/A,FALSE,"PERS MSRMRZ";#N/A,#N/A,FALSE,"MALİTABLOLAR";#N/A,#N/A,FALSE,"İskonto"}</definedName>
    <definedName name="DİPNOTLAR_2_2" localSheetId="0" hidden="1">{#N/A,#N/A,FALSE,"MALİTABLOLAR";#N/A,#N/A,FALSE,"PERS MSRMRZ";#N/A,#N/A,FALSE,"MALİTABLOLAR";#N/A,#N/A,FALSE,"İskonto"}</definedName>
    <definedName name="DİPNOTLAR_2_2" hidden="1">{#N/A,#N/A,FALSE,"MALİTABLOLAR";#N/A,#N/A,FALSE,"PERS MSRMRZ";#N/A,#N/A,FALSE,"MALİTABLOLAR";#N/A,#N/A,FALSE,"İskonto"}</definedName>
    <definedName name="DİPNOTLAR_3" localSheetId="0" hidden="1">{#N/A,#N/A,FALSE,"MALİTABLOLAR";#N/A,#N/A,FALSE,"PERS MSRMRZ";#N/A,#N/A,FALSE,"MALİTABLOLAR";#N/A,#N/A,FALSE,"İskonto"}</definedName>
    <definedName name="DİPNOTLAR_3" hidden="1">{#N/A,#N/A,FALSE,"MALİTABLOLAR";#N/A,#N/A,FALSE,"PERS MSRMRZ";#N/A,#N/A,FALSE,"MALİTABLOLAR";#N/A,#N/A,FALSE,"İskonto"}</definedName>
    <definedName name="DİPNOTLAR_4" localSheetId="0" hidden="1">{#N/A,#N/A,FALSE,"MALİTABLOLAR";#N/A,#N/A,FALSE,"PERS MSRMRZ";#N/A,#N/A,FALSE,"MALİTABLOLAR";#N/A,#N/A,FALSE,"İskonto"}</definedName>
    <definedName name="DİPNOTLAR_4" hidden="1">{#N/A,#N/A,FALSE,"MALİTABLOLAR";#N/A,#N/A,FALSE,"PERS MSRMRZ";#N/A,#N/A,FALSE,"MALİTABLOLAR";#N/A,#N/A,FALSE,"İskonto"}</definedName>
    <definedName name="Discount" hidden="1">#REF!</definedName>
    <definedName name="Discounts">'[21]Proposal Summary'!$B$8:$D$12</definedName>
    <definedName name="Discovery">#REF!</definedName>
    <definedName name="Discovery_2">#REF!</definedName>
    <definedName name="Discovery_3">#REF!</definedName>
    <definedName name="Discovery_4">#REF!</definedName>
    <definedName name="Discovery_5">#REF!</definedName>
    <definedName name="Discovery_6">#REF!</definedName>
    <definedName name="Discovery_7">#REF!</definedName>
    <definedName name="DIŞETKİ">#REF!</definedName>
    <definedName name="Display">#REF!</definedName>
    <definedName name="display_area_2" hidden="1">#REF!</definedName>
    <definedName name="displayy" hidden="1">#REF!</definedName>
    <definedName name="DIXI">#REF!</definedName>
    <definedName name="DIXI_2">#REF!</definedName>
    <definedName name="DIXI_3">#REF!</definedName>
    <definedName name="DIXI_4">#REF!</definedName>
    <definedName name="DIXI_5">#REF!</definedName>
    <definedName name="DIXI_6">#REF!</definedName>
    <definedName name="DIXI_7">#REF!</definedName>
    <definedName name="DIXIOD">#REF!</definedName>
    <definedName name="DIXIOD_2">#REF!</definedName>
    <definedName name="DIXIOD_3">#REF!</definedName>
    <definedName name="DIXIOD_4">#REF!</definedName>
    <definedName name="DIXIOD_5">#REF!</definedName>
    <definedName name="DIXIOD_6">#REF!</definedName>
    <definedName name="DIXIOD_7">#REF!</definedName>
    <definedName name="DİXİP">#REF!</definedName>
    <definedName name="DİXİP_2">#REF!</definedName>
    <definedName name="DİXİP_3">#REF!</definedName>
    <definedName name="DİXİP_4">#REF!</definedName>
    <definedName name="DİXİP_5">#REF!</definedName>
    <definedName name="DİXİP_6">#REF!</definedName>
    <definedName name="DİXİP_7">#REF!</definedName>
    <definedName name="DİXİPÖDEME">#REF!</definedName>
    <definedName name="DİXİPÖDEME_2">#REF!</definedName>
    <definedName name="DİXİPÖDEME_3">#REF!</definedName>
    <definedName name="DİXİPÖDEME_4">#REF!</definedName>
    <definedName name="DİXİPÖDEME_5">#REF!</definedName>
    <definedName name="DİXİPÖDEME_6">#REF!</definedName>
    <definedName name="DİXİPÖDEME_7">#REF!</definedName>
    <definedName name="DİYARBAKIR">#REF!</definedName>
    <definedName name="dizi">#REF!</definedName>
    <definedName name="DİZİ_KANAL">#REF!</definedName>
    <definedName name="dkodkod" localSheetId="0" hidden="1">{#N/A,#N/A,FALSE,"Sheet1 (2)"}</definedName>
    <definedName name="dkodkod" hidden="1">{#N/A,#N/A,FALSE,"Sheet1 (2)"}</definedName>
    <definedName name="DMARKET">#REF!</definedName>
    <definedName name="DocumentYear">[73]P3!#REF!</definedName>
    <definedName name="doğan">#REF!</definedName>
    <definedName name="DOĞUŞDİJİTAL">#REF!</definedName>
    <definedName name="DOĞUŞMÜŞTERİ">#REF!</definedName>
    <definedName name="DOĞUŞYAYIN">#REF!</definedName>
    <definedName name="DOKTORSİTESİ">#REF!</definedName>
    <definedName name="DOLCI" localSheetId="0" hidden="1">{#N/A,#N/A,FALSE,"MALİTABLOLAR"}</definedName>
    <definedName name="DOLCI" hidden="1">{#N/A,#N/A,FALSE,"MALİTABLOLAR"}</definedName>
    <definedName name="DOLCI_1" localSheetId="0" hidden="1">{#N/A,#N/A,FALSE,"MALİTABLOLAR"}</definedName>
    <definedName name="DOLCI_1" hidden="1">{#N/A,#N/A,FALSE,"MALİTABLOLAR"}</definedName>
    <definedName name="DOLCI_1_1" localSheetId="0" hidden="1">{#N/A,#N/A,FALSE,"MALİTABLOLAR"}</definedName>
    <definedName name="DOLCI_1_1" hidden="1">{#N/A,#N/A,FALSE,"MALİTABLOLAR"}</definedName>
    <definedName name="DOLCI_1_2" localSheetId="0" hidden="1">{#N/A,#N/A,FALSE,"MALİTABLOLAR"}</definedName>
    <definedName name="DOLCI_1_2" hidden="1">{#N/A,#N/A,FALSE,"MALİTABLOLAR"}</definedName>
    <definedName name="DOLCI_1_3" localSheetId="0" hidden="1">{#N/A,#N/A,FALSE,"MALİTABLOLAR"}</definedName>
    <definedName name="DOLCI_1_3" hidden="1">{#N/A,#N/A,FALSE,"MALİTABLOLAR"}</definedName>
    <definedName name="DOLCI_2" localSheetId="0" hidden="1">{#N/A,#N/A,FALSE,"MALİTABLOLAR"}</definedName>
    <definedName name="DOLCI_2" hidden="1">{#N/A,#N/A,FALSE,"MALİTABLOLAR"}</definedName>
    <definedName name="DOLCI_2_1" localSheetId="0" hidden="1">{#N/A,#N/A,FALSE,"MALİTABLOLAR"}</definedName>
    <definedName name="DOLCI_2_1" hidden="1">{#N/A,#N/A,FALSE,"MALİTABLOLAR"}</definedName>
    <definedName name="DOLCI_2_2" localSheetId="0" hidden="1">{#N/A,#N/A,FALSE,"MALİTABLOLAR"}</definedName>
    <definedName name="DOLCI_2_2" hidden="1">{#N/A,#N/A,FALSE,"MALİTABLOLAR"}</definedName>
    <definedName name="DOLCI_3" localSheetId="0" hidden="1">{#N/A,#N/A,FALSE,"MALİTABLOLAR"}</definedName>
    <definedName name="DOLCI_3" hidden="1">{#N/A,#N/A,FALSE,"MALİTABLOLAR"}</definedName>
    <definedName name="DOLCI_4" localSheetId="0" hidden="1">{#N/A,#N/A,FALSE,"MALİTABLOLAR"}</definedName>
    <definedName name="DOLCI_4" hidden="1">{#N/A,#N/A,FALSE,"MALİTABLOLAR"}</definedName>
    <definedName name="DOLCIA" localSheetId="0" hidden="1">{#N/A,#N/A,FALSE,"MALİTABLOLAR"}</definedName>
    <definedName name="DOLCIA" hidden="1">{#N/A,#N/A,FALSE,"MALİTABLOLAR"}</definedName>
    <definedName name="DOLCIA_1" localSheetId="0" hidden="1">{#N/A,#N/A,FALSE,"MALİTABLOLAR"}</definedName>
    <definedName name="DOLCIA_1" hidden="1">{#N/A,#N/A,FALSE,"MALİTABLOLAR"}</definedName>
    <definedName name="DOLCIA_1_1" localSheetId="0" hidden="1">{#N/A,#N/A,FALSE,"MALİTABLOLAR"}</definedName>
    <definedName name="DOLCIA_1_1" hidden="1">{#N/A,#N/A,FALSE,"MALİTABLOLAR"}</definedName>
    <definedName name="DOLCIA_1_2" localSheetId="0" hidden="1">{#N/A,#N/A,FALSE,"MALİTABLOLAR"}</definedName>
    <definedName name="DOLCIA_1_2" hidden="1">{#N/A,#N/A,FALSE,"MALİTABLOLAR"}</definedName>
    <definedName name="DOLCIA_1_3" localSheetId="0" hidden="1">{#N/A,#N/A,FALSE,"MALİTABLOLAR"}</definedName>
    <definedName name="DOLCIA_1_3" hidden="1">{#N/A,#N/A,FALSE,"MALİTABLOLAR"}</definedName>
    <definedName name="DOLCIA_2" localSheetId="0" hidden="1">{#N/A,#N/A,FALSE,"MALİTABLOLAR"}</definedName>
    <definedName name="DOLCIA_2" hidden="1">{#N/A,#N/A,FALSE,"MALİTABLOLAR"}</definedName>
    <definedName name="DOLCIA_2_1" localSheetId="0" hidden="1">{#N/A,#N/A,FALSE,"MALİTABLOLAR"}</definedName>
    <definedName name="DOLCIA_2_1" hidden="1">{#N/A,#N/A,FALSE,"MALİTABLOLAR"}</definedName>
    <definedName name="DOLCIA_2_2" localSheetId="0" hidden="1">{#N/A,#N/A,FALSE,"MALİTABLOLAR"}</definedName>
    <definedName name="DOLCIA_2_2" hidden="1">{#N/A,#N/A,FALSE,"MALİTABLOLAR"}</definedName>
    <definedName name="DOLCIA_3" localSheetId="0" hidden="1">{#N/A,#N/A,FALSE,"MALİTABLOLAR"}</definedName>
    <definedName name="DOLCIA_3" hidden="1">{#N/A,#N/A,FALSE,"MALİTABLOLAR"}</definedName>
    <definedName name="DOLCIA_4" localSheetId="0" hidden="1">{#N/A,#N/A,FALSE,"MALİTABLOLAR"}</definedName>
    <definedName name="DOLCIA_4" hidden="1">{#N/A,#N/A,FALSE,"MALİTABLOLAR"}</definedName>
    <definedName name="Dönem">#REF!</definedName>
    <definedName name="DORUKDEMİRSAR">#REF!</definedName>
    <definedName name="DOUBLECLİCK">#REF!</definedName>
    <definedName name="dr" localSheetId="0" hidden="1">{"'Jan - March 2000'!$A$5:$J$46"}</definedName>
    <definedName name="dr" hidden="1">{"'Jan - March 2000'!$A$5:$J$46"}</definedName>
    <definedName name="draft" hidden="1">#REF!</definedName>
    <definedName name="dream" localSheetId="0">'Haziran Gerçekleşen Plan'!dream</definedName>
    <definedName name="dream">[0]!dream</definedName>
    <definedName name="DRG">#REF!</definedName>
    <definedName name="DS" hidden="1">#REF!</definedName>
    <definedName name="dsafsd" localSheetId="0" hidden="1">{#N/A,#N/A,FALSE,"Sheet1 (2)"}</definedName>
    <definedName name="dsafsd" hidden="1">{#N/A,#N/A,FALSE,"Sheet1 (2)"}</definedName>
    <definedName name="dsd" localSheetId="0" hidden="1">{#N/A,#N/A,FALSE,"Sheet1 (2)"}</definedName>
    <definedName name="dsd" hidden="1">{#N/A,#N/A,FALSE,"Sheet1 (2)"}</definedName>
    <definedName name="dsd_1" localSheetId="0" hidden="1">{#N/A,#N/A,FALSE,"Sheet1 (2)"}</definedName>
    <definedName name="dsd_1" hidden="1">{#N/A,#N/A,FALSE,"Sheet1 (2)"}</definedName>
    <definedName name="DSDFG">'[72]tv spot list'!$AE$13:$AE$2993</definedName>
    <definedName name="dsds">#REF!</definedName>
    <definedName name="DSF" localSheetId="0" hidden="1">{#N/A,#N/A,FALSE,"Sheet1 (2)"}</definedName>
    <definedName name="DSF" hidden="1">{#N/A,#N/A,FALSE,"Sheet1 (2)"}</definedName>
    <definedName name="DSF_1" localSheetId="0" hidden="1">{#N/A,#N/A,FALSE,"Sheet1 (2)"}</definedName>
    <definedName name="DSF_1" hidden="1">{#N/A,#N/A,FALSE,"Sheet1 (2)"}</definedName>
    <definedName name="DSF_1_1" localSheetId="0" hidden="1">{#N/A,#N/A,FALSE,"Sheet1 (2)"}</definedName>
    <definedName name="DSF_1_1" hidden="1">{#N/A,#N/A,FALSE,"Sheet1 (2)"}</definedName>
    <definedName name="DSF_1_2" localSheetId="0" hidden="1">{#N/A,#N/A,FALSE,"Sheet1 (2)"}</definedName>
    <definedName name="DSF_1_2" hidden="1">{#N/A,#N/A,FALSE,"Sheet1 (2)"}</definedName>
    <definedName name="DSF_1_3" localSheetId="0" hidden="1">{#N/A,#N/A,FALSE,"Sheet1 (2)"}</definedName>
    <definedName name="DSF_1_3" hidden="1">{#N/A,#N/A,FALSE,"Sheet1 (2)"}</definedName>
    <definedName name="DSF_2" localSheetId="0" hidden="1">{#N/A,#N/A,FALSE,"Sheet1 (2)"}</definedName>
    <definedName name="DSF_2" hidden="1">{#N/A,#N/A,FALSE,"Sheet1 (2)"}</definedName>
    <definedName name="DSF_2_1" localSheetId="0" hidden="1">{#N/A,#N/A,FALSE,"Sheet1 (2)"}</definedName>
    <definedName name="DSF_2_1" hidden="1">{#N/A,#N/A,FALSE,"Sheet1 (2)"}</definedName>
    <definedName name="DSF_2_2" localSheetId="0" hidden="1">{#N/A,#N/A,FALSE,"Sheet1 (2)"}</definedName>
    <definedName name="DSF_2_2" hidden="1">{#N/A,#N/A,FALSE,"Sheet1 (2)"}</definedName>
    <definedName name="DSF_3" localSheetId="0" hidden="1">{#N/A,#N/A,FALSE,"Sheet1 (2)"}</definedName>
    <definedName name="DSF_3" hidden="1">{#N/A,#N/A,FALSE,"Sheet1 (2)"}</definedName>
    <definedName name="DSF_4" localSheetId="0" hidden="1">{#N/A,#N/A,FALSE,"Sheet1 (2)"}</definedName>
    <definedName name="DSF_4" hidden="1">{#N/A,#N/A,FALSE,"Sheet1 (2)"}</definedName>
    <definedName name="dsfdgdfhgfh" localSheetId="0" hidden="1">{"'Jan - March 2000'!$A$5:$J$46"}</definedName>
    <definedName name="dsfdgdfhgfh" hidden="1">{"'Jan - March 2000'!$A$5:$J$46"}</definedName>
    <definedName name="dsfgdgdfghf" localSheetId="0" hidden="1">{"'Jan - March 2000'!$A$5:$J$46"}</definedName>
    <definedName name="dsfgdgdfghf" hidden="1">{"'Jan - March 2000'!$A$5:$J$46"}</definedName>
    <definedName name="dsfgdsh">#REF!</definedName>
    <definedName name="dsfsd" localSheetId="0" hidden="1">{"'Jan - March 2000'!$A$5:$J$46"}</definedName>
    <definedName name="dsfsd" hidden="1">{"'Jan - March 2000'!$A$5:$J$46"}</definedName>
    <definedName name="dsgfvsdsd" localSheetId="0" hidden="1">{"'Jan - March 2000'!$A$5:$J$46"}</definedName>
    <definedName name="dsgfvsdsd" hidden="1">{"'Jan - March 2000'!$A$5:$J$46"}</definedName>
    <definedName name="DSGSDH" localSheetId="0" hidden="1">{#N/A,#N/A,FALSE,"Sheet1 (2)"}</definedName>
    <definedName name="DSGSDH" hidden="1">{#N/A,#N/A,FALSE,"Sheet1 (2)"}</definedName>
    <definedName name="DSGSDH_1" localSheetId="0" hidden="1">{#N/A,#N/A,FALSE,"Sheet1 (2)"}</definedName>
    <definedName name="DSGSDH_1" hidden="1">{#N/A,#N/A,FALSE,"Sheet1 (2)"}</definedName>
    <definedName name="dSJdfkslajklfgsda" localSheetId="0" hidden="1">{"'Jan - March 2000'!$A$5:$J$46"}</definedName>
    <definedName name="dSJdfkslajklfgsda" hidden="1">{"'Jan - March 2000'!$A$5:$J$46"}</definedName>
    <definedName name="dthtn" localSheetId="0" hidden="1">{#N/A,#N/A,FALSE,"Sheet1 (2)"}</definedName>
    <definedName name="dthtn" hidden="1">{#N/A,#N/A,FALSE,"Sheet1 (2)"}</definedName>
    <definedName name="dthtn_1" localSheetId="0" hidden="1">{#N/A,#N/A,FALSE,"Sheet1 (2)"}</definedName>
    <definedName name="dthtn_1" hidden="1">{#N/A,#N/A,FALSE,"Sheet1 (2)"}</definedName>
    <definedName name="dtrey">#REF!</definedName>
    <definedName name="DU">#REF!</definedName>
    <definedName name="due">#REF!</definedName>
    <definedName name="DUM">#REF!</definedName>
    <definedName name="DÜZCE">#REF!</definedName>
    <definedName name="DV360GOOGLE">#REF!</definedName>
    <definedName name="DVKLASFKJGKSDFHGALKJDG" localSheetId="0" hidden="1">{#N/A,#N/A,FALSE,"Sheet1 (2)"}</definedName>
    <definedName name="DVKLASFKJGKSDFHGALKJDG" hidden="1">{#N/A,#N/A,FALSE,"Sheet1 (2)"}</definedName>
    <definedName name="e" localSheetId="0" hidden="1">{#N/A,#N/A,FALSE,"Sheet1 (2)"}</definedName>
    <definedName name="e" hidden="1">{#N/A,#N/A,FALSE,"Sheet1 (2)"}</definedName>
    <definedName name="e_1" localSheetId="0" hidden="1">{#N/A,#N/A,FALSE,"Sheet1 (2)"}</definedName>
    <definedName name="e_1" hidden="1">{#N/A,#N/A,FALSE,"Sheet1 (2)"}</definedName>
    <definedName name="e_1_1" localSheetId="0" hidden="1">{#N/A,#N/A,FALSE,"Sheet1 (2)"}</definedName>
    <definedName name="e_1_1" hidden="1">{#N/A,#N/A,FALSE,"Sheet1 (2)"}</definedName>
    <definedName name="e_1_2" localSheetId="0" hidden="1">{#N/A,#N/A,FALSE,"Sheet1 (2)"}</definedName>
    <definedName name="e_1_2" hidden="1">{#N/A,#N/A,FALSE,"Sheet1 (2)"}</definedName>
    <definedName name="e_1_3" localSheetId="0" hidden="1">{#N/A,#N/A,FALSE,"Sheet1 (2)"}</definedName>
    <definedName name="e_1_3" hidden="1">{#N/A,#N/A,FALSE,"Sheet1 (2)"}</definedName>
    <definedName name="e_2" localSheetId="0" hidden="1">{#N/A,#N/A,FALSE,"Sheet1 (2)"}</definedName>
    <definedName name="e_2" hidden="1">{#N/A,#N/A,FALSE,"Sheet1 (2)"}</definedName>
    <definedName name="e_2_1" localSheetId="0" hidden="1">{#N/A,#N/A,FALSE,"Sheet1 (2)"}</definedName>
    <definedName name="e_2_1" hidden="1">{#N/A,#N/A,FALSE,"Sheet1 (2)"}</definedName>
    <definedName name="e_2_2" localSheetId="0" hidden="1">{#N/A,#N/A,FALSE,"Sheet1 (2)"}</definedName>
    <definedName name="e_2_2" hidden="1">{#N/A,#N/A,FALSE,"Sheet1 (2)"}</definedName>
    <definedName name="e_3" localSheetId="0" hidden="1">{#N/A,#N/A,FALSE,"Sheet1 (2)"}</definedName>
    <definedName name="e_3" hidden="1">{#N/A,#N/A,FALSE,"Sheet1 (2)"}</definedName>
    <definedName name="e_4" localSheetId="0" hidden="1">{#N/A,#N/A,FALSE,"Sheet1 (2)"}</definedName>
    <definedName name="e_4" hidden="1">{#N/A,#N/A,FALSE,"Sheet1 (2)"}</definedName>
    <definedName name="e5t" localSheetId="0" hidden="1">{#N/A,#N/A,FALSE,"Sheet1 (2)"}</definedName>
    <definedName name="e5t" hidden="1">{#N/A,#N/A,FALSE,"Sheet1 (2)"}</definedName>
    <definedName name="eadaf">#REF!</definedName>
    <definedName name="EAEİUEÜAEATÜ" localSheetId="0" hidden="1">{#N/A,#N/A,FALSE,"Sheet1 (2)"}</definedName>
    <definedName name="EAEİUEÜAEATÜ" hidden="1">{#N/A,#N/A,FALSE,"Sheet1 (2)"}</definedName>
    <definedName name="eaeıi" localSheetId="0" hidden="1">{#N/A,#N/A,FALSE,"Sheet1 (2)"}</definedName>
    <definedName name="eaeıi" hidden="1">{#N/A,#N/A,FALSE,"Sheet1 (2)"}</definedName>
    <definedName name="eaeıi_1" localSheetId="0" hidden="1">{#N/A,#N/A,FALSE,"Sheet1 (2)"}</definedName>
    <definedName name="eaeıi_1" hidden="1">{#N/A,#N/A,FALSE,"Sheet1 (2)"}</definedName>
    <definedName name="eaeıi_1_1" localSheetId="0" hidden="1">{#N/A,#N/A,FALSE,"Sheet1 (2)"}</definedName>
    <definedName name="eaeıi_1_1" hidden="1">{#N/A,#N/A,FALSE,"Sheet1 (2)"}</definedName>
    <definedName name="eaeıi_1_2" localSheetId="0" hidden="1">{#N/A,#N/A,FALSE,"Sheet1 (2)"}</definedName>
    <definedName name="eaeıi_1_2" hidden="1">{#N/A,#N/A,FALSE,"Sheet1 (2)"}</definedName>
    <definedName name="eaeıi_1_3" localSheetId="0" hidden="1">{#N/A,#N/A,FALSE,"Sheet1 (2)"}</definedName>
    <definedName name="eaeıi_1_3" hidden="1">{#N/A,#N/A,FALSE,"Sheet1 (2)"}</definedName>
    <definedName name="eaeıi_2" localSheetId="0" hidden="1">{#N/A,#N/A,FALSE,"Sheet1 (2)"}</definedName>
    <definedName name="eaeıi_2" hidden="1">{#N/A,#N/A,FALSE,"Sheet1 (2)"}</definedName>
    <definedName name="eaeıi_2_1" localSheetId="0" hidden="1">{#N/A,#N/A,FALSE,"Sheet1 (2)"}</definedName>
    <definedName name="eaeıi_2_1" hidden="1">{#N/A,#N/A,FALSE,"Sheet1 (2)"}</definedName>
    <definedName name="eaeıi_2_2" localSheetId="0" hidden="1">{#N/A,#N/A,FALSE,"Sheet1 (2)"}</definedName>
    <definedName name="eaeıi_2_2" hidden="1">{#N/A,#N/A,FALSE,"Sheet1 (2)"}</definedName>
    <definedName name="eaeıi_3" localSheetId="0" hidden="1">{#N/A,#N/A,FALSE,"Sheet1 (2)"}</definedName>
    <definedName name="eaeıi_3" hidden="1">{#N/A,#N/A,FALSE,"Sheet1 (2)"}</definedName>
    <definedName name="eaeıi_4" localSheetId="0" hidden="1">{#N/A,#N/A,FALSE,"Sheet1 (2)"}</definedName>
    <definedName name="eaeıi_4" hidden="1">{#N/A,#N/A,FALSE,"Sheet1 (2)"}</definedName>
    <definedName name="eag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a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ak" localSheetId="0" hidden="1">{#N/A,#N/A,FALSE,"Sheet1 (2)"}</definedName>
    <definedName name="eak" hidden="1">{#N/A,#N/A,FALSE,"Sheet1 (2)"}</definedName>
    <definedName name="ece" localSheetId="0" hidden="1">{#N/A,#N/A,FALSE,"Sheet1 (2)"}</definedName>
    <definedName name="ece" hidden="1">{#N/A,#N/A,FALSE,"Sheet1 (2)"}</definedName>
    <definedName name="EDAGÜNAY">#REF!</definedName>
    <definedName name="EDİRNE">#REF!</definedName>
    <definedName name="EDREAMS">#REF!</definedName>
    <definedName name="EE" localSheetId="0" hidden="1">{#N/A,#N/A,FALSE,"Sheet1 (2)"}</definedName>
    <definedName name="EE" hidden="1">{#N/A,#N/A,FALSE,"Sheet1 (2)"}</definedName>
    <definedName name="EE_1" localSheetId="0" hidden="1">{#N/A,#N/A,FALSE,"Sheet1 (2)"}</definedName>
    <definedName name="EE_1" hidden="1">{#N/A,#N/A,FALSE,"Sheet1 (2)"}</definedName>
    <definedName name="EE_1_1" localSheetId="0" hidden="1">{#N/A,#N/A,FALSE,"Sheet1 (2)"}</definedName>
    <definedName name="EE_1_1" hidden="1">{#N/A,#N/A,FALSE,"Sheet1 (2)"}</definedName>
    <definedName name="EE_1_2" localSheetId="0" hidden="1">{#N/A,#N/A,FALSE,"Sheet1 (2)"}</definedName>
    <definedName name="EE_1_2" hidden="1">{#N/A,#N/A,FALSE,"Sheet1 (2)"}</definedName>
    <definedName name="EE_1_3" localSheetId="0" hidden="1">{#N/A,#N/A,FALSE,"Sheet1 (2)"}</definedName>
    <definedName name="EE_1_3" hidden="1">{#N/A,#N/A,FALSE,"Sheet1 (2)"}</definedName>
    <definedName name="EE_2" localSheetId="0" hidden="1">{#N/A,#N/A,FALSE,"Sheet1 (2)"}</definedName>
    <definedName name="EE_2" hidden="1">{#N/A,#N/A,FALSE,"Sheet1 (2)"}</definedName>
    <definedName name="EE_2_1" localSheetId="0" hidden="1">{#N/A,#N/A,FALSE,"Sheet1 (2)"}</definedName>
    <definedName name="EE_2_1" hidden="1">{#N/A,#N/A,FALSE,"Sheet1 (2)"}</definedName>
    <definedName name="EE_2_2" localSheetId="0" hidden="1">{#N/A,#N/A,FALSE,"Sheet1 (2)"}</definedName>
    <definedName name="EE_2_2" hidden="1">{#N/A,#N/A,FALSE,"Sheet1 (2)"}</definedName>
    <definedName name="EE_3" localSheetId="0" hidden="1">{#N/A,#N/A,FALSE,"Sheet1 (2)"}</definedName>
    <definedName name="EE_3" hidden="1">{#N/A,#N/A,FALSE,"Sheet1 (2)"}</definedName>
    <definedName name="EE_4" localSheetId="0" hidden="1">{#N/A,#N/A,FALSE,"Sheet1 (2)"}</definedName>
    <definedName name="EE_4" hidden="1">{#N/A,#N/A,FALSE,"Sheet1 (2)"}</definedName>
    <definedName name="EEE" localSheetId="0" hidden="1">{#N/A,#N/A,FALSE,"Sheet1 (2)"}</definedName>
    <definedName name="EEE" hidden="1">{#N/A,#N/A,FALSE,"Sheet1 (2)"}</definedName>
    <definedName name="EEE_1" localSheetId="0" hidden="1">{#N/A,#N/A,FALSE,"Sheet1 (2)"}</definedName>
    <definedName name="EEE_1" hidden="1">{#N/A,#N/A,FALSE,"Sheet1 (2)"}</definedName>
    <definedName name="EEE_1_1" localSheetId="0" hidden="1">{#N/A,#N/A,FALSE,"Sheet1 (2)"}</definedName>
    <definedName name="EEE_1_1" hidden="1">{#N/A,#N/A,FALSE,"Sheet1 (2)"}</definedName>
    <definedName name="EEE_1_2" localSheetId="0" hidden="1">{#N/A,#N/A,FALSE,"Sheet1 (2)"}</definedName>
    <definedName name="EEE_1_2" hidden="1">{#N/A,#N/A,FALSE,"Sheet1 (2)"}</definedName>
    <definedName name="EEE_1_3" localSheetId="0" hidden="1">{#N/A,#N/A,FALSE,"Sheet1 (2)"}</definedName>
    <definedName name="EEE_1_3" hidden="1">{#N/A,#N/A,FALSE,"Sheet1 (2)"}</definedName>
    <definedName name="EEE_2" localSheetId="0" hidden="1">{#N/A,#N/A,FALSE,"Sheet1 (2)"}</definedName>
    <definedName name="EEE_2" hidden="1">{#N/A,#N/A,FALSE,"Sheet1 (2)"}</definedName>
    <definedName name="EEE_2_1" localSheetId="0" hidden="1">{#N/A,#N/A,FALSE,"Sheet1 (2)"}</definedName>
    <definedName name="EEE_2_1" hidden="1">{#N/A,#N/A,FALSE,"Sheet1 (2)"}</definedName>
    <definedName name="EEE_2_2" localSheetId="0" hidden="1">{#N/A,#N/A,FALSE,"Sheet1 (2)"}</definedName>
    <definedName name="EEE_2_2" hidden="1">{#N/A,#N/A,FALSE,"Sheet1 (2)"}</definedName>
    <definedName name="EEE_3" localSheetId="0" hidden="1">{#N/A,#N/A,FALSE,"Sheet1 (2)"}</definedName>
    <definedName name="EEE_3" hidden="1">{#N/A,#N/A,FALSE,"Sheet1 (2)"}</definedName>
    <definedName name="EEE_4" localSheetId="0" hidden="1">{#N/A,#N/A,FALSE,"Sheet1 (2)"}</definedName>
    <definedName name="EEE_4" hidden="1">{#N/A,#N/A,FALSE,"Sheet1 (2)"}</definedName>
    <definedName name="EEEE" localSheetId="0" hidden="1">{#N/A,#N/A,FALSE,"Sheet1 (2)"}</definedName>
    <definedName name="EEEE" hidden="1">{#N/A,#N/A,FALSE,"Sheet1 (2)"}</definedName>
    <definedName name="EEEE_1" localSheetId="0" hidden="1">{#N/A,#N/A,FALSE,"Sheet1 (2)"}</definedName>
    <definedName name="EEEE_1" hidden="1">{#N/A,#N/A,FALSE,"Sheet1 (2)"}</definedName>
    <definedName name="EEEE_1_1" localSheetId="0" hidden="1">{#N/A,#N/A,FALSE,"Sheet1 (2)"}</definedName>
    <definedName name="EEEE_1_1" hidden="1">{#N/A,#N/A,FALSE,"Sheet1 (2)"}</definedName>
    <definedName name="EEEE_1_2" localSheetId="0" hidden="1">{#N/A,#N/A,FALSE,"Sheet1 (2)"}</definedName>
    <definedName name="EEEE_1_2" hidden="1">{#N/A,#N/A,FALSE,"Sheet1 (2)"}</definedName>
    <definedName name="EEEE_1_3" localSheetId="0" hidden="1">{#N/A,#N/A,FALSE,"Sheet1 (2)"}</definedName>
    <definedName name="EEEE_1_3" hidden="1">{#N/A,#N/A,FALSE,"Sheet1 (2)"}</definedName>
    <definedName name="EEEE_2" localSheetId="0" hidden="1">{#N/A,#N/A,FALSE,"Sheet1 (2)"}</definedName>
    <definedName name="EEEE_2" hidden="1">{#N/A,#N/A,FALSE,"Sheet1 (2)"}</definedName>
    <definedName name="EEEE_2_1" localSheetId="0" hidden="1">{#N/A,#N/A,FALSE,"Sheet1 (2)"}</definedName>
    <definedName name="EEEE_2_1" hidden="1">{#N/A,#N/A,FALSE,"Sheet1 (2)"}</definedName>
    <definedName name="EEEE_2_2" localSheetId="0" hidden="1">{#N/A,#N/A,FALSE,"Sheet1 (2)"}</definedName>
    <definedName name="EEEE_2_2" hidden="1">{#N/A,#N/A,FALSE,"Sheet1 (2)"}</definedName>
    <definedName name="EEEE_3" localSheetId="0" hidden="1">{#N/A,#N/A,FALSE,"Sheet1 (2)"}</definedName>
    <definedName name="EEEE_3" hidden="1">{#N/A,#N/A,FALSE,"Sheet1 (2)"}</definedName>
    <definedName name="EEEE_4" localSheetId="0" hidden="1">{#N/A,#N/A,FALSE,"Sheet1 (2)"}</definedName>
    <definedName name="EEEE_4" hidden="1">{#N/A,#N/A,FALSE,"Sheet1 (2)"}</definedName>
    <definedName name="EEEEE" localSheetId="0" hidden="1">{#N/A,#N/A,FALSE,"Sheet1 (2)"}</definedName>
    <definedName name="EEEEE" hidden="1">{#N/A,#N/A,FALSE,"Sheet1 (2)"}</definedName>
    <definedName name="EEEEE_1" localSheetId="0" hidden="1">{#N/A,#N/A,FALSE,"Sheet1 (2)"}</definedName>
    <definedName name="EEEEE_1" hidden="1">{#N/A,#N/A,FALSE,"Sheet1 (2)"}</definedName>
    <definedName name="EEEEE_1_1" localSheetId="0" hidden="1">{#N/A,#N/A,FALSE,"Sheet1 (2)"}</definedName>
    <definedName name="EEEEE_1_1" hidden="1">{#N/A,#N/A,FALSE,"Sheet1 (2)"}</definedName>
    <definedName name="EEEEE_1_2" localSheetId="0" hidden="1">{#N/A,#N/A,FALSE,"Sheet1 (2)"}</definedName>
    <definedName name="EEEEE_1_2" hidden="1">{#N/A,#N/A,FALSE,"Sheet1 (2)"}</definedName>
    <definedName name="EEEEE_1_3" localSheetId="0" hidden="1">{#N/A,#N/A,FALSE,"Sheet1 (2)"}</definedName>
    <definedName name="EEEEE_1_3" hidden="1">{#N/A,#N/A,FALSE,"Sheet1 (2)"}</definedName>
    <definedName name="EEEEE_2" localSheetId="0" hidden="1">{#N/A,#N/A,FALSE,"Sheet1 (2)"}</definedName>
    <definedName name="EEEEE_2" hidden="1">{#N/A,#N/A,FALSE,"Sheet1 (2)"}</definedName>
    <definedName name="EEEEE_2_1" localSheetId="0" hidden="1">{#N/A,#N/A,FALSE,"Sheet1 (2)"}</definedName>
    <definedName name="EEEEE_2_1" hidden="1">{#N/A,#N/A,FALSE,"Sheet1 (2)"}</definedName>
    <definedName name="EEEEE_2_2" localSheetId="0" hidden="1">{#N/A,#N/A,FALSE,"Sheet1 (2)"}</definedName>
    <definedName name="EEEEE_2_2" hidden="1">{#N/A,#N/A,FALSE,"Sheet1 (2)"}</definedName>
    <definedName name="EEEEE_3" localSheetId="0" hidden="1">{#N/A,#N/A,FALSE,"Sheet1 (2)"}</definedName>
    <definedName name="EEEEE_3" hidden="1">{#N/A,#N/A,FALSE,"Sheet1 (2)"}</definedName>
    <definedName name="EEEEE_4" localSheetId="0" hidden="1">{#N/A,#N/A,FALSE,"Sheet1 (2)"}</definedName>
    <definedName name="EEEEE_4" hidden="1">{#N/A,#N/A,FALSE,"Sheet1 (2)"}</definedName>
    <definedName name="EEEEEE" localSheetId="0" hidden="1">{#N/A,#N/A,FALSE,"Sheet1 (2)"}</definedName>
    <definedName name="EEEEEE" hidden="1">{#N/A,#N/A,FALSE,"Sheet1 (2)"}</definedName>
    <definedName name="EEEEEE_1" localSheetId="0" hidden="1">{#N/A,#N/A,FALSE,"Sheet1 (2)"}</definedName>
    <definedName name="EEEEEE_1" hidden="1">{#N/A,#N/A,FALSE,"Sheet1 (2)"}</definedName>
    <definedName name="EEEEEE_1_1" localSheetId="0" hidden="1">{#N/A,#N/A,FALSE,"Sheet1 (2)"}</definedName>
    <definedName name="EEEEEE_1_1" hidden="1">{#N/A,#N/A,FALSE,"Sheet1 (2)"}</definedName>
    <definedName name="EEEEEE_1_2" localSheetId="0" hidden="1">{#N/A,#N/A,FALSE,"Sheet1 (2)"}</definedName>
    <definedName name="EEEEEE_1_2" hidden="1">{#N/A,#N/A,FALSE,"Sheet1 (2)"}</definedName>
    <definedName name="EEEEEE_1_3" localSheetId="0" hidden="1">{#N/A,#N/A,FALSE,"Sheet1 (2)"}</definedName>
    <definedName name="EEEEEE_1_3" hidden="1">{#N/A,#N/A,FALSE,"Sheet1 (2)"}</definedName>
    <definedName name="EEEEEE_2" localSheetId="0" hidden="1">{#N/A,#N/A,FALSE,"Sheet1 (2)"}</definedName>
    <definedName name="EEEEEE_2" hidden="1">{#N/A,#N/A,FALSE,"Sheet1 (2)"}</definedName>
    <definedName name="EEEEEE_2_1" localSheetId="0" hidden="1">{#N/A,#N/A,FALSE,"Sheet1 (2)"}</definedName>
    <definedName name="EEEEEE_2_1" hidden="1">{#N/A,#N/A,FALSE,"Sheet1 (2)"}</definedName>
    <definedName name="EEEEEE_2_2" localSheetId="0" hidden="1">{#N/A,#N/A,FALSE,"Sheet1 (2)"}</definedName>
    <definedName name="EEEEEE_2_2" hidden="1">{#N/A,#N/A,FALSE,"Sheet1 (2)"}</definedName>
    <definedName name="EEEEEE_3" localSheetId="0" hidden="1">{#N/A,#N/A,FALSE,"Sheet1 (2)"}</definedName>
    <definedName name="EEEEEE_3" hidden="1">{#N/A,#N/A,FALSE,"Sheet1 (2)"}</definedName>
    <definedName name="EEEEEE_4" localSheetId="0" hidden="1">{#N/A,#N/A,FALSE,"Sheet1 (2)"}</definedName>
    <definedName name="EEEEEE_4" hidden="1">{#N/A,#N/A,FALSE,"Sheet1 (2)"}</definedName>
    <definedName name="eeeeeeee">#REF!</definedName>
    <definedName name="EEEEEEEEEEE" localSheetId="0" hidden="1">{#N/A,#N/A,FALSE,"Sheet1 (2)"}</definedName>
    <definedName name="EEEEEEEEEEE" hidden="1">{#N/A,#N/A,FALSE,"Sheet1 (2)"}</definedName>
    <definedName name="EEEEEEEEEEE_1" localSheetId="0" hidden="1">{#N/A,#N/A,FALSE,"Sheet1 (2)"}</definedName>
    <definedName name="EEEEEEEEEEE_1" hidden="1">{#N/A,#N/A,FALSE,"Sheet1 (2)"}</definedName>
    <definedName name="EEEEEEEEEEE_1_1" localSheetId="0" hidden="1">{#N/A,#N/A,FALSE,"Sheet1 (2)"}</definedName>
    <definedName name="EEEEEEEEEEE_1_1" hidden="1">{#N/A,#N/A,FALSE,"Sheet1 (2)"}</definedName>
    <definedName name="EEEEEEEEEEE_1_2" localSheetId="0" hidden="1">{#N/A,#N/A,FALSE,"Sheet1 (2)"}</definedName>
    <definedName name="EEEEEEEEEEE_1_2" hidden="1">{#N/A,#N/A,FALSE,"Sheet1 (2)"}</definedName>
    <definedName name="EEEEEEEEEEE_1_3" localSheetId="0" hidden="1">{#N/A,#N/A,FALSE,"Sheet1 (2)"}</definedName>
    <definedName name="EEEEEEEEEEE_1_3" hidden="1">{#N/A,#N/A,FALSE,"Sheet1 (2)"}</definedName>
    <definedName name="EEEEEEEEEEE_2" localSheetId="0" hidden="1">{#N/A,#N/A,FALSE,"Sheet1 (2)"}</definedName>
    <definedName name="EEEEEEEEEEE_2" hidden="1">{#N/A,#N/A,FALSE,"Sheet1 (2)"}</definedName>
    <definedName name="EEEEEEEEEEE_2_1" localSheetId="0" hidden="1">{#N/A,#N/A,FALSE,"Sheet1 (2)"}</definedName>
    <definedName name="EEEEEEEEEEE_2_1" hidden="1">{#N/A,#N/A,FALSE,"Sheet1 (2)"}</definedName>
    <definedName name="EEEEEEEEEEE_2_2" localSheetId="0" hidden="1">{#N/A,#N/A,FALSE,"Sheet1 (2)"}</definedName>
    <definedName name="EEEEEEEEEEE_2_2" hidden="1">{#N/A,#N/A,FALSE,"Sheet1 (2)"}</definedName>
    <definedName name="EEEEEEEEEEE_3" localSheetId="0" hidden="1">{#N/A,#N/A,FALSE,"Sheet1 (2)"}</definedName>
    <definedName name="EEEEEEEEEEE_3" hidden="1">{#N/A,#N/A,FALSE,"Sheet1 (2)"}</definedName>
    <definedName name="EEEEEEEEEEE_4" localSheetId="0" hidden="1">{#N/A,#N/A,FALSE,"Sheet1 (2)"}</definedName>
    <definedName name="EEEEEEEEEEE_4" hidden="1">{#N/A,#N/A,FALSE,"Sheet1 (2)"}</definedName>
    <definedName name="eeeeeeeeeeeeee" localSheetId="0" hidden="1">{#N/A,#N/A,FALSE,"Sheet1 (2)"}</definedName>
    <definedName name="eeeeeeeeeeeeee" hidden="1">{#N/A,#N/A,FALSE,"Sheet1 (2)"}</definedName>
    <definedName name="eeeeeeeeeeeeee_1" localSheetId="0" hidden="1">{#N/A,#N/A,FALSE,"Sheet1 (2)"}</definedName>
    <definedName name="eeeeeeeeeeeeee_1" hidden="1">{#N/A,#N/A,FALSE,"Sheet1 (2)"}</definedName>
    <definedName name="eeeeeeeeeeeeee_1_1" localSheetId="0" hidden="1">{#N/A,#N/A,FALSE,"Sheet1 (2)"}</definedName>
    <definedName name="eeeeeeeeeeeeee_1_1" hidden="1">{#N/A,#N/A,FALSE,"Sheet1 (2)"}</definedName>
    <definedName name="eeeeeeeeeeeeee_1_2" localSheetId="0" hidden="1">{#N/A,#N/A,FALSE,"Sheet1 (2)"}</definedName>
    <definedName name="eeeeeeeeeeeeee_1_2" hidden="1">{#N/A,#N/A,FALSE,"Sheet1 (2)"}</definedName>
    <definedName name="eeeeeeeeeeeeee_1_3" localSheetId="0" hidden="1">{#N/A,#N/A,FALSE,"Sheet1 (2)"}</definedName>
    <definedName name="eeeeeeeeeeeeee_1_3" hidden="1">{#N/A,#N/A,FALSE,"Sheet1 (2)"}</definedName>
    <definedName name="eeeeeeeeeeeeee_2" localSheetId="0" hidden="1">{#N/A,#N/A,FALSE,"Sheet1 (2)"}</definedName>
    <definedName name="eeeeeeeeeeeeee_2" hidden="1">{#N/A,#N/A,FALSE,"Sheet1 (2)"}</definedName>
    <definedName name="eeeeeeeeeeeeee_2_1" localSheetId="0" hidden="1">{#N/A,#N/A,FALSE,"Sheet1 (2)"}</definedName>
    <definedName name="eeeeeeeeeeeeee_2_1" hidden="1">{#N/A,#N/A,FALSE,"Sheet1 (2)"}</definedName>
    <definedName name="eeeeeeeeeeeeee_2_2" localSheetId="0" hidden="1">{#N/A,#N/A,FALSE,"Sheet1 (2)"}</definedName>
    <definedName name="eeeeeeeeeeeeee_2_2" hidden="1">{#N/A,#N/A,FALSE,"Sheet1 (2)"}</definedName>
    <definedName name="eeeeeeeeeeeeee_3" localSheetId="0" hidden="1">{#N/A,#N/A,FALSE,"Sheet1 (2)"}</definedName>
    <definedName name="eeeeeeeeeeeeee_3" hidden="1">{#N/A,#N/A,FALSE,"Sheet1 (2)"}</definedName>
    <definedName name="eeeeeeeeeeeeee_4" localSheetId="0" hidden="1">{#N/A,#N/A,FALSE,"Sheet1 (2)"}</definedName>
    <definedName name="eeeeeeeeeeeeee_4" hidden="1">{#N/A,#N/A,FALSE,"Sheet1 (2)"}</definedName>
    <definedName name="eeeeeeeeeeeeeeeeeeeeeeeeeeeeee">#REF!</definedName>
    <definedName name="efe" hidden="1">#REF!</definedName>
    <definedName name="egef" localSheetId="0" hidden="1">{#N/A,#N/A,FALSE,"Sheet1 (2)"}</definedName>
    <definedName name="egef" hidden="1">{#N/A,#N/A,FALSE,"Sheet1 (2)"}</definedName>
    <definedName name="EGİRİŞİM">#REF!</definedName>
    <definedName name="EGUID">[21]Hidden_Data!$AA$29</definedName>
    <definedName name="ehrgher" localSheetId="0" hidden="1">{#N/A,#N/A,FALSE,"Sheet1 (2)"}</definedName>
    <definedName name="ehrgher" hidden="1">{#N/A,#N/A,FALSE,"Sheet1 (2)"}</definedName>
    <definedName name="ei" hidden="1">#REF!</definedName>
    <definedName name="EJİNTERNET">#REF!</definedName>
    <definedName name="EKİMGAZETE">#REF!</definedName>
    <definedName name="EKİMTV">#REF!</definedName>
    <definedName name="ekolay">#REF!</definedName>
    <definedName name="EKONOMKAĞIT">#REF!</definedName>
    <definedName name="EKŞİSÖZLÜK">#REF!</definedName>
    <definedName name="ELAZIĞ">#REF!</definedName>
    <definedName name="ELCA" localSheetId="0" hidden="1">{#N/A,#N/A,FALSE,"Sheet1 (2)"}</definedName>
    <definedName name="ELCA" hidden="1">{#N/A,#N/A,FALSE,"Sheet1 (2)"}</definedName>
    <definedName name="ElementTypeName">#REF!</definedName>
    <definedName name="elif" localSheetId="0" hidden="1">{#N/A,#N/A,FALSE,"MALİTABLOLAR"}</definedName>
    <definedName name="elif" hidden="1">{#N/A,#N/A,FALSE,"MALİTABLOLAR"}</definedName>
    <definedName name="elif_1" localSheetId="0" hidden="1">{#N/A,#N/A,FALSE,"MALİTABLOLAR"}</definedName>
    <definedName name="elif_1" hidden="1">{#N/A,#N/A,FALSE,"MALİTABLOLAR"}</definedName>
    <definedName name="elif_1_1" localSheetId="0" hidden="1">{#N/A,#N/A,FALSE,"MALİTABLOLAR"}</definedName>
    <definedName name="elif_1_1" hidden="1">{#N/A,#N/A,FALSE,"MALİTABLOLAR"}</definedName>
    <definedName name="elif_1_2" localSheetId="0" hidden="1">{#N/A,#N/A,FALSE,"MALİTABLOLAR"}</definedName>
    <definedName name="elif_1_2" hidden="1">{#N/A,#N/A,FALSE,"MALİTABLOLAR"}</definedName>
    <definedName name="elif_1_3" localSheetId="0" hidden="1">{#N/A,#N/A,FALSE,"MALİTABLOLAR"}</definedName>
    <definedName name="elif_1_3" hidden="1">{#N/A,#N/A,FALSE,"MALİTABLOLAR"}</definedName>
    <definedName name="elif_2" localSheetId="0" hidden="1">{#N/A,#N/A,FALSE,"MALİTABLOLAR"}</definedName>
    <definedName name="elif_2" hidden="1">{#N/A,#N/A,FALSE,"MALİTABLOLAR"}</definedName>
    <definedName name="elif_2_1" localSheetId="0" hidden="1">{#N/A,#N/A,FALSE,"MALİTABLOLAR"}</definedName>
    <definedName name="elif_2_1" hidden="1">{#N/A,#N/A,FALSE,"MALİTABLOLAR"}</definedName>
    <definedName name="elif_2_2" localSheetId="0" hidden="1">{#N/A,#N/A,FALSE,"MALİTABLOLAR"}</definedName>
    <definedName name="elif_2_2" hidden="1">{#N/A,#N/A,FALSE,"MALİTABLOLAR"}</definedName>
    <definedName name="elif_3" localSheetId="0" hidden="1">{#N/A,#N/A,FALSE,"MALİTABLOLAR"}</definedName>
    <definedName name="elif_3" hidden="1">{#N/A,#N/A,FALSE,"MALİTABLOLAR"}</definedName>
    <definedName name="elif_4" localSheetId="0" hidden="1">{#N/A,#N/A,FALSE,"MALİTABLOLAR"}</definedName>
    <definedName name="elif_4" hidden="1">{#N/A,#N/A,FALSE,"MALİTABLOLAR"}</definedName>
    <definedName name="elv" localSheetId="0" hidden="1">{#N/A,#N/A,FALSE,"MALİTABLOLAR"}</definedName>
    <definedName name="elv" hidden="1">{#N/A,#N/A,FALSE,"MALİTABLOLAR"}</definedName>
    <definedName name="elv_1" localSheetId="0" hidden="1">{#N/A,#N/A,FALSE,"MALİTABLOLAR"}</definedName>
    <definedName name="elv_1" hidden="1">{#N/A,#N/A,FALSE,"MALİTABLOLAR"}</definedName>
    <definedName name="elv_1_1" localSheetId="0" hidden="1">{#N/A,#N/A,FALSE,"MALİTABLOLAR"}</definedName>
    <definedName name="elv_1_1" hidden="1">{#N/A,#N/A,FALSE,"MALİTABLOLAR"}</definedName>
    <definedName name="elv_1_2" localSheetId="0" hidden="1">{#N/A,#N/A,FALSE,"MALİTABLOLAR"}</definedName>
    <definedName name="elv_1_2" hidden="1">{#N/A,#N/A,FALSE,"MALİTABLOLAR"}</definedName>
    <definedName name="elv_1_3" localSheetId="0" hidden="1">{#N/A,#N/A,FALSE,"MALİTABLOLAR"}</definedName>
    <definedName name="elv_1_3" hidden="1">{#N/A,#N/A,FALSE,"MALİTABLOLAR"}</definedName>
    <definedName name="elv_2" localSheetId="0" hidden="1">{#N/A,#N/A,FALSE,"MALİTABLOLAR"}</definedName>
    <definedName name="elv_2" hidden="1">{#N/A,#N/A,FALSE,"MALİTABLOLAR"}</definedName>
    <definedName name="elv_2_1" localSheetId="0" hidden="1">{#N/A,#N/A,FALSE,"MALİTABLOLAR"}</definedName>
    <definedName name="elv_2_1" hidden="1">{#N/A,#N/A,FALSE,"MALİTABLOLAR"}</definedName>
    <definedName name="elv_2_2" localSheetId="0" hidden="1">{#N/A,#N/A,FALSE,"MALİTABLOLAR"}</definedName>
    <definedName name="elv_2_2" hidden="1">{#N/A,#N/A,FALSE,"MALİTABLOLAR"}</definedName>
    <definedName name="elv_3" localSheetId="0" hidden="1">{#N/A,#N/A,FALSE,"MALİTABLOLAR"}</definedName>
    <definedName name="elv_3" hidden="1">{#N/A,#N/A,FALSE,"MALİTABLOLAR"}</definedName>
    <definedName name="elv_4" localSheetId="0" hidden="1">{#N/A,#N/A,FALSE,"MALİTABLOLAR"}</definedName>
    <definedName name="elv_4" hidden="1">{#N/A,#N/A,FALSE,"MALİTABLOLAR"}</definedName>
    <definedName name="elvan" localSheetId="0" hidden="1">{#N/A,#N/A,FALSE,"MALİTABLOLAR"}</definedName>
    <definedName name="elvan" hidden="1">{#N/A,#N/A,FALSE,"MALİTABLOLAR"}</definedName>
    <definedName name="elvan_1" localSheetId="0" hidden="1">{#N/A,#N/A,FALSE,"MALİTABLOLAR"}</definedName>
    <definedName name="elvan_1" hidden="1">{#N/A,#N/A,FALSE,"MALİTABLOLAR"}</definedName>
    <definedName name="elvan_1_1" localSheetId="0" hidden="1">{#N/A,#N/A,FALSE,"MALİTABLOLAR"}</definedName>
    <definedName name="elvan_1_1" hidden="1">{#N/A,#N/A,FALSE,"MALİTABLOLAR"}</definedName>
    <definedName name="elvan_1_2" localSheetId="0" hidden="1">{#N/A,#N/A,FALSE,"MALİTABLOLAR"}</definedName>
    <definedName name="elvan_1_2" hidden="1">{#N/A,#N/A,FALSE,"MALİTABLOLAR"}</definedName>
    <definedName name="elvan_1_3" localSheetId="0" hidden="1">{#N/A,#N/A,FALSE,"MALİTABLOLAR"}</definedName>
    <definedName name="elvan_1_3" hidden="1">{#N/A,#N/A,FALSE,"MALİTABLOLAR"}</definedName>
    <definedName name="elvan_2" localSheetId="0" hidden="1">{#N/A,#N/A,FALSE,"MALİTABLOLAR"}</definedName>
    <definedName name="elvan_2" hidden="1">{#N/A,#N/A,FALSE,"MALİTABLOLAR"}</definedName>
    <definedName name="elvan_2_1" localSheetId="0" hidden="1">{#N/A,#N/A,FALSE,"MALİTABLOLAR"}</definedName>
    <definedName name="elvan_2_1" hidden="1">{#N/A,#N/A,FALSE,"MALİTABLOLAR"}</definedName>
    <definedName name="elvan_2_2" localSheetId="0" hidden="1">{#N/A,#N/A,FALSE,"MALİTABLOLAR"}</definedName>
    <definedName name="elvan_2_2" hidden="1">{#N/A,#N/A,FALSE,"MALİTABLOLAR"}</definedName>
    <definedName name="elvan_3" localSheetId="0" hidden="1">{#N/A,#N/A,FALSE,"MALİTABLOLAR"}</definedName>
    <definedName name="elvan_3" hidden="1">{#N/A,#N/A,FALSE,"MALİTABLOLAR"}</definedName>
    <definedName name="elvan_4" localSheetId="0" hidden="1">{#N/A,#N/A,FALSE,"MALİTABLOLAR"}</definedName>
    <definedName name="elvan_4" hidden="1">{#N/A,#N/A,FALSE,"MALİTABLOLAR"}</definedName>
    <definedName name="em" localSheetId="0">'Haziran Gerçekleşen Plan'!em</definedName>
    <definedName name="em">[0]!em</definedName>
    <definedName name="emküaliemük">#REF!</definedName>
    <definedName name="emreee" localSheetId="0" hidden="1">{#N/A,#N/A,FALSE,"Sheet1 (2)"}</definedName>
    <definedName name="emreee" hidden="1">{#N/A,#N/A,FALSE,"Sheet1 (2)"}</definedName>
    <definedName name="emreee_1" localSheetId="0" hidden="1">{#N/A,#N/A,FALSE,"Sheet1 (2)"}</definedName>
    <definedName name="emreee_1" hidden="1">{#N/A,#N/A,FALSE,"Sheet1 (2)"}</definedName>
    <definedName name="emreee_1_1" localSheetId="0" hidden="1">{#N/A,#N/A,FALSE,"Sheet1 (2)"}</definedName>
    <definedName name="emreee_1_1" hidden="1">{#N/A,#N/A,FALSE,"Sheet1 (2)"}</definedName>
    <definedName name="emreee_1_2" localSheetId="0" hidden="1">{#N/A,#N/A,FALSE,"Sheet1 (2)"}</definedName>
    <definedName name="emreee_1_2" hidden="1">{#N/A,#N/A,FALSE,"Sheet1 (2)"}</definedName>
    <definedName name="emreee_1_3" localSheetId="0" hidden="1">{#N/A,#N/A,FALSE,"Sheet1 (2)"}</definedName>
    <definedName name="emreee_1_3" hidden="1">{#N/A,#N/A,FALSE,"Sheet1 (2)"}</definedName>
    <definedName name="emreee_2" localSheetId="0" hidden="1">{#N/A,#N/A,FALSE,"Sheet1 (2)"}</definedName>
    <definedName name="emreee_2" hidden="1">{#N/A,#N/A,FALSE,"Sheet1 (2)"}</definedName>
    <definedName name="emreee_2_1" localSheetId="0" hidden="1">{#N/A,#N/A,FALSE,"Sheet1 (2)"}</definedName>
    <definedName name="emreee_2_1" hidden="1">{#N/A,#N/A,FALSE,"Sheet1 (2)"}</definedName>
    <definedName name="emreee_2_2" localSheetId="0" hidden="1">{#N/A,#N/A,FALSE,"Sheet1 (2)"}</definedName>
    <definedName name="emreee_2_2" hidden="1">{#N/A,#N/A,FALSE,"Sheet1 (2)"}</definedName>
    <definedName name="emreee_3" localSheetId="0" hidden="1">{#N/A,#N/A,FALSE,"Sheet1 (2)"}</definedName>
    <definedName name="emreee_3" hidden="1">{#N/A,#N/A,FALSE,"Sheet1 (2)"}</definedName>
    <definedName name="emreee_4" localSheetId="0" hidden="1">{#N/A,#N/A,FALSE,"Sheet1 (2)"}</definedName>
    <definedName name="emreee_4" hidden="1">{#N/A,#N/A,FALSE,"Sheet1 (2)"}</definedName>
    <definedName name="end" localSheetId="0">'Haziran Gerçekleşen Plan'!end</definedName>
    <definedName name="end">[0]!end</definedName>
    <definedName name="End_Date">'[31]Option #1'!$AS$3</definedName>
    <definedName name="end_row">#REF!</definedName>
    <definedName name="EndDate">#REF!</definedName>
    <definedName name="energy">#REF!</definedName>
    <definedName name="EnfSec">[21]Hidden_Data!$AA$27</definedName>
    <definedName name="engin" localSheetId="0">'Haziran Gerçekleşen Plan'!engin</definedName>
    <definedName name="engin">[0]!engin</definedName>
    <definedName name="ENKOLAY">#REF!</definedName>
    <definedName name="ENSONHABERMEDYA">#REF!</definedName>
    <definedName name="ENUYGUN">#REF!</definedName>
    <definedName name="EOTEKNOLOJİ">#REF!</definedName>
    <definedName name="ER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ER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ER_1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ER_1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ER_1_1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ER_1_1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ER_1_2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ER_1_2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ER_1_3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ER_1_3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ER_2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ER_2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ER_2_1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ER_2_1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ER_2_2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ER_2_2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ER_3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ER_3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ER_4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ER_4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er5w454ty" localSheetId="0" hidden="1">{#N/A,#N/A,FALSE,"Sheet1 (2)"}</definedName>
    <definedName name="er5w454ty" hidden="1">{#N/A,#N/A,FALSE,"Sheet1 (2)"}</definedName>
    <definedName name="er5w454ty_1" localSheetId="0" hidden="1">{#N/A,#N/A,FALSE,"Sheet1 (2)"}</definedName>
    <definedName name="er5w454ty_1" hidden="1">{#N/A,#N/A,FALSE,"Sheet1 (2)"}</definedName>
    <definedName name="er5w454ty_1_1" localSheetId="0" hidden="1">{#N/A,#N/A,FALSE,"Sheet1 (2)"}</definedName>
    <definedName name="er5w454ty_1_1" hidden="1">{#N/A,#N/A,FALSE,"Sheet1 (2)"}</definedName>
    <definedName name="er5w454ty_1_2" localSheetId="0" hidden="1">{#N/A,#N/A,FALSE,"Sheet1 (2)"}</definedName>
    <definedName name="er5w454ty_1_2" hidden="1">{#N/A,#N/A,FALSE,"Sheet1 (2)"}</definedName>
    <definedName name="er5w454ty_1_3" localSheetId="0" hidden="1">{#N/A,#N/A,FALSE,"Sheet1 (2)"}</definedName>
    <definedName name="er5w454ty_1_3" hidden="1">{#N/A,#N/A,FALSE,"Sheet1 (2)"}</definedName>
    <definedName name="er5w454ty_2" localSheetId="0" hidden="1">{#N/A,#N/A,FALSE,"Sheet1 (2)"}</definedName>
    <definedName name="er5w454ty_2" hidden="1">{#N/A,#N/A,FALSE,"Sheet1 (2)"}</definedName>
    <definedName name="er5w454ty_2_1" localSheetId="0" hidden="1">{#N/A,#N/A,FALSE,"Sheet1 (2)"}</definedName>
    <definedName name="er5w454ty_2_1" hidden="1">{#N/A,#N/A,FALSE,"Sheet1 (2)"}</definedName>
    <definedName name="er5w454ty_2_2" localSheetId="0" hidden="1">{#N/A,#N/A,FALSE,"Sheet1 (2)"}</definedName>
    <definedName name="er5w454ty_2_2" hidden="1">{#N/A,#N/A,FALSE,"Sheet1 (2)"}</definedName>
    <definedName name="er5w454ty_3" localSheetId="0" hidden="1">{#N/A,#N/A,FALSE,"Sheet1 (2)"}</definedName>
    <definedName name="er5w454ty_3" hidden="1">{#N/A,#N/A,FALSE,"Sheet1 (2)"}</definedName>
    <definedName name="er5w454ty_4" localSheetId="0" hidden="1">{#N/A,#N/A,FALSE,"Sheet1 (2)"}</definedName>
    <definedName name="er5w454ty_4" hidden="1">{#N/A,#N/A,FALSE,"Sheet1 (2)"}</definedName>
    <definedName name="era" localSheetId="0" hidden="1">{#N/A,#N/A,FALSE,"Sheet1 (2)"}</definedName>
    <definedName name="era" hidden="1">{#N/A,#N/A,FALSE,"Sheet1 (2)"}</definedName>
    <definedName name="era_1" localSheetId="0" hidden="1">{#N/A,#N/A,FALSE,"Sheet1 (2)"}</definedName>
    <definedName name="era_1" hidden="1">{#N/A,#N/A,FALSE,"Sheet1 (2)"}</definedName>
    <definedName name="era_1_1" localSheetId="0" hidden="1">{#N/A,#N/A,FALSE,"Sheet1 (2)"}</definedName>
    <definedName name="era_1_1" hidden="1">{#N/A,#N/A,FALSE,"Sheet1 (2)"}</definedName>
    <definedName name="era_1_2" localSheetId="0" hidden="1">{#N/A,#N/A,FALSE,"Sheet1 (2)"}</definedName>
    <definedName name="era_1_2" hidden="1">{#N/A,#N/A,FALSE,"Sheet1 (2)"}</definedName>
    <definedName name="era_1_3" localSheetId="0" hidden="1">{#N/A,#N/A,FALSE,"Sheet1 (2)"}</definedName>
    <definedName name="era_1_3" hidden="1">{#N/A,#N/A,FALSE,"Sheet1 (2)"}</definedName>
    <definedName name="era_2" localSheetId="0" hidden="1">{#N/A,#N/A,FALSE,"Sheet1 (2)"}</definedName>
    <definedName name="era_2" hidden="1">{#N/A,#N/A,FALSE,"Sheet1 (2)"}</definedName>
    <definedName name="era_2_1" localSheetId="0" hidden="1">{#N/A,#N/A,FALSE,"Sheet1 (2)"}</definedName>
    <definedName name="era_2_1" hidden="1">{#N/A,#N/A,FALSE,"Sheet1 (2)"}</definedName>
    <definedName name="era_2_2" localSheetId="0" hidden="1">{#N/A,#N/A,FALSE,"Sheet1 (2)"}</definedName>
    <definedName name="era_2_2" hidden="1">{#N/A,#N/A,FALSE,"Sheet1 (2)"}</definedName>
    <definedName name="era_3" localSheetId="0" hidden="1">{#N/A,#N/A,FALSE,"Sheet1 (2)"}</definedName>
    <definedName name="era_3" hidden="1">{#N/A,#N/A,FALSE,"Sheet1 (2)"}</definedName>
    <definedName name="era_4" localSheetId="0" hidden="1">{#N/A,#N/A,FALSE,"Sheet1 (2)"}</definedName>
    <definedName name="era_4" hidden="1">{#N/A,#N/A,FALSE,"Sheet1 (2)"}</definedName>
    <definedName name="ERAY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RAY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RAY1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ERAY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eree" localSheetId="0" hidden="1">{#N/A,#N/A,FALSE,"Sheet1 (2)"}</definedName>
    <definedName name="eree" hidden="1">{#N/A,#N/A,FALSE,"Sheet1 (2)"}</definedName>
    <definedName name="eree_1" localSheetId="0" hidden="1">{#N/A,#N/A,FALSE,"Sheet1 (2)"}</definedName>
    <definedName name="eree_1" hidden="1">{#N/A,#N/A,FALSE,"Sheet1 (2)"}</definedName>
    <definedName name="eree_1_1" localSheetId="0" hidden="1">{#N/A,#N/A,FALSE,"Sheet1 (2)"}</definedName>
    <definedName name="eree_1_1" hidden="1">{#N/A,#N/A,FALSE,"Sheet1 (2)"}</definedName>
    <definedName name="eree_1_2" localSheetId="0" hidden="1">{#N/A,#N/A,FALSE,"Sheet1 (2)"}</definedName>
    <definedName name="eree_1_2" hidden="1">{#N/A,#N/A,FALSE,"Sheet1 (2)"}</definedName>
    <definedName name="eree_1_3" localSheetId="0" hidden="1">{#N/A,#N/A,FALSE,"Sheet1 (2)"}</definedName>
    <definedName name="eree_1_3" hidden="1">{#N/A,#N/A,FALSE,"Sheet1 (2)"}</definedName>
    <definedName name="eree_2" localSheetId="0" hidden="1">{#N/A,#N/A,FALSE,"Sheet1 (2)"}</definedName>
    <definedName name="eree_2" hidden="1">{#N/A,#N/A,FALSE,"Sheet1 (2)"}</definedName>
    <definedName name="eree_2_1" localSheetId="0" hidden="1">{#N/A,#N/A,FALSE,"Sheet1 (2)"}</definedName>
    <definedName name="eree_2_1" hidden="1">{#N/A,#N/A,FALSE,"Sheet1 (2)"}</definedName>
    <definedName name="eree_2_2" localSheetId="0" hidden="1">{#N/A,#N/A,FALSE,"Sheet1 (2)"}</definedName>
    <definedName name="eree_2_2" hidden="1">{#N/A,#N/A,FALSE,"Sheet1 (2)"}</definedName>
    <definedName name="eree_3" localSheetId="0" hidden="1">{#N/A,#N/A,FALSE,"Sheet1 (2)"}</definedName>
    <definedName name="eree_3" hidden="1">{#N/A,#N/A,FALSE,"Sheet1 (2)"}</definedName>
    <definedName name="eree_4" localSheetId="0" hidden="1">{#N/A,#N/A,FALSE,"Sheet1 (2)"}</definedName>
    <definedName name="eree_4" hidden="1">{#N/A,#N/A,FALSE,"Sheet1 (2)"}</definedName>
    <definedName name="erer" localSheetId="0" hidden="1">{#N/A,#N/A,FALSE,"Sheet1 (2)"}</definedName>
    <definedName name="erer" hidden="1">{#N/A,#N/A,FALSE,"Sheet1 (2)"}</definedName>
    <definedName name="erer_1" localSheetId="0" hidden="1">{#N/A,#N/A,FALSE,"Sheet1 (2)"}</definedName>
    <definedName name="erer_1" hidden="1">{#N/A,#N/A,FALSE,"Sheet1 (2)"}</definedName>
    <definedName name="erer_1_1" localSheetId="0" hidden="1">{#N/A,#N/A,FALSE,"Sheet1 (2)"}</definedName>
    <definedName name="erer_1_1" hidden="1">{#N/A,#N/A,FALSE,"Sheet1 (2)"}</definedName>
    <definedName name="erer_1_2" localSheetId="0" hidden="1">{#N/A,#N/A,FALSE,"Sheet1 (2)"}</definedName>
    <definedName name="erer_1_2" hidden="1">{#N/A,#N/A,FALSE,"Sheet1 (2)"}</definedName>
    <definedName name="erer_1_3" localSheetId="0" hidden="1">{#N/A,#N/A,FALSE,"Sheet1 (2)"}</definedName>
    <definedName name="erer_1_3" hidden="1">{#N/A,#N/A,FALSE,"Sheet1 (2)"}</definedName>
    <definedName name="erer_2" localSheetId="0" hidden="1">{#N/A,#N/A,FALSE,"Sheet1 (2)"}</definedName>
    <definedName name="erer_2" hidden="1">{#N/A,#N/A,FALSE,"Sheet1 (2)"}</definedName>
    <definedName name="erer_2_1" localSheetId="0" hidden="1">{#N/A,#N/A,FALSE,"Sheet1 (2)"}</definedName>
    <definedName name="erer_2_1" hidden="1">{#N/A,#N/A,FALSE,"Sheet1 (2)"}</definedName>
    <definedName name="erer_2_2" localSheetId="0" hidden="1">{#N/A,#N/A,FALSE,"Sheet1 (2)"}</definedName>
    <definedName name="erer_2_2" hidden="1">{#N/A,#N/A,FALSE,"Sheet1 (2)"}</definedName>
    <definedName name="erer_3" localSheetId="0" hidden="1">{#N/A,#N/A,FALSE,"Sheet1 (2)"}</definedName>
    <definedName name="erer_3" hidden="1">{#N/A,#N/A,FALSE,"Sheet1 (2)"}</definedName>
    <definedName name="erer_4" localSheetId="0" hidden="1">{#N/A,#N/A,FALSE,"Sheet1 (2)"}</definedName>
    <definedName name="erer_4" hidden="1">{#N/A,#N/A,FALSE,"Sheet1 (2)"}</definedName>
    <definedName name="erere" localSheetId="0" hidden="1">{#N/A,#N/A,FALSE,"Sheet1 (2)"}</definedName>
    <definedName name="erere" hidden="1">{#N/A,#N/A,FALSE,"Sheet1 (2)"}</definedName>
    <definedName name="erere_1" localSheetId="0" hidden="1">{#N/A,#N/A,FALSE,"Sheet1 (2)"}</definedName>
    <definedName name="erere_1" hidden="1">{#N/A,#N/A,FALSE,"Sheet1 (2)"}</definedName>
    <definedName name="erere_1_1" localSheetId="0" hidden="1">{#N/A,#N/A,FALSE,"Sheet1 (2)"}</definedName>
    <definedName name="erere_1_1" hidden="1">{#N/A,#N/A,FALSE,"Sheet1 (2)"}</definedName>
    <definedName name="erere_1_2" localSheetId="0" hidden="1">{#N/A,#N/A,FALSE,"Sheet1 (2)"}</definedName>
    <definedName name="erere_1_2" hidden="1">{#N/A,#N/A,FALSE,"Sheet1 (2)"}</definedName>
    <definedName name="erere_1_3" localSheetId="0" hidden="1">{#N/A,#N/A,FALSE,"Sheet1 (2)"}</definedName>
    <definedName name="erere_1_3" hidden="1">{#N/A,#N/A,FALSE,"Sheet1 (2)"}</definedName>
    <definedName name="erere_2" localSheetId="0" hidden="1">{#N/A,#N/A,FALSE,"Sheet1 (2)"}</definedName>
    <definedName name="erere_2" hidden="1">{#N/A,#N/A,FALSE,"Sheet1 (2)"}</definedName>
    <definedName name="erere_2_1" localSheetId="0" hidden="1">{#N/A,#N/A,FALSE,"Sheet1 (2)"}</definedName>
    <definedName name="erere_2_1" hidden="1">{#N/A,#N/A,FALSE,"Sheet1 (2)"}</definedName>
    <definedName name="erere_2_2" localSheetId="0" hidden="1">{#N/A,#N/A,FALSE,"Sheet1 (2)"}</definedName>
    <definedName name="erere_2_2" hidden="1">{#N/A,#N/A,FALSE,"Sheet1 (2)"}</definedName>
    <definedName name="erere_3" localSheetId="0" hidden="1">{#N/A,#N/A,FALSE,"Sheet1 (2)"}</definedName>
    <definedName name="erere_3" hidden="1">{#N/A,#N/A,FALSE,"Sheet1 (2)"}</definedName>
    <definedName name="erere_4" localSheetId="0" hidden="1">{#N/A,#N/A,FALSE,"Sheet1 (2)"}</definedName>
    <definedName name="erere_4" hidden="1">{#N/A,#N/A,FALSE,"Sheet1 (2)"}</definedName>
    <definedName name="ERF" localSheetId="0" hidden="1">{#N/A,#N/A,FALSE,"Sheet1 (2)"}</definedName>
    <definedName name="ERF" hidden="1">{#N/A,#N/A,FALSE,"Sheet1 (2)"}</definedName>
    <definedName name="erqer" localSheetId="0" hidden="1">{#N/A,#N/A,FALSE,"Sheet1 (2)"}</definedName>
    <definedName name="erqer" hidden="1">{#N/A,#N/A,FALSE,"Sheet1 (2)"}</definedName>
    <definedName name="erqer_1" localSheetId="0" hidden="1">{#N/A,#N/A,FALSE,"Sheet1 (2)"}</definedName>
    <definedName name="erqer_1" hidden="1">{#N/A,#N/A,FALSE,"Sheet1 (2)"}</definedName>
    <definedName name="erqer_1_1" localSheetId="0" hidden="1">{#N/A,#N/A,FALSE,"Sheet1 (2)"}</definedName>
    <definedName name="erqer_1_1" hidden="1">{#N/A,#N/A,FALSE,"Sheet1 (2)"}</definedName>
    <definedName name="erqer_1_2" localSheetId="0" hidden="1">{#N/A,#N/A,FALSE,"Sheet1 (2)"}</definedName>
    <definedName name="erqer_1_2" hidden="1">{#N/A,#N/A,FALSE,"Sheet1 (2)"}</definedName>
    <definedName name="erqer_1_3" localSheetId="0" hidden="1">{#N/A,#N/A,FALSE,"Sheet1 (2)"}</definedName>
    <definedName name="erqer_1_3" hidden="1">{#N/A,#N/A,FALSE,"Sheet1 (2)"}</definedName>
    <definedName name="erqer_2" localSheetId="0" hidden="1">{#N/A,#N/A,FALSE,"Sheet1 (2)"}</definedName>
    <definedName name="erqer_2" hidden="1">{#N/A,#N/A,FALSE,"Sheet1 (2)"}</definedName>
    <definedName name="erqer_2_1" localSheetId="0" hidden="1">{#N/A,#N/A,FALSE,"Sheet1 (2)"}</definedName>
    <definedName name="erqer_2_1" hidden="1">{#N/A,#N/A,FALSE,"Sheet1 (2)"}</definedName>
    <definedName name="erqer_2_2" localSheetId="0" hidden="1">{#N/A,#N/A,FALSE,"Sheet1 (2)"}</definedName>
    <definedName name="erqer_2_2" hidden="1">{#N/A,#N/A,FALSE,"Sheet1 (2)"}</definedName>
    <definedName name="erqer_3" localSheetId="0" hidden="1">{#N/A,#N/A,FALSE,"Sheet1 (2)"}</definedName>
    <definedName name="erqer_3" hidden="1">{#N/A,#N/A,FALSE,"Sheet1 (2)"}</definedName>
    <definedName name="erqer_4" localSheetId="0" hidden="1">{#N/A,#N/A,FALSE,"Sheet1 (2)"}</definedName>
    <definedName name="erqer_4" hidden="1">{#N/A,#N/A,FALSE,"Sheet1 (2)"}</definedName>
    <definedName name="ErrorCodes">[21]Hidden_Data!$AB$10:$AD$61</definedName>
    <definedName name="ertyjhnfd" localSheetId="0" hidden="1">{#N/A,#N/A,FALSE,"Sheet1 (2)"}</definedName>
    <definedName name="ertyjhnfd" hidden="1">{#N/A,#N/A,FALSE,"Sheet1 (2)"}</definedName>
    <definedName name="ertyjhnfd_1" localSheetId="0" hidden="1">{#N/A,#N/A,FALSE,"Sheet1 (2)"}</definedName>
    <definedName name="ertyjhnfd_1" hidden="1">{#N/A,#N/A,FALSE,"Sheet1 (2)"}</definedName>
    <definedName name="ertyjhnfd_1_1" localSheetId="0" hidden="1">{#N/A,#N/A,FALSE,"Sheet1 (2)"}</definedName>
    <definedName name="ertyjhnfd_1_1" hidden="1">{#N/A,#N/A,FALSE,"Sheet1 (2)"}</definedName>
    <definedName name="ertyjhnfd_1_2" localSheetId="0" hidden="1">{#N/A,#N/A,FALSE,"Sheet1 (2)"}</definedName>
    <definedName name="ertyjhnfd_1_2" hidden="1">{#N/A,#N/A,FALSE,"Sheet1 (2)"}</definedName>
    <definedName name="ertyjhnfd_1_3" localSheetId="0" hidden="1">{#N/A,#N/A,FALSE,"Sheet1 (2)"}</definedName>
    <definedName name="ertyjhnfd_1_3" hidden="1">{#N/A,#N/A,FALSE,"Sheet1 (2)"}</definedName>
    <definedName name="ertyjhnfd_2" localSheetId="0" hidden="1">{#N/A,#N/A,FALSE,"Sheet1 (2)"}</definedName>
    <definedName name="ertyjhnfd_2" hidden="1">{#N/A,#N/A,FALSE,"Sheet1 (2)"}</definedName>
    <definedName name="ertyjhnfd_2_1" localSheetId="0" hidden="1">{#N/A,#N/A,FALSE,"Sheet1 (2)"}</definedName>
    <definedName name="ertyjhnfd_2_1" hidden="1">{#N/A,#N/A,FALSE,"Sheet1 (2)"}</definedName>
    <definedName name="ertyjhnfd_2_2" localSheetId="0" hidden="1">{#N/A,#N/A,FALSE,"Sheet1 (2)"}</definedName>
    <definedName name="ertyjhnfd_2_2" hidden="1">{#N/A,#N/A,FALSE,"Sheet1 (2)"}</definedName>
    <definedName name="ertyjhnfd_3" localSheetId="0" hidden="1">{#N/A,#N/A,FALSE,"Sheet1 (2)"}</definedName>
    <definedName name="ertyjhnfd_3" hidden="1">{#N/A,#N/A,FALSE,"Sheet1 (2)"}</definedName>
    <definedName name="ertyjhnfd_4" localSheetId="0" hidden="1">{#N/A,#N/A,FALSE,"Sheet1 (2)"}</definedName>
    <definedName name="ertyjhnfd_4" hidden="1">{#N/A,#N/A,FALSE,"Sheet1 (2)"}</definedName>
    <definedName name="erwert" localSheetId="0" hidden="1">{#N/A,#N/A,FALSE,"Sheet1 (2)"}</definedName>
    <definedName name="erwert" hidden="1">{#N/A,#N/A,FALSE,"Sheet1 (2)"}</definedName>
    <definedName name="erwert_1" localSheetId="0" hidden="1">{#N/A,#N/A,FALSE,"Sheet1 (2)"}</definedName>
    <definedName name="erwert_1" hidden="1">{#N/A,#N/A,FALSE,"Sheet1 (2)"}</definedName>
    <definedName name="erwert_1_1" localSheetId="0" hidden="1">{#N/A,#N/A,FALSE,"Sheet1 (2)"}</definedName>
    <definedName name="erwert_1_1" hidden="1">{#N/A,#N/A,FALSE,"Sheet1 (2)"}</definedName>
    <definedName name="erwert_1_2" localSheetId="0" hidden="1">{#N/A,#N/A,FALSE,"Sheet1 (2)"}</definedName>
    <definedName name="erwert_1_2" hidden="1">{#N/A,#N/A,FALSE,"Sheet1 (2)"}</definedName>
    <definedName name="erwert_1_3" localSheetId="0" hidden="1">{#N/A,#N/A,FALSE,"Sheet1 (2)"}</definedName>
    <definedName name="erwert_1_3" hidden="1">{#N/A,#N/A,FALSE,"Sheet1 (2)"}</definedName>
    <definedName name="erwert_2" localSheetId="0" hidden="1">{#N/A,#N/A,FALSE,"Sheet1 (2)"}</definedName>
    <definedName name="erwert_2" hidden="1">{#N/A,#N/A,FALSE,"Sheet1 (2)"}</definedName>
    <definedName name="erwert_2_1" localSheetId="0" hidden="1">{#N/A,#N/A,FALSE,"Sheet1 (2)"}</definedName>
    <definedName name="erwert_2_1" hidden="1">{#N/A,#N/A,FALSE,"Sheet1 (2)"}</definedName>
    <definedName name="erwert_2_2" localSheetId="0" hidden="1">{#N/A,#N/A,FALSE,"Sheet1 (2)"}</definedName>
    <definedName name="erwert_2_2" hidden="1">{#N/A,#N/A,FALSE,"Sheet1 (2)"}</definedName>
    <definedName name="erwert_3" localSheetId="0" hidden="1">{#N/A,#N/A,FALSE,"Sheet1 (2)"}</definedName>
    <definedName name="erwert_3" hidden="1">{#N/A,#N/A,FALSE,"Sheet1 (2)"}</definedName>
    <definedName name="erwert_4" localSheetId="0" hidden="1">{#N/A,#N/A,FALSE,"Sheet1 (2)"}</definedName>
    <definedName name="erwert_4" hidden="1">{#N/A,#N/A,FALSE,"Sheet1 (2)"}</definedName>
    <definedName name="ERZİNCAN">#REF!</definedName>
    <definedName name="ERZURUM">#REF!</definedName>
    <definedName name="eski" localSheetId="0" hidden="1">{#N/A,#N/A,FALSE,"Sheet1 (2)"}</definedName>
    <definedName name="eski" hidden="1">{#N/A,#N/A,FALSE,"Sheet1 (2)"}</definedName>
    <definedName name="eski_1" localSheetId="0" hidden="1">{#N/A,#N/A,FALSE,"Sheet1 (2)"}</definedName>
    <definedName name="eski_1" hidden="1">{#N/A,#N/A,FALSE,"Sheet1 (2)"}</definedName>
    <definedName name="eski_1_1" localSheetId="0" hidden="1">{#N/A,#N/A,FALSE,"Sheet1 (2)"}</definedName>
    <definedName name="eski_1_1" hidden="1">{#N/A,#N/A,FALSE,"Sheet1 (2)"}</definedName>
    <definedName name="eski_1_2" localSheetId="0" hidden="1">{#N/A,#N/A,FALSE,"Sheet1 (2)"}</definedName>
    <definedName name="eski_1_2" hidden="1">{#N/A,#N/A,FALSE,"Sheet1 (2)"}</definedName>
    <definedName name="eski_1_3" localSheetId="0" hidden="1">{#N/A,#N/A,FALSE,"Sheet1 (2)"}</definedName>
    <definedName name="eski_1_3" hidden="1">{#N/A,#N/A,FALSE,"Sheet1 (2)"}</definedName>
    <definedName name="eski_2" localSheetId="0" hidden="1">{#N/A,#N/A,FALSE,"Sheet1 (2)"}</definedName>
    <definedName name="eski_2" hidden="1">{#N/A,#N/A,FALSE,"Sheet1 (2)"}</definedName>
    <definedName name="eski_2_1" localSheetId="0" hidden="1">{#N/A,#N/A,FALSE,"Sheet1 (2)"}</definedName>
    <definedName name="eski_2_1" hidden="1">{#N/A,#N/A,FALSE,"Sheet1 (2)"}</definedName>
    <definedName name="eski_2_2" localSheetId="0" hidden="1">{#N/A,#N/A,FALSE,"Sheet1 (2)"}</definedName>
    <definedName name="eski_2_2" hidden="1">{#N/A,#N/A,FALSE,"Sheet1 (2)"}</definedName>
    <definedName name="eski_3" localSheetId="0" hidden="1">{#N/A,#N/A,FALSE,"Sheet1 (2)"}</definedName>
    <definedName name="eski_3" hidden="1">{#N/A,#N/A,FALSE,"Sheet1 (2)"}</definedName>
    <definedName name="eski_4" localSheetId="0" hidden="1">{#N/A,#N/A,FALSE,"Sheet1 (2)"}</definedName>
    <definedName name="eski_4" hidden="1">{#N/A,#N/A,FALSE,"Sheet1 (2)"}</definedName>
    <definedName name="ESKİŞEHİR">#REF!</definedName>
    <definedName name="EssAliasTable">"Default"</definedName>
    <definedName name="EssLatest">"y2k"</definedName>
    <definedName name="EssOptions">"1010000100011000_01000"</definedName>
    <definedName name="ESTETİK">#REF!</definedName>
    <definedName name="ESTGRP">'[74]SpotList (2)'!$N$11:$N$500</definedName>
    <definedName name="EstImpressions">#REF!</definedName>
    <definedName name="etr5ytyty" localSheetId="0" hidden="1">{#N/A,#N/A,FALSE,"Sheet1 (2)"}</definedName>
    <definedName name="etr5ytyty" hidden="1">{#N/A,#N/A,FALSE,"Sheet1 (2)"}</definedName>
    <definedName name="etr5ytyty_1" localSheetId="0" hidden="1">{#N/A,#N/A,FALSE,"Sheet1 (2)"}</definedName>
    <definedName name="etr5ytyty_1" hidden="1">{#N/A,#N/A,FALSE,"Sheet1 (2)"}</definedName>
    <definedName name="etr5ytyty_1_1" localSheetId="0" hidden="1">{#N/A,#N/A,FALSE,"Sheet1 (2)"}</definedName>
    <definedName name="etr5ytyty_1_1" hidden="1">{#N/A,#N/A,FALSE,"Sheet1 (2)"}</definedName>
    <definedName name="etr5ytyty_1_2" localSheetId="0" hidden="1">{#N/A,#N/A,FALSE,"Sheet1 (2)"}</definedName>
    <definedName name="etr5ytyty_1_2" hidden="1">{#N/A,#N/A,FALSE,"Sheet1 (2)"}</definedName>
    <definedName name="etr5ytyty_1_3" localSheetId="0" hidden="1">{#N/A,#N/A,FALSE,"Sheet1 (2)"}</definedName>
    <definedName name="etr5ytyty_1_3" hidden="1">{#N/A,#N/A,FALSE,"Sheet1 (2)"}</definedName>
    <definedName name="etr5ytyty_2" localSheetId="0" hidden="1">{#N/A,#N/A,FALSE,"Sheet1 (2)"}</definedName>
    <definedName name="etr5ytyty_2" hidden="1">{#N/A,#N/A,FALSE,"Sheet1 (2)"}</definedName>
    <definedName name="etr5ytyty_2_1" localSheetId="0" hidden="1">{#N/A,#N/A,FALSE,"Sheet1 (2)"}</definedName>
    <definedName name="etr5ytyty_2_1" hidden="1">{#N/A,#N/A,FALSE,"Sheet1 (2)"}</definedName>
    <definedName name="etr5ytyty_2_2" localSheetId="0" hidden="1">{#N/A,#N/A,FALSE,"Sheet1 (2)"}</definedName>
    <definedName name="etr5ytyty_2_2" hidden="1">{#N/A,#N/A,FALSE,"Sheet1 (2)"}</definedName>
    <definedName name="etr5ytyty_3" localSheetId="0" hidden="1">{#N/A,#N/A,FALSE,"Sheet1 (2)"}</definedName>
    <definedName name="etr5ytyty_3" hidden="1">{#N/A,#N/A,FALSE,"Sheet1 (2)"}</definedName>
    <definedName name="etr5ytyty_4" localSheetId="0" hidden="1">{#N/A,#N/A,FALSE,"Sheet1 (2)"}</definedName>
    <definedName name="etr5ytyty_4" hidden="1">{#N/A,#N/A,FALSE,"Sheet1 (2)"}</definedName>
    <definedName name="etrwegt" localSheetId="0" hidden="1">{#N/A,#N/A,FALSE,"Sheet1 (2)"}</definedName>
    <definedName name="etrwegt" hidden="1">{#N/A,#N/A,FALSE,"Sheet1 (2)"}</definedName>
    <definedName name="etrwegt_1" localSheetId="0" hidden="1">{#N/A,#N/A,FALSE,"Sheet1 (2)"}</definedName>
    <definedName name="etrwegt_1" hidden="1">{#N/A,#N/A,FALSE,"Sheet1 (2)"}</definedName>
    <definedName name="etrwegt_1_1" localSheetId="0" hidden="1">{#N/A,#N/A,FALSE,"Sheet1 (2)"}</definedName>
    <definedName name="etrwegt_1_1" hidden="1">{#N/A,#N/A,FALSE,"Sheet1 (2)"}</definedName>
    <definedName name="etrwegt_1_2" localSheetId="0" hidden="1">{#N/A,#N/A,FALSE,"Sheet1 (2)"}</definedName>
    <definedName name="etrwegt_1_2" hidden="1">{#N/A,#N/A,FALSE,"Sheet1 (2)"}</definedName>
    <definedName name="etrwegt_1_3" localSheetId="0" hidden="1">{#N/A,#N/A,FALSE,"Sheet1 (2)"}</definedName>
    <definedName name="etrwegt_1_3" hidden="1">{#N/A,#N/A,FALSE,"Sheet1 (2)"}</definedName>
    <definedName name="etrwegt_2" localSheetId="0" hidden="1">{#N/A,#N/A,FALSE,"Sheet1 (2)"}</definedName>
    <definedName name="etrwegt_2" hidden="1">{#N/A,#N/A,FALSE,"Sheet1 (2)"}</definedName>
    <definedName name="etrwegt_2_1" localSheetId="0" hidden="1">{#N/A,#N/A,FALSE,"Sheet1 (2)"}</definedName>
    <definedName name="etrwegt_2_1" hidden="1">{#N/A,#N/A,FALSE,"Sheet1 (2)"}</definedName>
    <definedName name="etrwegt_2_2" localSheetId="0" hidden="1">{#N/A,#N/A,FALSE,"Sheet1 (2)"}</definedName>
    <definedName name="etrwegt_2_2" hidden="1">{#N/A,#N/A,FALSE,"Sheet1 (2)"}</definedName>
    <definedName name="etrwegt_3" localSheetId="0" hidden="1">{#N/A,#N/A,FALSE,"Sheet1 (2)"}</definedName>
    <definedName name="etrwegt_3" hidden="1">{#N/A,#N/A,FALSE,"Sheet1 (2)"}</definedName>
    <definedName name="etrwegt_4" localSheetId="0" hidden="1">{#N/A,#N/A,FALSE,"Sheet1 (2)"}</definedName>
    <definedName name="etrwegt_4" hidden="1">{#N/A,#N/A,FALSE,"Sheet1 (2)"}</definedName>
    <definedName name="EV__LASTREFTIME__" hidden="1">40527.6608333333</definedName>
    <definedName name="Event_Description">#REF!</definedName>
    <definedName name="EW" localSheetId="0" hidden="1">{#N/A,#N/A,FALSE,"Sheet1 (2)"}</definedName>
    <definedName name="EW" hidden="1">{#N/A,#N/A,FALSE,"Sheet1 (2)"}</definedName>
    <definedName name="ewcdc">[75]P3!#REF!</definedName>
    <definedName name="Excel_BuiltIn_Database">#REF!</definedName>
    <definedName name="Excel_BuiltIn_Database_2">#REF!</definedName>
    <definedName name="Excel_BuiltIn_Database_3">#REF!</definedName>
    <definedName name="Excel_BuiltIn_Database_4">#REF!</definedName>
    <definedName name="Excel_BuiltIn_Database_5">#REF!</definedName>
    <definedName name="Excel_BuiltIn_Database_6">#REF!</definedName>
    <definedName name="Excel_BuiltIn_Database_7">#REF!</definedName>
    <definedName name="Excel_BuiltIn_Print_Area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2">#REF!</definedName>
    <definedName name="Excel_BuiltIn_Print_Area_3">#REF!</definedName>
    <definedName name="Excel_BuiltIn_Print_Area_4">#REF!</definedName>
    <definedName name="Excel_BuiltIn_Print_Area_5">#REF!</definedName>
    <definedName name="Excel_BuiltIn_Print_Area_6">#REF!</definedName>
    <definedName name="Excel_BuiltIn_Print_Area_7">#REF!</definedName>
    <definedName name="Excel_BuiltIn_Print_Titles">#REF!</definedName>
    <definedName name="Excel_BuiltIn_Print_Titles_2">#REF!</definedName>
    <definedName name="Excel_BuiltIn_Print_Titles_3">#REF!</definedName>
    <definedName name="Excel_BuiltIn_Print_Titles_4">#REF!</definedName>
    <definedName name="Excel_BuiltIn_Print_Titles_5">#REF!</definedName>
    <definedName name="Excel_BuiltIn_Print_Titles_6">#REF!</definedName>
    <definedName name="Excel_BuiltIn_Print_Titles_7">#REF!</definedName>
    <definedName name="ExchangeRates">#REF!</definedName>
    <definedName name="ExpediaColumn">#REF!</definedName>
    <definedName name="ExpediaStart">#REF!</definedName>
    <definedName name="EYLÜLMEDYA">#REF!</definedName>
    <definedName name="EYLÜLRADYO">#REF!</definedName>
    <definedName name="EYLÜLTV">#REF!</definedName>
    <definedName name="ezel">#REF!</definedName>
    <definedName name="ezgi">#REF!</definedName>
    <definedName name="f" localSheetId="0" hidden="1">{#N/A,#N/A,FALSE,"Sheet1 (2)"}</definedName>
    <definedName name="f" hidden="1">{#N/A,#N/A,FALSE,"Sheet1 (2)"}</definedName>
    <definedName name="f_1" localSheetId="0" hidden="1">{#N/A,#N/A,FALSE,"Sheet1 (2)"}</definedName>
    <definedName name="f_1" hidden="1">{#N/A,#N/A,FALSE,"Sheet1 (2)"}</definedName>
    <definedName name="f_1_1" localSheetId="0" hidden="1">{#N/A,#N/A,FALSE,"Sheet1 (2)"}</definedName>
    <definedName name="f_1_1" hidden="1">{#N/A,#N/A,FALSE,"Sheet1 (2)"}</definedName>
    <definedName name="f_1_2" localSheetId="0" hidden="1">{#N/A,#N/A,FALSE,"Sheet1 (2)"}</definedName>
    <definedName name="f_1_2" hidden="1">{#N/A,#N/A,FALSE,"Sheet1 (2)"}</definedName>
    <definedName name="f_1_3" localSheetId="0" hidden="1">{#N/A,#N/A,FALSE,"Sheet1 (2)"}</definedName>
    <definedName name="f_1_3" hidden="1">{#N/A,#N/A,FALSE,"Sheet1 (2)"}</definedName>
    <definedName name="f_2" localSheetId="0" hidden="1">{#N/A,#N/A,FALSE,"Sheet1 (2)"}</definedName>
    <definedName name="f_2" hidden="1">{#N/A,#N/A,FALSE,"Sheet1 (2)"}</definedName>
    <definedName name="f_2_1" localSheetId="0" hidden="1">{#N/A,#N/A,FALSE,"Sheet1 (2)"}</definedName>
    <definedName name="f_2_1" hidden="1">{#N/A,#N/A,FALSE,"Sheet1 (2)"}</definedName>
    <definedName name="f_2_2" localSheetId="0" hidden="1">{#N/A,#N/A,FALSE,"Sheet1 (2)"}</definedName>
    <definedName name="f_2_2" hidden="1">{#N/A,#N/A,FALSE,"Sheet1 (2)"}</definedName>
    <definedName name="f_3" localSheetId="0" hidden="1">{#N/A,#N/A,FALSE,"Sheet1 (2)"}</definedName>
    <definedName name="f_3" hidden="1">{#N/A,#N/A,FALSE,"Sheet1 (2)"}</definedName>
    <definedName name="f_4" localSheetId="0" hidden="1">{#N/A,#N/A,FALSE,"Sheet1 (2)"}</definedName>
    <definedName name="f_4" hidden="1">{#N/A,#N/A,FALSE,"Sheet1 (2)"}</definedName>
    <definedName name="FA">#REF!</definedName>
    <definedName name="FA_2">#REF!</definedName>
    <definedName name="FA_3">#REF!</definedName>
    <definedName name="FA_4">#REF!</definedName>
    <definedName name="FA_5">#REF!</definedName>
    <definedName name="FA_6">#REF!</definedName>
    <definedName name="FA_7">#REF!</definedName>
    <definedName name="Facebook" localSheetId="0" hidden="1">{#N/A,#N/A,FALSE,"Sheet1 (2)"}</definedName>
    <definedName name="Facebook" hidden="1">{#N/A,#N/A,FALSE,"Sheet1 (2)"}</definedName>
    <definedName name="FACEBOOKORIDIAN">#REF!</definedName>
    <definedName name="FactsCount">1</definedName>
    <definedName name="fafsa" localSheetId="0" hidden="1">{"'Jan - March 2000'!$A$5:$J$46"}</definedName>
    <definedName name="fafsa" hidden="1">{"'Jan - March 2000'!$A$5:$J$46"}</definedName>
    <definedName name="fanatik">#REF!</definedName>
    <definedName name="FAÖD">#REF!</definedName>
    <definedName name="FAÖD_2">#REF!</definedName>
    <definedName name="FAÖD_3">#REF!</definedName>
    <definedName name="FAÖD_4">#REF!</definedName>
    <definedName name="FAÖD_5">#REF!</definedName>
    <definedName name="FAÖD_6">#REF!</definedName>
    <definedName name="FAÖD_7">#REF!</definedName>
    <definedName name="fara_promo" localSheetId="0" hidden="1">{"'Jan - March 2000'!$A$5:$J$46"}</definedName>
    <definedName name="fara_promo" hidden="1">{"'Jan - March 2000'!$A$5:$J$46"}</definedName>
    <definedName name="FASA">#REF!</definedName>
    <definedName name="FASA_2">#REF!</definedName>
    <definedName name="FASA_3">#REF!</definedName>
    <definedName name="FASA_4">#REF!</definedName>
    <definedName name="FASA_5">#REF!</definedName>
    <definedName name="FASA_6">#REF!</definedName>
    <definedName name="FASA_7">#REF!</definedName>
    <definedName name="FASAOD">#REF!</definedName>
    <definedName name="FASAOD_2">#REF!</definedName>
    <definedName name="FASAOD_3">#REF!</definedName>
    <definedName name="FASAOD_4">#REF!</definedName>
    <definedName name="FASAOD_5">#REF!</definedName>
    <definedName name="FASAOD_6">#REF!</definedName>
    <definedName name="FASAOD_7">#REF!</definedName>
    <definedName name="FASCIA1">#REF!,#REF!,#REF!,#REF!,#REF!,#REF!,#REF!,#REF!,#REF!,#REF!,#REF!,#REF!,#REF!,#REF!,#REF!,#REF!,#REF!,#REF!,#REF!,#REF!,#REF!,#REF!,#REF!</definedName>
    <definedName name="FASCIAA">#REF!,#REF!,#REF!,#REF!,#REF!,#REF!,#REF!,#REF!,#REF!,#REF!,#REF!,#REF!,#REF!,#REF!,#REF!,#REF!,#REF!,#REF!,#REF!,#REF!,#REF!,#REF!,#REF!,#REF!</definedName>
    <definedName name="fasdfs" hidden="1">#REF!</definedName>
    <definedName name="FASF" localSheetId="0" hidden="1">{#N/A,#N/A,FALSE,"Sheet1 (2)"}</definedName>
    <definedName name="FASF" hidden="1">{#N/A,#N/A,FALSE,"Sheet1 (2)"}</definedName>
    <definedName name="FASF_1" localSheetId="0" hidden="1">{#N/A,#N/A,FALSE,"Sheet1 (2)"}</definedName>
    <definedName name="FASF_1" hidden="1">{#N/A,#N/A,FALSE,"Sheet1 (2)"}</definedName>
    <definedName name="FASF_1_1" localSheetId="0" hidden="1">{#N/A,#N/A,FALSE,"Sheet1 (2)"}</definedName>
    <definedName name="FASF_1_1" hidden="1">{#N/A,#N/A,FALSE,"Sheet1 (2)"}</definedName>
    <definedName name="FASF_1_2" localSheetId="0" hidden="1">{#N/A,#N/A,FALSE,"Sheet1 (2)"}</definedName>
    <definedName name="FASF_1_2" hidden="1">{#N/A,#N/A,FALSE,"Sheet1 (2)"}</definedName>
    <definedName name="FASF_1_3" localSheetId="0" hidden="1">{#N/A,#N/A,FALSE,"Sheet1 (2)"}</definedName>
    <definedName name="FASF_1_3" hidden="1">{#N/A,#N/A,FALSE,"Sheet1 (2)"}</definedName>
    <definedName name="FASF_2" localSheetId="0" hidden="1">{#N/A,#N/A,FALSE,"Sheet1 (2)"}</definedName>
    <definedName name="FASF_2" hidden="1">{#N/A,#N/A,FALSE,"Sheet1 (2)"}</definedName>
    <definedName name="FASF_2_1" localSheetId="0" hidden="1">{#N/A,#N/A,FALSE,"Sheet1 (2)"}</definedName>
    <definedName name="FASF_2_1" hidden="1">{#N/A,#N/A,FALSE,"Sheet1 (2)"}</definedName>
    <definedName name="FASF_2_2" localSheetId="0" hidden="1">{#N/A,#N/A,FALSE,"Sheet1 (2)"}</definedName>
    <definedName name="FASF_2_2" hidden="1">{#N/A,#N/A,FALSE,"Sheet1 (2)"}</definedName>
    <definedName name="FASF_3" localSheetId="0" hidden="1">{#N/A,#N/A,FALSE,"Sheet1 (2)"}</definedName>
    <definedName name="FASF_3" hidden="1">{#N/A,#N/A,FALSE,"Sheet1 (2)"}</definedName>
    <definedName name="FASF_4" localSheetId="0" hidden="1">{#N/A,#N/A,FALSE,"Sheet1 (2)"}</definedName>
    <definedName name="FASF_4" hidden="1">{#N/A,#N/A,FALSE,"Sheet1 (2)"}</definedName>
    <definedName name="fasfsd" localSheetId="0" hidden="1">{"'Jan - March 2000'!$A$5:$J$46"}</definedName>
    <definedName name="fasfsd" hidden="1">{"'Jan - March 2000'!$A$5:$J$46"}</definedName>
    <definedName name="FATTI">#N/A</definedName>
    <definedName name="fcb" localSheetId="0">'Haziran Gerçekleşen Plan'!fcb</definedName>
    <definedName name="fcb">[0]!fcb</definedName>
    <definedName name="FCode" hidden="1">#REF!</definedName>
    <definedName name="fcparnature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cparnatur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csDAFCADSVSD" localSheetId="0" hidden="1">{#N/A,#N/A,FALSE,"Sheet1 (2)"}</definedName>
    <definedName name="fcsDAFCADSVSD" hidden="1">{#N/A,#N/A,FALSE,"Sheet1 (2)"}</definedName>
    <definedName name="fd" localSheetId="0" hidden="1">{"'Jan - March 2000'!$A$5:$J$46"}</definedName>
    <definedName name="fd" hidden="1">{"'Jan - March 2000'!$A$5:$J$46"}</definedName>
    <definedName name="fdddgg">#REF!</definedName>
    <definedName name="fdfdfsd">#REF!</definedName>
    <definedName name="fdfg" localSheetId="0" hidden="1">{"'Jan - March 2000'!$A$5:$J$46"}</definedName>
    <definedName name="fdfg" hidden="1">{"'Jan - March 2000'!$A$5:$J$46"}</definedName>
    <definedName name="fdfgd">#REF!</definedName>
    <definedName name="fdgdfgdf" localSheetId="0" hidden="1">{"'Jan - March 2000'!$A$5:$J$46"}</definedName>
    <definedName name="fdgdfgdf" hidden="1">{"'Jan - March 2000'!$A$5:$J$46"}</definedName>
    <definedName name="fdgh" localSheetId="0" hidden="1">{#N/A,#N/A,FALSE,"Sheet1 (2)"}</definedName>
    <definedName name="fdgh" hidden="1">{#N/A,#N/A,FALSE,"Sheet1 (2)"}</definedName>
    <definedName name="fdgh_1" localSheetId="0" hidden="1">{#N/A,#N/A,FALSE,"Sheet1 (2)"}</definedName>
    <definedName name="fdgh_1" hidden="1">{#N/A,#N/A,FALSE,"Sheet1 (2)"}</definedName>
    <definedName name="fdgh_1_1" localSheetId="0" hidden="1">{#N/A,#N/A,FALSE,"Sheet1 (2)"}</definedName>
    <definedName name="fdgh_1_1" hidden="1">{#N/A,#N/A,FALSE,"Sheet1 (2)"}</definedName>
    <definedName name="fdgh_1_2" localSheetId="0" hidden="1">{#N/A,#N/A,FALSE,"Sheet1 (2)"}</definedName>
    <definedName name="fdgh_1_2" hidden="1">{#N/A,#N/A,FALSE,"Sheet1 (2)"}</definedName>
    <definedName name="fdgh_1_3" localSheetId="0" hidden="1">{#N/A,#N/A,FALSE,"Sheet1 (2)"}</definedName>
    <definedName name="fdgh_1_3" hidden="1">{#N/A,#N/A,FALSE,"Sheet1 (2)"}</definedName>
    <definedName name="fdgh_2" localSheetId="0" hidden="1">{#N/A,#N/A,FALSE,"Sheet1 (2)"}</definedName>
    <definedName name="fdgh_2" hidden="1">{#N/A,#N/A,FALSE,"Sheet1 (2)"}</definedName>
    <definedName name="fdgh_2_1" localSheetId="0" hidden="1">{#N/A,#N/A,FALSE,"Sheet1 (2)"}</definedName>
    <definedName name="fdgh_2_1" hidden="1">{#N/A,#N/A,FALSE,"Sheet1 (2)"}</definedName>
    <definedName name="fdgh_2_2" localSheetId="0" hidden="1">{#N/A,#N/A,FALSE,"Sheet1 (2)"}</definedName>
    <definedName name="fdgh_2_2" hidden="1">{#N/A,#N/A,FALSE,"Sheet1 (2)"}</definedName>
    <definedName name="fdgh_3" localSheetId="0" hidden="1">{#N/A,#N/A,FALSE,"Sheet1 (2)"}</definedName>
    <definedName name="fdgh_3" hidden="1">{#N/A,#N/A,FALSE,"Sheet1 (2)"}</definedName>
    <definedName name="fdgh_4" localSheetId="0" hidden="1">{#N/A,#N/A,FALSE,"Sheet1 (2)"}</definedName>
    <definedName name="fdgh_4" hidden="1">{#N/A,#N/A,FALSE,"Sheet1 (2)"}</definedName>
    <definedName name="fdhgf" localSheetId="0" hidden="1">{"'Jan - March 2000'!$A$5:$J$46"}</definedName>
    <definedName name="fdhgf" hidden="1">{"'Jan - March 2000'!$A$5:$J$46"}</definedName>
    <definedName name="FDSFSD" localSheetId="0" hidden="1">{"'Jan - March 2000'!$A$5:$J$46"}</definedName>
    <definedName name="FDSFSD" hidden="1">{"'Jan - March 2000'!$A$5:$J$46"}</definedName>
    <definedName name="fdsg" localSheetId="0" hidden="1">{#N/A,#N/A,FALSE,"Sheet1 (2)"}</definedName>
    <definedName name="fdsg" hidden="1">{#N/A,#N/A,FALSE,"Sheet1 (2)"}</definedName>
    <definedName name="fdsg_1" localSheetId="0" hidden="1">{#N/A,#N/A,FALSE,"Sheet1 (2)"}</definedName>
    <definedName name="fdsg_1" hidden="1">{#N/A,#N/A,FALSE,"Sheet1 (2)"}</definedName>
    <definedName name="fdsg_1_1" localSheetId="0" hidden="1">{#N/A,#N/A,FALSE,"Sheet1 (2)"}</definedName>
    <definedName name="fdsg_1_1" hidden="1">{#N/A,#N/A,FALSE,"Sheet1 (2)"}</definedName>
    <definedName name="fdsg_1_2" localSheetId="0" hidden="1">{#N/A,#N/A,FALSE,"Sheet1 (2)"}</definedName>
    <definedName name="fdsg_1_2" hidden="1">{#N/A,#N/A,FALSE,"Sheet1 (2)"}</definedName>
    <definedName name="fdsg_1_3" localSheetId="0" hidden="1">{#N/A,#N/A,FALSE,"Sheet1 (2)"}</definedName>
    <definedName name="fdsg_1_3" hidden="1">{#N/A,#N/A,FALSE,"Sheet1 (2)"}</definedName>
    <definedName name="fdsg_2" localSheetId="0" hidden="1">{#N/A,#N/A,FALSE,"Sheet1 (2)"}</definedName>
    <definedName name="fdsg_2" hidden="1">{#N/A,#N/A,FALSE,"Sheet1 (2)"}</definedName>
    <definedName name="fdsg_2_1" localSheetId="0" hidden="1">{#N/A,#N/A,FALSE,"Sheet1 (2)"}</definedName>
    <definedName name="fdsg_2_1" hidden="1">{#N/A,#N/A,FALSE,"Sheet1 (2)"}</definedName>
    <definedName name="fdsg_2_2" localSheetId="0" hidden="1">{#N/A,#N/A,FALSE,"Sheet1 (2)"}</definedName>
    <definedName name="fdsg_2_2" hidden="1">{#N/A,#N/A,FALSE,"Sheet1 (2)"}</definedName>
    <definedName name="fdsg_3" localSheetId="0" hidden="1">{#N/A,#N/A,FALSE,"Sheet1 (2)"}</definedName>
    <definedName name="fdsg_3" hidden="1">{#N/A,#N/A,FALSE,"Sheet1 (2)"}</definedName>
    <definedName name="fdsg_4" localSheetId="0" hidden="1">{#N/A,#N/A,FALSE,"Sheet1 (2)"}</definedName>
    <definedName name="fdsg_4" hidden="1">{#N/A,#N/A,FALSE,"Sheet1 (2)"}</definedName>
    <definedName name="fedwe" localSheetId="0" hidden="1">{#N/A,#N/A,FALSE,"Sheet1 (2)"}</definedName>
    <definedName name="fedwe" hidden="1">{#N/A,#N/A,FALSE,"Sheet1 (2)"}</definedName>
    <definedName name="fee_alap">[76]alapok!$B$3:$B$4</definedName>
    <definedName name="FeeCli">#REF!</definedName>
    <definedName name="FeeIM">#REF!</definedName>
    <definedName name="fef" hidden="1">#REF!</definedName>
    <definedName name="fersda" localSheetId="0" hidden="1">{#N/A,#N/A,FALSE,"Sheet1 (2)"}</definedName>
    <definedName name="fersda" hidden="1">{#N/A,#N/A,FALSE,"Sheet1 (2)"}</definedName>
    <definedName name="fersda_1" localSheetId="0" hidden="1">{#N/A,#N/A,FALSE,"Sheet1 (2)"}</definedName>
    <definedName name="fersda_1" hidden="1">{#N/A,#N/A,FALSE,"Sheet1 (2)"}</definedName>
    <definedName name="fersda_1_1" localSheetId="0" hidden="1">{#N/A,#N/A,FALSE,"Sheet1 (2)"}</definedName>
    <definedName name="fersda_1_1" hidden="1">{#N/A,#N/A,FALSE,"Sheet1 (2)"}</definedName>
    <definedName name="fersda_1_2" localSheetId="0" hidden="1">{#N/A,#N/A,FALSE,"Sheet1 (2)"}</definedName>
    <definedName name="fersda_1_2" hidden="1">{#N/A,#N/A,FALSE,"Sheet1 (2)"}</definedName>
    <definedName name="fersda_1_3" localSheetId="0" hidden="1">{#N/A,#N/A,FALSE,"Sheet1 (2)"}</definedName>
    <definedName name="fersda_1_3" hidden="1">{#N/A,#N/A,FALSE,"Sheet1 (2)"}</definedName>
    <definedName name="fersda_2" localSheetId="0" hidden="1">{#N/A,#N/A,FALSE,"Sheet1 (2)"}</definedName>
    <definedName name="fersda_2" hidden="1">{#N/A,#N/A,FALSE,"Sheet1 (2)"}</definedName>
    <definedName name="fersda_2_1" localSheetId="0" hidden="1">{#N/A,#N/A,FALSE,"Sheet1 (2)"}</definedName>
    <definedName name="fersda_2_1" hidden="1">{#N/A,#N/A,FALSE,"Sheet1 (2)"}</definedName>
    <definedName name="fersda_2_2" localSheetId="0" hidden="1">{#N/A,#N/A,FALSE,"Sheet1 (2)"}</definedName>
    <definedName name="fersda_2_2" hidden="1">{#N/A,#N/A,FALSE,"Sheet1 (2)"}</definedName>
    <definedName name="fersda_3" localSheetId="0" hidden="1">{#N/A,#N/A,FALSE,"Sheet1 (2)"}</definedName>
    <definedName name="fersda_3" hidden="1">{#N/A,#N/A,FALSE,"Sheet1 (2)"}</definedName>
    <definedName name="fersda_4" localSheetId="0" hidden="1">{#N/A,#N/A,FALSE,"Sheet1 (2)"}</definedName>
    <definedName name="fersda_4" hidden="1">{#N/A,#N/A,FALSE,"Sheet1 (2)"}</definedName>
    <definedName name="fert" localSheetId="0">'Haziran Gerçekleşen Plan'!fert</definedName>
    <definedName name="fert">[0]!fert</definedName>
    <definedName name="feveejerg" localSheetId="0" hidden="1">{#N/A,#N/A,FALSE,"Sheet1 (2)"}</definedName>
    <definedName name="feveejerg" hidden="1">{#N/A,#N/A,FALSE,"Sheet1 (2)"}</definedName>
    <definedName name="feveejerg_1" localSheetId="0" hidden="1">{#N/A,#N/A,FALSE,"Sheet1 (2)"}</definedName>
    <definedName name="feveejerg_1" hidden="1">{#N/A,#N/A,FALSE,"Sheet1 (2)"}</definedName>
    <definedName name="feveejerg_1_1" localSheetId="0" hidden="1">{#N/A,#N/A,FALSE,"Sheet1 (2)"}</definedName>
    <definedName name="feveejerg_1_1" hidden="1">{#N/A,#N/A,FALSE,"Sheet1 (2)"}</definedName>
    <definedName name="feveejerg_1_2" localSheetId="0" hidden="1">{#N/A,#N/A,FALSE,"Sheet1 (2)"}</definedName>
    <definedName name="feveejerg_1_2" hidden="1">{#N/A,#N/A,FALSE,"Sheet1 (2)"}</definedName>
    <definedName name="feveejerg_1_3" localSheetId="0" hidden="1">{#N/A,#N/A,FALSE,"Sheet1 (2)"}</definedName>
    <definedName name="feveejerg_1_3" hidden="1">{#N/A,#N/A,FALSE,"Sheet1 (2)"}</definedName>
    <definedName name="feveejerg_2" localSheetId="0" hidden="1">{#N/A,#N/A,FALSE,"Sheet1 (2)"}</definedName>
    <definedName name="feveejerg_2" hidden="1">{#N/A,#N/A,FALSE,"Sheet1 (2)"}</definedName>
    <definedName name="feveejerg_2_1" localSheetId="0" hidden="1">{#N/A,#N/A,FALSE,"Sheet1 (2)"}</definedName>
    <definedName name="feveejerg_2_1" hidden="1">{#N/A,#N/A,FALSE,"Sheet1 (2)"}</definedName>
    <definedName name="feveejerg_2_2" localSheetId="0" hidden="1">{#N/A,#N/A,FALSE,"Sheet1 (2)"}</definedName>
    <definedName name="feveejerg_2_2" hidden="1">{#N/A,#N/A,FALSE,"Sheet1 (2)"}</definedName>
    <definedName name="feveejerg_3" localSheetId="0" hidden="1">{#N/A,#N/A,FALSE,"Sheet1 (2)"}</definedName>
    <definedName name="feveejerg_3" hidden="1">{#N/A,#N/A,FALSE,"Sheet1 (2)"}</definedName>
    <definedName name="feveejerg_4" localSheetId="0" hidden="1">{#N/A,#N/A,FALSE,"Sheet1 (2)"}</definedName>
    <definedName name="feveejerg_4" hidden="1">{#N/A,#N/A,FALSE,"Sheet1 (2)"}</definedName>
    <definedName name="ff" localSheetId="0" hidden="1">{#N/A,#N/A,FALSE,"Sheet1 (2)"}</definedName>
    <definedName name="ff" hidden="1">{#N/A,#N/A,FALSE,"Sheet1 (2)"}</definedName>
    <definedName name="ff_1" localSheetId="0" hidden="1">{#N/A,#N/A,FALSE,"Sheet1 (2)"}</definedName>
    <definedName name="ff_1" hidden="1">{#N/A,#N/A,FALSE,"Sheet1 (2)"}</definedName>
    <definedName name="ff_1_1" localSheetId="0" hidden="1">{#N/A,#N/A,FALSE,"Sheet1 (2)"}</definedName>
    <definedName name="ff_1_1" hidden="1">{#N/A,#N/A,FALSE,"Sheet1 (2)"}</definedName>
    <definedName name="ff_1_2" localSheetId="0" hidden="1">{#N/A,#N/A,FALSE,"Sheet1 (2)"}</definedName>
    <definedName name="ff_1_2" hidden="1">{#N/A,#N/A,FALSE,"Sheet1 (2)"}</definedName>
    <definedName name="ff_1_3" localSheetId="0" hidden="1">{#N/A,#N/A,FALSE,"Sheet1 (2)"}</definedName>
    <definedName name="ff_1_3" hidden="1">{#N/A,#N/A,FALSE,"Sheet1 (2)"}</definedName>
    <definedName name="ff_2" localSheetId="0" hidden="1">{#N/A,#N/A,FALSE,"Sheet1 (2)"}</definedName>
    <definedName name="ff_2" hidden="1">{#N/A,#N/A,FALSE,"Sheet1 (2)"}</definedName>
    <definedName name="ff_2_1" localSheetId="0" hidden="1">{#N/A,#N/A,FALSE,"Sheet1 (2)"}</definedName>
    <definedName name="ff_2_1" hidden="1">{#N/A,#N/A,FALSE,"Sheet1 (2)"}</definedName>
    <definedName name="ff_2_2" localSheetId="0" hidden="1">{#N/A,#N/A,FALSE,"Sheet1 (2)"}</definedName>
    <definedName name="ff_2_2" hidden="1">{#N/A,#N/A,FALSE,"Sheet1 (2)"}</definedName>
    <definedName name="ff_3" localSheetId="0" hidden="1">{#N/A,#N/A,FALSE,"Sheet1 (2)"}</definedName>
    <definedName name="ff_3" hidden="1">{#N/A,#N/A,FALSE,"Sheet1 (2)"}</definedName>
    <definedName name="ff_4" localSheetId="0" hidden="1">{#N/A,#N/A,FALSE,"Sheet1 (2)"}</definedName>
    <definedName name="ff_4" hidden="1">{#N/A,#N/A,FALSE,"Sheet1 (2)"}</definedName>
    <definedName name="ffdfd" localSheetId="0" hidden="1">{#N/A,#N/A,FALSE,"Sheet1 (2)"}</definedName>
    <definedName name="ffdfd" hidden="1">{#N/A,#N/A,FALSE,"Sheet1 (2)"}</definedName>
    <definedName name="fff" localSheetId="0" hidden="1">{#N/A,#N/A,FALSE,"Sheet1 (2)"}</definedName>
    <definedName name="fff" hidden="1">{#N/A,#N/A,FALSE,"Sheet1 (2)"}</definedName>
    <definedName name="FFF_1" localSheetId="0" hidden="1">{#N/A,#N/A,FALSE,"Sheet1 (2)"}</definedName>
    <definedName name="FFF_1" hidden="1">{#N/A,#N/A,FALSE,"Sheet1 (2)"}</definedName>
    <definedName name="FFF_1_1" localSheetId="0" hidden="1">{#N/A,#N/A,FALSE,"Sheet1 (2)"}</definedName>
    <definedName name="FFF_1_1" hidden="1">{#N/A,#N/A,FALSE,"Sheet1 (2)"}</definedName>
    <definedName name="FFF_1_2" localSheetId="0" hidden="1">{#N/A,#N/A,FALSE,"Sheet1 (2)"}</definedName>
    <definedName name="FFF_1_2" hidden="1">{#N/A,#N/A,FALSE,"Sheet1 (2)"}</definedName>
    <definedName name="FFF_1_3" localSheetId="0" hidden="1">{#N/A,#N/A,FALSE,"Sheet1 (2)"}</definedName>
    <definedName name="FFF_1_3" hidden="1">{#N/A,#N/A,FALSE,"Sheet1 (2)"}</definedName>
    <definedName name="FFF_2" localSheetId="0" hidden="1">{#N/A,#N/A,FALSE,"Sheet1 (2)"}</definedName>
    <definedName name="FFF_2" hidden="1">{#N/A,#N/A,FALSE,"Sheet1 (2)"}</definedName>
    <definedName name="FFF_2_1" localSheetId="0" hidden="1">{#N/A,#N/A,FALSE,"Sheet1 (2)"}</definedName>
    <definedName name="FFF_2_1" hidden="1">{#N/A,#N/A,FALSE,"Sheet1 (2)"}</definedName>
    <definedName name="FFF_2_2" localSheetId="0" hidden="1">{#N/A,#N/A,FALSE,"Sheet1 (2)"}</definedName>
    <definedName name="FFF_2_2" hidden="1">{#N/A,#N/A,FALSE,"Sheet1 (2)"}</definedName>
    <definedName name="FFF_3" localSheetId="0" hidden="1">{#N/A,#N/A,FALSE,"Sheet1 (2)"}</definedName>
    <definedName name="FFF_3" hidden="1">{#N/A,#N/A,FALSE,"Sheet1 (2)"}</definedName>
    <definedName name="FFF_4" localSheetId="0" hidden="1">{#N/A,#N/A,FALSE,"Sheet1 (2)"}</definedName>
    <definedName name="FFF_4" hidden="1">{#N/A,#N/A,FALSE,"Sheet1 (2)"}</definedName>
    <definedName name="FFFF" localSheetId="0" hidden="1">{#N/A,#N/A,FALSE,"Sheet1 (2)"}</definedName>
    <definedName name="FFFF" hidden="1">{#N/A,#N/A,FALSE,"Sheet1 (2)"}</definedName>
    <definedName name="FFFF_1" localSheetId="0" hidden="1">{#N/A,#N/A,FALSE,"Sheet1 (2)"}</definedName>
    <definedName name="FFFF_1" hidden="1">{#N/A,#N/A,FALSE,"Sheet1 (2)"}</definedName>
    <definedName name="FFFF_1_1" localSheetId="0" hidden="1">{#N/A,#N/A,FALSE,"Sheet1 (2)"}</definedName>
    <definedName name="FFFF_1_1" hidden="1">{#N/A,#N/A,FALSE,"Sheet1 (2)"}</definedName>
    <definedName name="FFFF_1_2" localSheetId="0" hidden="1">{#N/A,#N/A,FALSE,"Sheet1 (2)"}</definedName>
    <definedName name="FFFF_1_2" hidden="1">{#N/A,#N/A,FALSE,"Sheet1 (2)"}</definedName>
    <definedName name="FFFF_1_3" localSheetId="0" hidden="1">{#N/A,#N/A,FALSE,"Sheet1 (2)"}</definedName>
    <definedName name="FFFF_1_3" hidden="1">{#N/A,#N/A,FALSE,"Sheet1 (2)"}</definedName>
    <definedName name="FFFF_2" localSheetId="0" hidden="1">{#N/A,#N/A,FALSE,"Sheet1 (2)"}</definedName>
    <definedName name="FFFF_2" hidden="1">{#N/A,#N/A,FALSE,"Sheet1 (2)"}</definedName>
    <definedName name="FFFF_2_1" localSheetId="0" hidden="1">{#N/A,#N/A,FALSE,"Sheet1 (2)"}</definedName>
    <definedName name="FFFF_2_1" hidden="1">{#N/A,#N/A,FALSE,"Sheet1 (2)"}</definedName>
    <definedName name="FFFF_2_2" localSheetId="0" hidden="1">{#N/A,#N/A,FALSE,"Sheet1 (2)"}</definedName>
    <definedName name="FFFF_2_2" hidden="1">{#N/A,#N/A,FALSE,"Sheet1 (2)"}</definedName>
    <definedName name="FFFF_3" localSheetId="0" hidden="1">{#N/A,#N/A,FALSE,"Sheet1 (2)"}</definedName>
    <definedName name="FFFF_3" hidden="1">{#N/A,#N/A,FALSE,"Sheet1 (2)"}</definedName>
    <definedName name="FFFF_4" localSheetId="0" hidden="1">{#N/A,#N/A,FALSE,"Sheet1 (2)"}</definedName>
    <definedName name="FFFF_4" hidden="1">{#N/A,#N/A,FALSE,"Sheet1 (2)"}</definedName>
    <definedName name="fffff">#REF!</definedName>
    <definedName name="FFFFFF" hidden="1">#REF!</definedName>
    <definedName name="FFFFFFF">#REF!</definedName>
    <definedName name="FFFFFFFF" localSheetId="0" hidden="1">{#N/A,#N/A,FALSE,"Sheet1 (2)"}</definedName>
    <definedName name="FFFFFFFF" hidden="1">{#N/A,#N/A,FALSE,"Sheet1 (2)"}</definedName>
    <definedName name="fffffffffffff" hidden="1">#REF!</definedName>
    <definedName name="fffffffffffffff" hidden="1">#REF!</definedName>
    <definedName name="FFGGHHG">#REF!</definedName>
    <definedName name="FG" localSheetId="0">'Haziran Gerçekleşen Plan'!FG</definedName>
    <definedName name="FG">[0]!FG</definedName>
    <definedName name="fgdfg">[77]Programlar!$A$246:$B$347</definedName>
    <definedName name="fgdhh" localSheetId="0" hidden="1">{#N/A,#N/A,FALSE,"Sheet1 (2)"}</definedName>
    <definedName name="fgdhh" hidden="1">{#N/A,#N/A,FALSE,"Sheet1 (2)"}</definedName>
    <definedName name="fgdhh_1" localSheetId="0" hidden="1">{#N/A,#N/A,FALSE,"Sheet1 (2)"}</definedName>
    <definedName name="fgdhh_1" hidden="1">{#N/A,#N/A,FALSE,"Sheet1 (2)"}</definedName>
    <definedName name="fgdhh_1_1" localSheetId="0" hidden="1">{#N/A,#N/A,FALSE,"Sheet1 (2)"}</definedName>
    <definedName name="fgdhh_1_1" hidden="1">{#N/A,#N/A,FALSE,"Sheet1 (2)"}</definedName>
    <definedName name="fgdhh_1_2" localSheetId="0" hidden="1">{#N/A,#N/A,FALSE,"Sheet1 (2)"}</definedName>
    <definedName name="fgdhh_1_2" hidden="1">{#N/A,#N/A,FALSE,"Sheet1 (2)"}</definedName>
    <definedName name="fgdhh_1_3" localSheetId="0" hidden="1">{#N/A,#N/A,FALSE,"Sheet1 (2)"}</definedName>
    <definedName name="fgdhh_1_3" hidden="1">{#N/A,#N/A,FALSE,"Sheet1 (2)"}</definedName>
    <definedName name="fgdhh_2" localSheetId="0" hidden="1">{#N/A,#N/A,FALSE,"Sheet1 (2)"}</definedName>
    <definedName name="fgdhh_2" hidden="1">{#N/A,#N/A,FALSE,"Sheet1 (2)"}</definedName>
    <definedName name="fgdhh_2_1" localSheetId="0" hidden="1">{#N/A,#N/A,FALSE,"Sheet1 (2)"}</definedName>
    <definedName name="fgdhh_2_1" hidden="1">{#N/A,#N/A,FALSE,"Sheet1 (2)"}</definedName>
    <definedName name="fgdhh_2_2" localSheetId="0" hidden="1">{#N/A,#N/A,FALSE,"Sheet1 (2)"}</definedName>
    <definedName name="fgdhh_2_2" hidden="1">{#N/A,#N/A,FALSE,"Sheet1 (2)"}</definedName>
    <definedName name="fgdhh_3" localSheetId="0" hidden="1">{#N/A,#N/A,FALSE,"Sheet1 (2)"}</definedName>
    <definedName name="fgdhh_3" hidden="1">{#N/A,#N/A,FALSE,"Sheet1 (2)"}</definedName>
    <definedName name="fgdhh_4" localSheetId="0" hidden="1">{#N/A,#N/A,FALSE,"Sheet1 (2)"}</definedName>
    <definedName name="fgdhh_4" hidden="1">{#N/A,#N/A,FALSE,"Sheet1 (2)"}</definedName>
    <definedName name="fgfefghtjty" localSheetId="0" hidden="1">{#N/A,#N/A,FALSE,"Sheet1 (2)"}</definedName>
    <definedName name="fgfefghtjty" hidden="1">{#N/A,#N/A,FALSE,"Sheet1 (2)"}</definedName>
    <definedName name="fgfefghtjty_1" localSheetId="0" hidden="1">{#N/A,#N/A,FALSE,"Sheet1 (2)"}</definedName>
    <definedName name="fgfefghtjty_1" hidden="1">{#N/A,#N/A,FALSE,"Sheet1 (2)"}</definedName>
    <definedName name="fgfweghytwrefghjy">#REF!</definedName>
    <definedName name="fggh" localSheetId="0" hidden="1">{#N/A,#N/A,FALSE,"Sheet1 (2)"}</definedName>
    <definedName name="fggh" hidden="1">{#N/A,#N/A,FALSE,"Sheet1 (2)"}</definedName>
    <definedName name="fgh" localSheetId="0" hidden="1">{#N/A,#N/A,FALSE,"Sheet1 (2)"}</definedName>
    <definedName name="fgh" hidden="1">{#N/A,#N/A,FALSE,"Sheet1 (2)"}</definedName>
    <definedName name="fghf" localSheetId="0" hidden="1">{#N/A,#N/A,FALSE,"Sheet1 (2)"}</definedName>
    <definedName name="fghf" hidden="1">{#N/A,#N/A,FALSE,"Sheet1 (2)"}</definedName>
    <definedName name="fghf_1" localSheetId="0" hidden="1">{#N/A,#N/A,FALSE,"Sheet1 (2)"}</definedName>
    <definedName name="fghf_1" hidden="1">{#N/A,#N/A,FALSE,"Sheet1 (2)"}</definedName>
    <definedName name="fghf_1_1" localSheetId="0" hidden="1">{#N/A,#N/A,FALSE,"Sheet1 (2)"}</definedName>
    <definedName name="fghf_1_1" hidden="1">{#N/A,#N/A,FALSE,"Sheet1 (2)"}</definedName>
    <definedName name="fghf_1_2" localSheetId="0" hidden="1">{#N/A,#N/A,FALSE,"Sheet1 (2)"}</definedName>
    <definedName name="fghf_1_2" hidden="1">{#N/A,#N/A,FALSE,"Sheet1 (2)"}</definedName>
    <definedName name="fghf_1_3" localSheetId="0" hidden="1">{#N/A,#N/A,FALSE,"Sheet1 (2)"}</definedName>
    <definedName name="fghf_1_3" hidden="1">{#N/A,#N/A,FALSE,"Sheet1 (2)"}</definedName>
    <definedName name="fghf_2" localSheetId="0" hidden="1">{#N/A,#N/A,FALSE,"Sheet1 (2)"}</definedName>
    <definedName name="fghf_2" hidden="1">{#N/A,#N/A,FALSE,"Sheet1 (2)"}</definedName>
    <definedName name="fghf_2_1" localSheetId="0" hidden="1">{#N/A,#N/A,FALSE,"Sheet1 (2)"}</definedName>
    <definedName name="fghf_2_1" hidden="1">{#N/A,#N/A,FALSE,"Sheet1 (2)"}</definedName>
    <definedName name="fghf_2_2" localSheetId="0" hidden="1">{#N/A,#N/A,FALSE,"Sheet1 (2)"}</definedName>
    <definedName name="fghf_2_2" hidden="1">{#N/A,#N/A,FALSE,"Sheet1 (2)"}</definedName>
    <definedName name="fghf_3" localSheetId="0" hidden="1">{#N/A,#N/A,FALSE,"Sheet1 (2)"}</definedName>
    <definedName name="fghf_3" hidden="1">{#N/A,#N/A,FALSE,"Sheet1 (2)"}</definedName>
    <definedName name="fghf_4" localSheetId="0" hidden="1">{#N/A,#N/A,FALSE,"Sheet1 (2)"}</definedName>
    <definedName name="fghf_4" hidden="1">{#N/A,#N/A,FALSE,"Sheet1 (2)"}</definedName>
    <definedName name="fghfgh" hidden="1">#REF!</definedName>
    <definedName name="fghgj">#REF!</definedName>
    <definedName name="fghglhe">#REF!</definedName>
    <definedName name="fghuty" localSheetId="0" hidden="1">{#N/A,#N/A,FALSE,"Sheet1 (2)"}</definedName>
    <definedName name="fghuty" hidden="1">{#N/A,#N/A,FALSE,"Sheet1 (2)"}</definedName>
    <definedName name="fgjhy" localSheetId="0" hidden="1">{#N/A,#N/A,FALSE,"Sheet1 (2)"}</definedName>
    <definedName name="fgjhy" hidden="1">{#N/A,#N/A,FALSE,"Sheet1 (2)"}</definedName>
    <definedName name="fgn" localSheetId="0" hidden="1">{#N/A,#N/A,FALSE,"Sheet1 (2)"}</definedName>
    <definedName name="fgn" hidden="1">{#N/A,#N/A,FALSE,"Sheet1 (2)"}</definedName>
    <definedName name="fgn_1" localSheetId="0" hidden="1">{#N/A,#N/A,FALSE,"Sheet1 (2)"}</definedName>
    <definedName name="fgn_1" hidden="1">{#N/A,#N/A,FALSE,"Sheet1 (2)"}</definedName>
    <definedName name="fgn_1_1" localSheetId="0" hidden="1">{#N/A,#N/A,FALSE,"Sheet1 (2)"}</definedName>
    <definedName name="fgn_1_1" hidden="1">{#N/A,#N/A,FALSE,"Sheet1 (2)"}</definedName>
    <definedName name="fgn_1_2" localSheetId="0" hidden="1">{#N/A,#N/A,FALSE,"Sheet1 (2)"}</definedName>
    <definedName name="fgn_1_2" hidden="1">{#N/A,#N/A,FALSE,"Sheet1 (2)"}</definedName>
    <definedName name="fgn_1_3" localSheetId="0" hidden="1">{#N/A,#N/A,FALSE,"Sheet1 (2)"}</definedName>
    <definedName name="fgn_1_3" hidden="1">{#N/A,#N/A,FALSE,"Sheet1 (2)"}</definedName>
    <definedName name="fgn_2" localSheetId="0" hidden="1">{#N/A,#N/A,FALSE,"Sheet1 (2)"}</definedName>
    <definedName name="fgn_2" hidden="1">{#N/A,#N/A,FALSE,"Sheet1 (2)"}</definedName>
    <definedName name="fgn_2_1" localSheetId="0" hidden="1">{#N/A,#N/A,FALSE,"Sheet1 (2)"}</definedName>
    <definedName name="fgn_2_1" hidden="1">{#N/A,#N/A,FALSE,"Sheet1 (2)"}</definedName>
    <definedName name="fgn_2_2" localSheetId="0" hidden="1">{#N/A,#N/A,FALSE,"Sheet1 (2)"}</definedName>
    <definedName name="fgn_2_2" hidden="1">{#N/A,#N/A,FALSE,"Sheet1 (2)"}</definedName>
    <definedName name="fgn_3" localSheetId="0" hidden="1">{#N/A,#N/A,FALSE,"Sheet1 (2)"}</definedName>
    <definedName name="fgn_3" hidden="1">{#N/A,#N/A,FALSE,"Sheet1 (2)"}</definedName>
    <definedName name="fgn_4" localSheetId="0" hidden="1">{#N/A,#N/A,FALSE,"Sheet1 (2)"}</definedName>
    <definedName name="fgn_4" hidden="1">{#N/A,#N/A,FALSE,"Sheet1 (2)"}</definedName>
    <definedName name="fgrwgygh" localSheetId="0" hidden="1">{#N/A,#N/A,FALSE,"Sheet1 (2)"}</definedName>
    <definedName name="fgrwgygh" hidden="1">{#N/A,#N/A,FALSE,"Sheet1 (2)"}</definedName>
    <definedName name="fgrwgygh_1" localSheetId="0" hidden="1">{#N/A,#N/A,FALSE,"Sheet1 (2)"}</definedName>
    <definedName name="fgrwgygh_1" hidden="1">{#N/A,#N/A,FALSE,"Sheet1 (2)"}</definedName>
    <definedName name="fgrwgygh_1_1" localSheetId="0" hidden="1">{#N/A,#N/A,FALSE,"Sheet1 (2)"}</definedName>
    <definedName name="fgrwgygh_1_1" hidden="1">{#N/A,#N/A,FALSE,"Sheet1 (2)"}</definedName>
    <definedName name="fgrwgygh_1_2" localSheetId="0" hidden="1">{#N/A,#N/A,FALSE,"Sheet1 (2)"}</definedName>
    <definedName name="fgrwgygh_1_2" hidden="1">{#N/A,#N/A,FALSE,"Sheet1 (2)"}</definedName>
    <definedName name="fgrwgygh_1_3" localSheetId="0" hidden="1">{#N/A,#N/A,FALSE,"Sheet1 (2)"}</definedName>
    <definedName name="fgrwgygh_1_3" hidden="1">{#N/A,#N/A,FALSE,"Sheet1 (2)"}</definedName>
    <definedName name="fgrwgygh_2" localSheetId="0" hidden="1">{#N/A,#N/A,FALSE,"Sheet1 (2)"}</definedName>
    <definedName name="fgrwgygh_2" hidden="1">{#N/A,#N/A,FALSE,"Sheet1 (2)"}</definedName>
    <definedName name="fgrwgygh_2_1" localSheetId="0" hidden="1">{#N/A,#N/A,FALSE,"Sheet1 (2)"}</definedName>
    <definedName name="fgrwgygh_2_1" hidden="1">{#N/A,#N/A,FALSE,"Sheet1 (2)"}</definedName>
    <definedName name="fgrwgygh_2_2" localSheetId="0" hidden="1">{#N/A,#N/A,FALSE,"Sheet1 (2)"}</definedName>
    <definedName name="fgrwgygh_2_2" hidden="1">{#N/A,#N/A,FALSE,"Sheet1 (2)"}</definedName>
    <definedName name="fgrwgygh_3" localSheetId="0" hidden="1">{#N/A,#N/A,FALSE,"Sheet1 (2)"}</definedName>
    <definedName name="fgrwgygh_3" hidden="1">{#N/A,#N/A,FALSE,"Sheet1 (2)"}</definedName>
    <definedName name="fgrwgygh_4" localSheetId="0" hidden="1">{#N/A,#N/A,FALSE,"Sheet1 (2)"}</definedName>
    <definedName name="fgrwgygh_4" hidden="1">{#N/A,#N/A,FALSE,"Sheet1 (2)"}</definedName>
    <definedName name="fgsdgasgax" hidden="1">#REF!</definedName>
    <definedName name="fgt">[78]HL!#REF!</definedName>
    <definedName name="fgujhyuy" localSheetId="0" hidden="1">{#N/A,#N/A,FALSE,"Sheet1 (2)"}</definedName>
    <definedName name="fgujhyuy" hidden="1">{#N/A,#N/A,FALSE,"Sheet1 (2)"}</definedName>
    <definedName name="fh" localSheetId="0" hidden="1">{#N/A,#N/A,FALSE,"Sheet1 (2)"}</definedName>
    <definedName name="fh" hidden="1">{#N/A,#N/A,FALSE,"Sheet1 (2)"}</definedName>
    <definedName name="fhghg" localSheetId="0" hidden="1">{#N/A,#N/A,FALSE,"Sheet1 (2)"}</definedName>
    <definedName name="fhghg" hidden="1">{#N/A,#N/A,FALSE,"Sheet1 (2)"}</definedName>
    <definedName name="fhghg_1" localSheetId="0" hidden="1">{#N/A,#N/A,FALSE,"Sheet1 (2)"}</definedName>
    <definedName name="fhghg_1" hidden="1">{#N/A,#N/A,FALSE,"Sheet1 (2)"}</definedName>
    <definedName name="fhghg_1_1" localSheetId="0" hidden="1">{#N/A,#N/A,FALSE,"Sheet1 (2)"}</definedName>
    <definedName name="fhghg_1_1" hidden="1">{#N/A,#N/A,FALSE,"Sheet1 (2)"}</definedName>
    <definedName name="fhghg_1_2" localSheetId="0" hidden="1">{#N/A,#N/A,FALSE,"Sheet1 (2)"}</definedName>
    <definedName name="fhghg_1_2" hidden="1">{#N/A,#N/A,FALSE,"Sheet1 (2)"}</definedName>
    <definedName name="fhghg_1_3" localSheetId="0" hidden="1">{#N/A,#N/A,FALSE,"Sheet1 (2)"}</definedName>
    <definedName name="fhghg_1_3" hidden="1">{#N/A,#N/A,FALSE,"Sheet1 (2)"}</definedName>
    <definedName name="fhghg_2" localSheetId="0" hidden="1">{#N/A,#N/A,FALSE,"Sheet1 (2)"}</definedName>
    <definedName name="fhghg_2" hidden="1">{#N/A,#N/A,FALSE,"Sheet1 (2)"}</definedName>
    <definedName name="fhghg_2_1" localSheetId="0" hidden="1">{#N/A,#N/A,FALSE,"Sheet1 (2)"}</definedName>
    <definedName name="fhghg_2_1" hidden="1">{#N/A,#N/A,FALSE,"Sheet1 (2)"}</definedName>
    <definedName name="fhghg_2_2" localSheetId="0" hidden="1">{#N/A,#N/A,FALSE,"Sheet1 (2)"}</definedName>
    <definedName name="fhghg_2_2" hidden="1">{#N/A,#N/A,FALSE,"Sheet1 (2)"}</definedName>
    <definedName name="fhghg_3" localSheetId="0" hidden="1">{#N/A,#N/A,FALSE,"Sheet1 (2)"}</definedName>
    <definedName name="fhghg_3" hidden="1">{#N/A,#N/A,FALSE,"Sheet1 (2)"}</definedName>
    <definedName name="fhghg_4" localSheetId="0" hidden="1">{#N/A,#N/A,FALSE,"Sheet1 (2)"}</definedName>
    <definedName name="fhghg_4" hidden="1">{#N/A,#N/A,FALSE,"Sheet1 (2)"}</definedName>
    <definedName name="FIATZONENR">#REF!</definedName>
    <definedName name="fida">#REF!</definedName>
    <definedName name="File_Name">#REF!</definedName>
    <definedName name="File_Size_KB">#REF!</definedName>
    <definedName name="FİLM">#REF!</definedName>
    <definedName name="findme" localSheetId="0" hidden="1">{#N/A,#N/A,FALSE,"Assumptions";#N/A,#N/A,FALSE,"1997 P&amp;L(pk) Estrada";#N/A,#N/A,FALSE,"ONGOING P&amp;L(pk) Estrada"}</definedName>
    <definedName name="findme" hidden="1">{#N/A,#N/A,FALSE,"Assumptions";#N/A,#N/A,FALSE,"1997 P&amp;L(pk) Estrada";#N/A,#N/A,FALSE,"ONGOING P&amp;L(pk) Estrada"}</definedName>
    <definedName name="findme10" localSheetId="0" hidden="1">{#N/A,#N/A,FALSE,"1996 P&amp;L TOWTAC(pk)";#N/A,#N/A,FALSE,"ONGOING P&amp;L TOWTAC(pk)";#N/A,#N/A,FALSE,"ATL6TOWTAC COST CARD"}</definedName>
    <definedName name="findme10" hidden="1">{#N/A,#N/A,FALSE,"1996 P&amp;L TOWTAC(pk)";#N/A,#N/A,FALSE,"ONGOING P&amp;L TOWTAC(pk)";#N/A,#N/A,FALSE,"ATL6TOWTAC COST CARD"}</definedName>
    <definedName name="findme11" localSheetId="0" hidden="1">{#N/A,#N/A,FALSE,"npv sort";#N/A,#N/A,FALSE,"npv";#N/A,#N/A,FALSE,"npv 4 years  sort";#N/A,#N/A,FALSE,"npv 4 years";#N/A,#N/A,FALSE,"npv 5 years ";#N/A,#N/A,FALSE,"npv 5 years sort"}</definedName>
    <definedName name="findme11" hidden="1">{#N/A,#N/A,FALSE,"npv sort";#N/A,#N/A,FALSE,"npv";#N/A,#N/A,FALSE,"npv 4 years  sort";#N/A,#N/A,FALSE,"npv 4 years";#N/A,#N/A,FALSE,"npv 5 years ";#N/A,#N/A,FALSE,"npv 5 years sort"}</definedName>
    <definedName name="findme12" localSheetId="0" hidden="1">{#N/A,#N/A,FALSE,"Ranch WT ATP Fact Sheet";#N/A,#N/A,FALSE,"1996 P&amp;L Ranch W.T.(pk)";#N/A,#N/A,FALSE,"ONGOING P&amp;L Ranch W.T.(pk)"}</definedName>
    <definedName name="findme12" hidden="1">{#N/A,#N/A,FALSE,"Ranch WT ATP Fact Sheet";#N/A,#N/A,FALSE,"1996 P&amp;L Ranch W.T.(pk)";#N/A,#N/A,FALSE,"ONGOING P&amp;L Ranch W.T.(pk)"}</definedName>
    <definedName name="findme13" localSheetId="0" hidden="1">{#N/A,#N/A,FALSE,"Assumptions";#N/A,#N/A,FALSE,"ATP SCORAC (lb)";#N/A,#N/A,FALSE,"1996 P&amp;L SCO (lb)";#N/A,#N/A,FALSE,"ONG P&amp;L SCO (LB)"}</definedName>
    <definedName name="findme13" hidden="1">{#N/A,#N/A,FALSE,"Assumptions";#N/A,#N/A,FALSE,"ATP SCORAC (lb)";#N/A,#N/A,FALSE,"1996 P&amp;L SCO (lb)";#N/A,#N/A,FALSE,"ONG P&amp;L SCO (LB)"}</definedName>
    <definedName name="findme14" localSheetId="0" hidden="1">{#N/A,#N/A,FALSE,"1997 P&amp;L(pk) (Atlanta)";#N/A,#N/A,FALSE,"ONGOING P&amp;L(PK)(Atlanta)"}</definedName>
    <definedName name="findme14" hidden="1">{#N/A,#N/A,FALSE,"1997 P&amp;L(pk) (Atlanta)";#N/A,#N/A,FALSE,"ONGOING P&amp;L(PK)(Atlanta)"}</definedName>
    <definedName name="findme2" localSheetId="0" hidden="1">{#N/A,#N/A,FALSE,"Assumptions";#N/A,#N/A,FALSE,"1997 P&amp;L(pk) Estrada";#N/A,#N/A,FALSE,"ONGOING P&amp;L(pk) Estrada"}</definedName>
    <definedName name="findme2" hidden="1">{#N/A,#N/A,FALSE,"Assumptions";#N/A,#N/A,FALSE,"1997 P&amp;L(pk) Estrada";#N/A,#N/A,FALSE,"ONGOING P&amp;L(pk) Estrada"}</definedName>
    <definedName name="findme3" localSheetId="0" hidden="1">{#N/A,#N/A,FALSE,"ONGOING P&amp;L TOWTAC(lb)";#N/A,#N/A,FALSE,"ONGOING P&amp;L TOWTAC(pk)";#N/A,#N/A,FALSE,"1996 P&amp;L TOWTAC(lb)";#N/A,#N/A,FALSE,"1996 P&amp;L TOWTAC(pk)"}</definedName>
    <definedName name="findme3" hidden="1">{#N/A,#N/A,FALSE,"ONGOING P&amp;L TOWTAC(lb)";#N/A,#N/A,FALSE,"ONGOING P&amp;L TOWTAC(pk)";#N/A,#N/A,FALSE,"1996 P&amp;L TOWTAC(lb)";#N/A,#N/A,FALSE,"1996 P&amp;L TOWTAC(pk)"}</definedName>
    <definedName name="findme4" localSheetId="0" hidden="1">{#N/A,#N/A,FALSE,"Assumptions";#N/A,#N/A,FALSE,"1996 P&amp;L SCO (lb)";#N/A,#N/A,FALSE,"ONG P&amp;L SCO (LB)"}</definedName>
    <definedName name="findme4" hidden="1">{#N/A,#N/A,FALSE,"Assumptions";#N/A,#N/A,FALSE,"1996 P&amp;L SCO (lb)";#N/A,#N/A,FALSE,"ONG P&amp;L SCO (LB)"}</definedName>
    <definedName name="findme5" localSheetId="0" hidden="1">{#N/A,#N/A,FALSE,"1996 P&amp;L Pretzels (pk)";#N/A,#N/A,FALSE,"YEAR 1 P&amp;L Pretzels (pk)";#N/A,#N/A,FALSE,"ONGOING P&amp;L (pk) SNK CAN";#N/A,#N/A,FALSE,"Assumptions";#N/A,#N/A,FALSE,"assessment"}</definedName>
    <definedName name="findme5" hidden="1">{#N/A,#N/A,FALSE,"1996 P&amp;L Pretzels (pk)";#N/A,#N/A,FALSE,"YEAR 1 P&amp;L Pretzels (pk)";#N/A,#N/A,FALSE,"ONGOING P&amp;L (pk) SNK CAN";#N/A,#N/A,FALSE,"Assumptions";#N/A,#N/A,FALSE,"assessment"}</definedName>
    <definedName name="findme6" localSheetId="0" hidden="1">{#N/A,#N/A,FALSE,"1997 P&amp;L(pk) (Atlanta)";#N/A,#N/A,FALSE,"ONGOING P&amp;L(PK)(Atlanta)"}</definedName>
    <definedName name="findme6" hidden="1">{#N/A,#N/A,FALSE,"1997 P&amp;L(pk) (Atlanta)";#N/A,#N/A,FALSE,"ONGOING P&amp;L(PK)(Atlanta)"}</definedName>
    <definedName name="findme7" localSheetId="0" hidden="1">{#N/A,#N/A,FALSE,"Assumptions";#N/A,#N/A,FALSE,"1997 P&amp;L POTATO AC";#N/A,#N/A,FALSE,"ONGOING P&amp;L POTATO AC";#N/A,#N/A,FALSE,"ONGOING P&amp;L POTATO AC (70%)"}</definedName>
    <definedName name="findme7" hidden="1">{#N/A,#N/A,FALSE,"Assumptions";#N/A,#N/A,FALSE,"1997 P&amp;L POTATO AC";#N/A,#N/A,FALSE,"ONGOING P&amp;L POTATO AC";#N/A,#N/A,FALSE,"ONGOING P&amp;L POTATO AC (70%)"}</definedName>
    <definedName name="findme8" localSheetId="0" hidden="1">{#N/A,#N/A,FALSE,"ONGOING P&amp;L POTATO AC";#N/A,#N/A,FALSE,"1997 P&amp;L POTATO AC"}</definedName>
    <definedName name="findme8" hidden="1">{#N/A,#N/A,FALSE,"ONGOING P&amp;L POTATO AC";#N/A,#N/A,FALSE,"1997 P&amp;L POTATO AC"}</definedName>
    <definedName name="findme9" localSheetId="0" hidden="1">{#N/A,#N/A,FALSE,"Assumptions";#N/A,#N/A,FALSE,"1997 P&amp;L(pk) Estrada";#N/A,#N/A,FALSE,"ONGOING P&amp;L(pk) Estrada"}</definedName>
    <definedName name="findme9" hidden="1">{#N/A,#N/A,FALSE,"Assumptions";#N/A,#N/A,FALSE,"1997 P&amp;L(pk) Estrada";#N/A,#N/A,FALSE,"ONGOING P&amp;L(pk) Estrada"}</definedName>
    <definedName name="FİRMA">#REF!</definedName>
    <definedName name="FirstCPMBuyRow">#REF!</definedName>
    <definedName name="FirstOtherCostMethodBuyRow">#REF!</definedName>
    <definedName name="FİTAY" localSheetId="0">[79]Sayfa2!#REF!</definedName>
    <definedName name="FİTAY">[80]Sayfa2!#REF!</definedName>
    <definedName name="Fixed">[31]Data!$A$2:$A$3</definedName>
    <definedName name="fiyat">#REF!</definedName>
    <definedName name="fiyat_list">#REF!</definedName>
    <definedName name="fiyat_list_2">#REF!</definedName>
    <definedName name="fiyat_list_3">#REF!</definedName>
    <definedName name="fiyat_list_4">#REF!</definedName>
    <definedName name="fiyat_list_5">#REF!</definedName>
    <definedName name="fiyat_list_6">#REF!</definedName>
    <definedName name="fiyat_list_7">#REF!</definedName>
    <definedName name="FIYAT_TABLOSU">#REF!</definedName>
    <definedName name="FIYAT_TABLOSU_KANAL">#REF!</definedName>
    <definedName name="FIYAT1">#REF!</definedName>
    <definedName name="FİYAT1">[81]Kategoriler!$A$48:$C$71</definedName>
    <definedName name="FIYAT1_2">#REF!</definedName>
    <definedName name="FIYAT1_3">#REF!</definedName>
    <definedName name="FIYAT1_4">#REF!</definedName>
    <definedName name="FIYAT1_5">#REF!</definedName>
    <definedName name="FIYAT1_6">#REF!</definedName>
    <definedName name="FIYAT1_7">#REF!</definedName>
    <definedName name="FIYAT2" localSheetId="0">[36]Kategoriler!$A$51:$B$81</definedName>
    <definedName name="FIYAT2">[82]Kategoriler!$A$51:$B$81</definedName>
    <definedName name="FİYAT2">[81]Kategoriler!$A$90:$C$113</definedName>
    <definedName name="FIYAT3" localSheetId="0">[36]Kategoriler!$A$86:$B$102</definedName>
    <definedName name="FIYAT3">[82]Kategoriler!$A$86:$B$102</definedName>
    <definedName name="FJKFNVBVB" localSheetId="0" hidden="1">{#N/A,#N/A,FALSE,"Sheet1 (2)"}</definedName>
    <definedName name="FJKFNVBVB" hidden="1">{#N/A,#N/A,FALSE,"Sheet1 (2)"}</definedName>
    <definedName name="FJKFNVBVB_1" localSheetId="0" hidden="1">{#N/A,#N/A,FALSE,"Sheet1 (2)"}</definedName>
    <definedName name="FJKFNVBVB_1" hidden="1">{#N/A,#N/A,FALSE,"Sheet1 (2)"}</definedName>
    <definedName name="Flag">#REF!</definedName>
    <definedName name="Flags">#REF!</definedName>
    <definedName name="FLASH">#REF!</definedName>
    <definedName name="FLASH_2">#REF!</definedName>
    <definedName name="FLASH_3">#REF!</definedName>
    <definedName name="FLASH_4">#REF!</definedName>
    <definedName name="FLASH_5">#REF!</definedName>
    <definedName name="FLASH_6">#REF!</definedName>
    <definedName name="FLASH_7">#REF!</definedName>
    <definedName name="flash_version">#REF!</definedName>
    <definedName name="FLASHVW">#REF!</definedName>
    <definedName name="flight_end_date">#REF!</definedName>
    <definedName name="flight_info_1">#REF!</definedName>
    <definedName name="flight_info_2">#REF!</definedName>
    <definedName name="flight_info_end">#REF!</definedName>
    <definedName name="flight_info_start">#REF!</definedName>
    <definedName name="flight_start_date">#REF!</definedName>
    <definedName name="Floor">#REF!</definedName>
    <definedName name="Flow">#REF!</definedName>
    <definedName name="FLOWCHART" localSheetId="0" hidden="1">{#N/A,#N/A,FALSE,"Sheet1 (2)"}</definedName>
    <definedName name="FLOWCHART" hidden="1">{#N/A,#N/A,FALSE,"Sheet1 (2)"}</definedName>
    <definedName name="FLOWCHART_1" localSheetId="0" hidden="1">{#N/A,#N/A,FALSE,"Sheet1 (2)"}</definedName>
    <definedName name="FLOWCHART_1" hidden="1">{#N/A,#N/A,FALSE,"Sheet1 (2)"}</definedName>
    <definedName name="Fogli">[55]Index!$I$6:$I$67</definedName>
    <definedName name="Football" localSheetId="0" hidden="1">{"'mayo'!$A$1:$AO$202"}</definedName>
    <definedName name="Football" hidden="1">{"'mayo'!$A$1:$AO$202"}</definedName>
    <definedName name="Form.ALggmmaa">"AL  "&amp;INDEX([83]!Mesi,MONTH([83]!Data),2)&amp;"/"&amp;MONTH([83]!Data)&amp;"/"&amp;[83]!Anno</definedName>
    <definedName name="Form.ALggmmaaPrec">"AL  "&amp;INDEX([83]!Mesi,MONTH([83]!Data),2)&amp;"/"&amp;MONTH([83]!Data)&amp;"/"&amp;[83]!Anno-1</definedName>
    <definedName name="Form.Anno">"Anno  "&amp;[83]!Anno</definedName>
    <definedName name="Form.AnnoPrec">"Anno  "&amp;[83]!Anno-1</definedName>
    <definedName name="Form.Mese">[83]!Mese&amp;" "&amp;[83]!Anno</definedName>
    <definedName name="Form.Quota">IF(#REF!=0,0,#REF!*#REF!/#REF!)</definedName>
    <definedName name="Form.Quota_1">IF(#REF!=0,0,#REF!*#REF!/#REF!)</definedName>
    <definedName name="Form.Quota_1_1">IF(#REF!=0,0,#REF!*#REF!/#REF!)</definedName>
    <definedName name="Form.Quota_1_2">IF(#REF!=0,0,#REF!*#REF!/#REF!)</definedName>
    <definedName name="Form.Quota_1_3">IF(#REF!=0,0,#REF!*#REF!/#REF!)</definedName>
    <definedName name="Form.Quota_2">IF(#REF!=0,0,#REF!*#REF!/#REF!)</definedName>
    <definedName name="Form.Quota_2_1">IF(#REF!=0,0,#REF!*#REF!/#REF!)</definedName>
    <definedName name="Form.Quota_2_2">IF(#REF!=0,0,#REF!*#REF!/#REF!)</definedName>
    <definedName name="Form.Quota_3">IF(#REF!=0,0,#REF!*#REF!/#REF!)</definedName>
    <definedName name="Form.Quota_4">IF(#REF!=0,0,#REF!*#REF!/#REF!)</definedName>
    <definedName name="FORMAT" localSheetId="0">[84]Format!$A$1:$A$65536</definedName>
    <definedName name="FORMAT">[85]Format!$A$1:$A$65536</definedName>
    <definedName name="Format_Name">[49]DataFields!$H$4:$H$52</definedName>
    <definedName name="FormatName_Abbrev">[49]DataFields!$H$4:$I$65</definedName>
    <definedName name="FormatRows">#REF!</definedName>
    <definedName name="Foursquare1" hidden="1">#REF!</definedName>
    <definedName name="fourth">#REF!</definedName>
    <definedName name="FREE">#REF!</definedName>
    <definedName name="frfgt">[86]!calculate</definedName>
    <definedName name="frt" localSheetId="0" hidden="1">{#N/A,#N/A,FALSE,"Sheet1 (2)"}</definedName>
    <definedName name="frt" hidden="1">{#N/A,#N/A,FALSE,"Sheet1 (2)"}</definedName>
    <definedName name="frte" localSheetId="0">'Haziran Gerçekleşen Plan'!frte</definedName>
    <definedName name="frte">[0]!frte</definedName>
    <definedName name="fs" localSheetId="0" hidden="1">{"'Jan - March 2000'!$A$5:$J$46"}</definedName>
    <definedName name="fs" hidden="1">{"'Jan - March 2000'!$A$5:$J$46"}</definedName>
    <definedName name="fsafsd" localSheetId="0" hidden="1">{"'Jan - March 2000'!$A$5:$J$46"}</definedName>
    <definedName name="fsafsd" hidden="1">{"'Jan - March 2000'!$A$5:$J$46"}</definedName>
    <definedName name="FSDadf" localSheetId="0" hidden="1">{"'Jan - March 2000'!$A$5:$J$46"}</definedName>
    <definedName name="FSDadf" hidden="1">{"'Jan - March 2000'!$A$5:$J$46"}</definedName>
    <definedName name="fsdafsdfsd" localSheetId="0" hidden="1">{"'Jan - March 2000'!$A$5:$J$46"}</definedName>
    <definedName name="fsdafsdfsd" hidden="1">{"'Jan - March 2000'!$A$5:$J$46"}</definedName>
    <definedName name="fsdf" localSheetId="0" hidden="1">{"'Jan - March 2000'!$A$5:$J$46"}</definedName>
    <definedName name="fsdf" hidden="1">{"'Jan - March 2000'!$A$5:$J$46"}</definedName>
    <definedName name="fsdfs" localSheetId="0" hidden="1">{"'Jan - March 2000'!$A$5:$J$46"}</definedName>
    <definedName name="fsdfs" hidden="1">{"'Jan - March 2000'!$A$5:$J$46"}</definedName>
    <definedName name="fsdhdhdhdhdhaja" localSheetId="0" hidden="1">{"'Jan - March 2000'!$A$5:$J$46"}</definedName>
    <definedName name="fsdhdhdhdhdhaja" hidden="1">{"'Jan - March 2000'!$A$5:$J$46"}</definedName>
    <definedName name="fsdrgtr">#REF!</definedName>
    <definedName name="fsef" localSheetId="0" hidden="1">{#N/A,#N/A,FALSE,"Sheet1 (2)"}</definedName>
    <definedName name="fsef" hidden="1">{#N/A,#N/A,FALSE,"Sheet1 (2)"}</definedName>
    <definedName name="fsf" localSheetId="0" hidden="1">{"'Jan - March 2000'!$A$5:$J$46"}</definedName>
    <definedName name="fsf" hidden="1">{"'Jan - March 2000'!$A$5:$J$46"}</definedName>
    <definedName name="fsfds" localSheetId="0" hidden="1">{"'Jan - March 2000'!$A$5:$J$46"}</definedName>
    <definedName name="fsfds" hidden="1">{"'Jan - March 2000'!$A$5:$J$46"}</definedName>
    <definedName name="fsfsd" localSheetId="0" hidden="1">{"'Jan - March 2000'!$A$5:$J$46"}</definedName>
    <definedName name="fsfsd" hidden="1">{"'Jan - March 2000'!$A$5:$J$46"}</definedName>
    <definedName name="fsfsdfdsdsfdsfdsfdsfdsfs" localSheetId="0" hidden="1">{"'Jan - March 2000'!$A$5:$J$46"}</definedName>
    <definedName name="fsfsdfdsdsfdsfdsfdsfdsfs" hidden="1">{"'Jan - March 2000'!$A$5:$J$46"}</definedName>
    <definedName name="fsfsdsd" localSheetId="0" hidden="1">{"'Jan - March 2000'!$A$5:$J$46"}</definedName>
    <definedName name="fsfsdsd" hidden="1">{"'Jan - March 2000'!$A$5:$J$46"}</definedName>
    <definedName name="ftc" localSheetId="0">'Haziran Gerçekleşen Plan'!ftc</definedName>
    <definedName name="ftc">[0]!ftc</definedName>
    <definedName name="FTDFTFT" localSheetId="0" hidden="1">{#N/A,#N/A,FALSE,"Sheet1 (2)"}</definedName>
    <definedName name="FTDFTFT" hidden="1">{#N/A,#N/A,FALSE,"Sheet1 (2)"}</definedName>
    <definedName name="fthfg" localSheetId="0" hidden="1">{"'Jan - March 2000'!$A$5:$J$46"}</definedName>
    <definedName name="fthfg" hidden="1">{"'Jan - March 2000'!$A$5:$J$46"}</definedName>
    <definedName name="FUSIONMEDIA">#REF!</definedName>
    <definedName name="futuretoplevel">'[39]ED Upper Funnel'!#REF!</definedName>
    <definedName name="fyuhrtuh" localSheetId="0" hidden="1">{#N/A,#N/A,FALSE,"Sheet1 (2)"}</definedName>
    <definedName name="fyuhrtuh" hidden="1">{#N/A,#N/A,FALSE,"Sheet1 (2)"}</definedName>
    <definedName name="g" localSheetId="0" hidden="1">{#N/A,#N/A,FALSE,"Sheet1 (2)"}</definedName>
    <definedName name="g" hidden="1">{#N/A,#N/A,FALSE,"Sheet1 (2)"}</definedName>
    <definedName name="g_1" localSheetId="0" hidden="1">{#N/A,#N/A,FALSE,"Sheet1 (2)"}</definedName>
    <definedName name="g_1" hidden="1">{#N/A,#N/A,FALSE,"Sheet1 (2)"}</definedName>
    <definedName name="g_1_1" localSheetId="0" hidden="1">{#N/A,#N/A,FALSE,"Sheet1 (2)"}</definedName>
    <definedName name="g_1_1" hidden="1">{#N/A,#N/A,FALSE,"Sheet1 (2)"}</definedName>
    <definedName name="g_1_2" localSheetId="0" hidden="1">{#N/A,#N/A,FALSE,"Sheet1 (2)"}</definedName>
    <definedName name="g_1_2" hidden="1">{#N/A,#N/A,FALSE,"Sheet1 (2)"}</definedName>
    <definedName name="g_1_3" localSheetId="0" hidden="1">{#N/A,#N/A,FALSE,"Sheet1 (2)"}</definedName>
    <definedName name="g_1_3" hidden="1">{#N/A,#N/A,FALSE,"Sheet1 (2)"}</definedName>
    <definedName name="g_2" localSheetId="0" hidden="1">{#N/A,#N/A,FALSE,"Sheet1 (2)"}</definedName>
    <definedName name="g_2" hidden="1">{#N/A,#N/A,FALSE,"Sheet1 (2)"}</definedName>
    <definedName name="g_2_1" localSheetId="0" hidden="1">{#N/A,#N/A,FALSE,"Sheet1 (2)"}</definedName>
    <definedName name="g_2_1" hidden="1">{#N/A,#N/A,FALSE,"Sheet1 (2)"}</definedName>
    <definedName name="g_2_2" localSheetId="0" hidden="1">{#N/A,#N/A,FALSE,"Sheet1 (2)"}</definedName>
    <definedName name="g_2_2" hidden="1">{#N/A,#N/A,FALSE,"Sheet1 (2)"}</definedName>
    <definedName name="g_3" localSheetId="0" hidden="1">{#N/A,#N/A,FALSE,"Sheet1 (2)"}</definedName>
    <definedName name="g_3" hidden="1">{#N/A,#N/A,FALSE,"Sheet1 (2)"}</definedName>
    <definedName name="g_4" localSheetId="0" hidden="1">{#N/A,#N/A,FALSE,"Sheet1 (2)"}</definedName>
    <definedName name="g_4" hidden="1">{#N/A,#N/A,FALSE,"Sheet1 (2)"}</definedName>
    <definedName name="ga" localSheetId="0" hidden="1">{#N/A,#N/A,FALSE,"Sheet1 (2)"}</definedName>
    <definedName name="ga" hidden="1">{#N/A,#N/A,FALSE,"Sheet1 (2)"}</definedName>
    <definedName name="ga_adi">#REF!</definedName>
    <definedName name="ga_ratecard">#REF!</definedName>
    <definedName name="ga_tutar">#REF!</definedName>
    <definedName name="ga2_ratecard">#REF!</definedName>
    <definedName name="ga2_tutar">#REF!</definedName>
    <definedName name="gadfga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dfga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ga" localSheetId="0" hidden="1">{"payback",#N/A,FALSE,"Wirtschaftlichkeitsberechnung"}</definedName>
    <definedName name="gaga" hidden="1">{"payback",#N/A,FALSE,"Wirtschaftlichkeitsberechnung"}</definedName>
    <definedName name="gags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g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MELOFT">#REF!</definedName>
    <definedName name="gasddfsg" localSheetId="0" hidden="1">{"'Jan - March 2000'!$A$5:$J$46"}</definedName>
    <definedName name="gasddfsg" hidden="1">{"'Jan - March 2000'!$A$5:$J$46"}</definedName>
    <definedName name="gasdg" localSheetId="0" hidden="1">{#N/A,#N/A,FALSE,"Sheet1 (2)"}</definedName>
    <definedName name="gasdg" hidden="1">{#N/A,#N/A,FALSE,"Sheet1 (2)"}</definedName>
    <definedName name="gasdg_1" localSheetId="0" hidden="1">{#N/A,#N/A,FALSE,"Sheet1 (2)"}</definedName>
    <definedName name="gasdg_1" hidden="1">{#N/A,#N/A,FALSE,"Sheet1 (2)"}</definedName>
    <definedName name="gasdg_1_1" localSheetId="0" hidden="1">{#N/A,#N/A,FALSE,"Sheet1 (2)"}</definedName>
    <definedName name="gasdg_1_1" hidden="1">{#N/A,#N/A,FALSE,"Sheet1 (2)"}</definedName>
    <definedName name="gasdg_1_2" localSheetId="0" hidden="1">{#N/A,#N/A,FALSE,"Sheet1 (2)"}</definedName>
    <definedName name="gasdg_1_2" hidden="1">{#N/A,#N/A,FALSE,"Sheet1 (2)"}</definedName>
    <definedName name="gasdg_1_3" localSheetId="0" hidden="1">{#N/A,#N/A,FALSE,"Sheet1 (2)"}</definedName>
    <definedName name="gasdg_1_3" hidden="1">{#N/A,#N/A,FALSE,"Sheet1 (2)"}</definedName>
    <definedName name="gasdg_2" localSheetId="0" hidden="1">{#N/A,#N/A,FALSE,"Sheet1 (2)"}</definedName>
    <definedName name="gasdg_2" hidden="1">{#N/A,#N/A,FALSE,"Sheet1 (2)"}</definedName>
    <definedName name="gasdg_2_1" localSheetId="0" hidden="1">{#N/A,#N/A,FALSE,"Sheet1 (2)"}</definedName>
    <definedName name="gasdg_2_1" hidden="1">{#N/A,#N/A,FALSE,"Sheet1 (2)"}</definedName>
    <definedName name="gasdg_2_2" localSheetId="0" hidden="1">{#N/A,#N/A,FALSE,"Sheet1 (2)"}</definedName>
    <definedName name="gasdg_2_2" hidden="1">{#N/A,#N/A,FALSE,"Sheet1 (2)"}</definedName>
    <definedName name="gasdg_3" localSheetId="0" hidden="1">{#N/A,#N/A,FALSE,"Sheet1 (2)"}</definedName>
    <definedName name="gasdg_3" hidden="1">{#N/A,#N/A,FALSE,"Sheet1 (2)"}</definedName>
    <definedName name="gasdg_4" localSheetId="0" hidden="1">{#N/A,#N/A,FALSE,"Sheet1 (2)"}</definedName>
    <definedName name="gasdg_4" hidden="1">{#N/A,#N/A,FALSE,"Sheet1 (2)"}</definedName>
    <definedName name="gasdgas" localSheetId="0" hidden="1">{"payback2",#N/A,FALSE,"Wirtschaftlichkeitsberechnung"}</definedName>
    <definedName name="gasdgas" hidden="1">{"payback2",#N/A,FALSE,"Wirtschaftlichkeitsberechnung"}</definedName>
    <definedName name="gasgd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sg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z" localSheetId="0" hidden="1">{#N/A,#N/A,FALSE,"Sheet1 (2)"}</definedName>
    <definedName name="gaz" hidden="1">{#N/A,#N/A,FALSE,"Sheet1 (2)"}</definedName>
    <definedName name="gaz_1" localSheetId="0" hidden="1">{#N/A,#N/A,FALSE,"Sheet1 (2)"}</definedName>
    <definedName name="gaz_1" hidden="1">{#N/A,#N/A,FALSE,"Sheet1 (2)"}</definedName>
    <definedName name="gaz_1_1" localSheetId="0" hidden="1">{#N/A,#N/A,FALSE,"Sheet1 (2)"}</definedName>
    <definedName name="gaz_1_1" hidden="1">{#N/A,#N/A,FALSE,"Sheet1 (2)"}</definedName>
    <definedName name="gaz_1_2" localSheetId="0" hidden="1">{#N/A,#N/A,FALSE,"Sheet1 (2)"}</definedName>
    <definedName name="gaz_1_2" hidden="1">{#N/A,#N/A,FALSE,"Sheet1 (2)"}</definedName>
    <definedName name="gaz_1_3" localSheetId="0" hidden="1">{#N/A,#N/A,FALSE,"Sheet1 (2)"}</definedName>
    <definedName name="gaz_1_3" hidden="1">{#N/A,#N/A,FALSE,"Sheet1 (2)"}</definedName>
    <definedName name="gaz_2" localSheetId="0" hidden="1">{#N/A,#N/A,FALSE,"Sheet1 (2)"}</definedName>
    <definedName name="gaz_2" hidden="1">{#N/A,#N/A,FALSE,"Sheet1 (2)"}</definedName>
    <definedName name="gaz_2_1" localSheetId="0" hidden="1">{#N/A,#N/A,FALSE,"Sheet1 (2)"}</definedName>
    <definedName name="gaz_2_1" hidden="1">{#N/A,#N/A,FALSE,"Sheet1 (2)"}</definedName>
    <definedName name="gaz_2_2" localSheetId="0" hidden="1">{#N/A,#N/A,FALSE,"Sheet1 (2)"}</definedName>
    <definedName name="gaz_2_2" hidden="1">{#N/A,#N/A,FALSE,"Sheet1 (2)"}</definedName>
    <definedName name="gaz_3" localSheetId="0" hidden="1">{#N/A,#N/A,FALSE,"Sheet1 (2)"}</definedName>
    <definedName name="gaz_3" hidden="1">{#N/A,#N/A,FALSE,"Sheet1 (2)"}</definedName>
    <definedName name="gaz_4" localSheetId="0" hidden="1">{#N/A,#N/A,FALSE,"Sheet1 (2)"}</definedName>
    <definedName name="gaz_4" hidden="1">{#N/A,#N/A,FALSE,"Sheet1 (2)"}</definedName>
    <definedName name="gaz_ahp_tutar">#REF!</definedName>
    <definedName name="gaz_ratecard">#REF!</definedName>
    <definedName name="gaz_tutar">#REF!</definedName>
    <definedName name="gaz1_adi">#REF!</definedName>
    <definedName name="gaz1_adi_2">#REF!</definedName>
    <definedName name="gaz1_adi_3">#REF!</definedName>
    <definedName name="gaz1_adi_4">#REF!</definedName>
    <definedName name="gaz1_adi_5">#REF!</definedName>
    <definedName name="gaz1_adi_6">#REF!</definedName>
    <definedName name="gaz1_adi_7">#REF!</definedName>
    <definedName name="gaz1_adi_brut">#REF!</definedName>
    <definedName name="gaz1_adi_brut_2">#REF!</definedName>
    <definedName name="gaz1_adi_brut_3">#REF!</definedName>
    <definedName name="gaz1_adi_brut_4">#REF!</definedName>
    <definedName name="gaz1_adi_brut_5">#REF!</definedName>
    <definedName name="gaz1_adi_brut_6">#REF!</definedName>
    <definedName name="gaz1_adi_brut_7">#REF!</definedName>
    <definedName name="gaz1_adibrut">#REF!</definedName>
    <definedName name="gaz1_adibrut_2">#REF!</definedName>
    <definedName name="gaz1_adibrut_3">#REF!</definedName>
    <definedName name="gaz1_adibrut_4">#REF!</definedName>
    <definedName name="gaz1_adibrut_5">#REF!</definedName>
    <definedName name="gaz1_adibrut_6">#REF!</definedName>
    <definedName name="gaz1_adibrut_7">#REF!</definedName>
    <definedName name="gaz1_ahp_tutar">#REF!</definedName>
    <definedName name="gaz1_ahp_tutar_2">#REF!</definedName>
    <definedName name="gaz1_ahp_tutar_3">#REF!</definedName>
    <definedName name="gaz1_ahp_tutar_4">#REF!</definedName>
    <definedName name="gaz1_ahp_tutar_5">#REF!</definedName>
    <definedName name="gaz1_ahp_tutar_6">#REF!</definedName>
    <definedName name="gaz1_ahp_tutar_7">#REF!</definedName>
    <definedName name="gaz1_ahp_tutartl">#REF!</definedName>
    <definedName name="gaz1_ahp_tutartl_2">#REF!</definedName>
    <definedName name="gaz1_ahp_tutartl_3">#REF!</definedName>
    <definedName name="gaz1_ahp_tutartl_4">#REF!</definedName>
    <definedName name="gaz1_ahp_tutartl_5">#REF!</definedName>
    <definedName name="gaz1_ahp_tutartl_6">#REF!</definedName>
    <definedName name="gaz1_ahp_tutartl_7">#REF!</definedName>
    <definedName name="gaz1_brut">#REF!</definedName>
    <definedName name="gaz1_brut_2">#REF!</definedName>
    <definedName name="gaz1_brut_3">#REF!</definedName>
    <definedName name="gaz1_brut_4">#REF!</definedName>
    <definedName name="gaz1_brut_5">#REF!</definedName>
    <definedName name="gaz1_brut_6">#REF!</definedName>
    <definedName name="gaz1_brut_7">#REF!</definedName>
    <definedName name="gaz1_net_tutar">#REF!</definedName>
    <definedName name="gaz1_net_tutar_2">#REF!</definedName>
    <definedName name="gaz1_net_tutar_3">#REF!</definedName>
    <definedName name="gaz1_net_tutar_4">#REF!</definedName>
    <definedName name="gaz1_net_tutar_5">#REF!</definedName>
    <definedName name="gaz1_net_tutar_6">#REF!</definedName>
    <definedName name="gaz1_net_tutar_7">#REF!</definedName>
    <definedName name="gaz1_ratecard">#REF!</definedName>
    <definedName name="gaz1_ratecard_2">#REF!</definedName>
    <definedName name="gaz1_ratecard_3">#REF!</definedName>
    <definedName name="gaz1_ratecard_4">#REF!</definedName>
    <definedName name="gaz1_ratecard_5">#REF!</definedName>
    <definedName name="gaz1_ratecard_6">#REF!</definedName>
    <definedName name="gaz1_ratecard_7">#REF!</definedName>
    <definedName name="gaz1_tiraj">#REF!</definedName>
    <definedName name="gaz1_tiraj_2">#REF!</definedName>
    <definedName name="gaz1_tiraj_3">#REF!</definedName>
    <definedName name="gaz1_tiraj_4">#REF!</definedName>
    <definedName name="gaz1_tiraj_5">#REF!</definedName>
    <definedName name="gaz1_tiraj_6">#REF!</definedName>
    <definedName name="gaz1_tiraj_7">#REF!</definedName>
    <definedName name="gaz1_tutar">#REF!</definedName>
    <definedName name="gaz1_tutar_2">#REF!</definedName>
    <definedName name="gaz1_tutar_3">#REF!</definedName>
    <definedName name="gaz1_tutar_4">#REF!</definedName>
    <definedName name="gaz1_tutar_5">#REF!</definedName>
    <definedName name="gaz1_tutar_6">#REF!</definedName>
    <definedName name="gaz1_tutar_7">#REF!</definedName>
    <definedName name="gaz2_adi">#REF!</definedName>
    <definedName name="gaz2_adi_2">#REF!</definedName>
    <definedName name="gaz2_adi_3">#REF!</definedName>
    <definedName name="gaz2_adi_4">#REF!</definedName>
    <definedName name="gaz2_adi_5">#REF!</definedName>
    <definedName name="gaz2_adi_6">#REF!</definedName>
    <definedName name="gaz2_adi_7">#REF!</definedName>
    <definedName name="gaz2_ratecard">#REF!</definedName>
    <definedName name="gaz2_ratecard_2">#REF!</definedName>
    <definedName name="gaz2_ratecard_3">#REF!</definedName>
    <definedName name="gaz2_ratecard_4">#REF!</definedName>
    <definedName name="gaz2_ratecard_5">#REF!</definedName>
    <definedName name="gaz2_ratecard_6">#REF!</definedName>
    <definedName name="gaz2_ratecard_7">#REF!</definedName>
    <definedName name="gaz2_tutar">#REF!</definedName>
    <definedName name="gaz2_tutar_2">#REF!</definedName>
    <definedName name="gaz2_tutar_3">#REF!</definedName>
    <definedName name="gaz2_tutar_4">#REF!</definedName>
    <definedName name="gaz2_tutar_5">#REF!</definedName>
    <definedName name="gaz2_tutar_6">#REF!</definedName>
    <definedName name="gaz2_tutar_7">#REF!</definedName>
    <definedName name="gaze1_adi">'[87]plan-gaz1'!$B$1:$B$65536</definedName>
    <definedName name="gaze1_ahp_tutar">#REF!</definedName>
    <definedName name="gaze1_ratecard">#REF!</definedName>
    <definedName name="gaze1_tutar">#REF!</definedName>
    <definedName name="gazet1_adi">#REF!</definedName>
    <definedName name="gazet1_ahp_tutar">#REF!</definedName>
    <definedName name="gazet1_ratecard">#REF!</definedName>
    <definedName name="gazet1_tutar">#REF!</definedName>
    <definedName name="GAZETE" localSheetId="0" hidden="1">{#N/A,#N/A,FALSE,"Sheet1 (2)"}</definedName>
    <definedName name="gazete">#REF!</definedName>
    <definedName name="GAZETE_06">#REF!</definedName>
    <definedName name="GAZETE_07">#REF!</definedName>
    <definedName name="GAZETE_08">#REF!</definedName>
    <definedName name="gazete1" localSheetId="0" hidden="1">{#N/A,#N/A,FALSE,"Sheet1 (2)"}</definedName>
    <definedName name="gazete1" hidden="1">{#N/A,#N/A,FALSE,"Sheet1 (2)"}</definedName>
    <definedName name="gazete1_1" localSheetId="0" hidden="1">{#N/A,#N/A,FALSE,"Sheet1 (2)"}</definedName>
    <definedName name="gazete1_1" hidden="1">{#N/A,#N/A,FALSE,"Sheet1 (2)"}</definedName>
    <definedName name="gazete1_1_1" localSheetId="0" hidden="1">{#N/A,#N/A,FALSE,"Sheet1 (2)"}</definedName>
    <definedName name="gazete1_1_1" hidden="1">{#N/A,#N/A,FALSE,"Sheet1 (2)"}</definedName>
    <definedName name="gazete1_1_2" localSheetId="0" hidden="1">{#N/A,#N/A,FALSE,"Sheet1 (2)"}</definedName>
    <definedName name="gazete1_1_2" hidden="1">{#N/A,#N/A,FALSE,"Sheet1 (2)"}</definedName>
    <definedName name="gazete1_1_3" localSheetId="0" hidden="1">{#N/A,#N/A,FALSE,"Sheet1 (2)"}</definedName>
    <definedName name="gazete1_1_3" hidden="1">{#N/A,#N/A,FALSE,"Sheet1 (2)"}</definedName>
    <definedName name="gazete1_2" localSheetId="0" hidden="1">{#N/A,#N/A,FALSE,"Sheet1 (2)"}</definedName>
    <definedName name="gazete1_2" hidden="1">{#N/A,#N/A,FALSE,"Sheet1 (2)"}</definedName>
    <definedName name="gazete1_2_1" localSheetId="0" hidden="1">{#N/A,#N/A,FALSE,"Sheet1 (2)"}</definedName>
    <definedName name="gazete1_2_1" hidden="1">{#N/A,#N/A,FALSE,"Sheet1 (2)"}</definedName>
    <definedName name="gazete1_2_2" localSheetId="0" hidden="1">{#N/A,#N/A,FALSE,"Sheet1 (2)"}</definedName>
    <definedName name="gazete1_2_2" hidden="1">{#N/A,#N/A,FALSE,"Sheet1 (2)"}</definedName>
    <definedName name="gazete1_3" localSheetId="0" hidden="1">{#N/A,#N/A,FALSE,"Sheet1 (2)"}</definedName>
    <definedName name="gazete1_3" hidden="1">{#N/A,#N/A,FALSE,"Sheet1 (2)"}</definedName>
    <definedName name="gazete1_4" localSheetId="0" hidden="1">{#N/A,#N/A,FALSE,"Sheet1 (2)"}</definedName>
    <definedName name="gazete1_4" hidden="1">{#N/A,#N/A,FALSE,"Sheet1 (2)"}</definedName>
    <definedName name="gazete2" localSheetId="0" hidden="1">{#N/A,#N/A,FALSE,"Sheet1 (2)"}</definedName>
    <definedName name="gazete2" hidden="1">{#N/A,#N/A,FALSE,"Sheet1 (2)"}</definedName>
    <definedName name="gazete2_1" localSheetId="0" hidden="1">{#N/A,#N/A,FALSE,"Sheet1 (2)"}</definedName>
    <definedName name="gazete2_1" hidden="1">{#N/A,#N/A,FALSE,"Sheet1 (2)"}</definedName>
    <definedName name="gazete2_1_1" localSheetId="0" hidden="1">{#N/A,#N/A,FALSE,"Sheet1 (2)"}</definedName>
    <definedName name="gazete2_1_1" hidden="1">{#N/A,#N/A,FALSE,"Sheet1 (2)"}</definedName>
    <definedName name="gazete2_1_2" localSheetId="0" hidden="1">{#N/A,#N/A,FALSE,"Sheet1 (2)"}</definedName>
    <definedName name="gazete2_1_2" hidden="1">{#N/A,#N/A,FALSE,"Sheet1 (2)"}</definedName>
    <definedName name="gazete2_1_3" localSheetId="0" hidden="1">{#N/A,#N/A,FALSE,"Sheet1 (2)"}</definedName>
    <definedName name="gazete2_1_3" hidden="1">{#N/A,#N/A,FALSE,"Sheet1 (2)"}</definedName>
    <definedName name="gazete2_2" localSheetId="0" hidden="1">{#N/A,#N/A,FALSE,"Sheet1 (2)"}</definedName>
    <definedName name="gazete2_2" hidden="1">{#N/A,#N/A,FALSE,"Sheet1 (2)"}</definedName>
    <definedName name="gazete2_2_1" localSheetId="0" hidden="1">{#N/A,#N/A,FALSE,"Sheet1 (2)"}</definedName>
    <definedName name="gazete2_2_1" hidden="1">{#N/A,#N/A,FALSE,"Sheet1 (2)"}</definedName>
    <definedName name="gazete2_2_2" localSheetId="0" hidden="1">{#N/A,#N/A,FALSE,"Sheet1 (2)"}</definedName>
    <definedName name="gazete2_2_2" hidden="1">{#N/A,#N/A,FALSE,"Sheet1 (2)"}</definedName>
    <definedName name="gazete2_3" localSheetId="0" hidden="1">{#N/A,#N/A,FALSE,"Sheet1 (2)"}</definedName>
    <definedName name="gazete2_3" hidden="1">{#N/A,#N/A,FALSE,"Sheet1 (2)"}</definedName>
    <definedName name="gazete2_4" localSheetId="0" hidden="1">{#N/A,#N/A,FALSE,"Sheet1 (2)"}</definedName>
    <definedName name="gazete2_4" hidden="1">{#N/A,#N/A,FALSE,"Sheet1 (2)"}</definedName>
    <definedName name="gazeteadı">#REF!</definedName>
    <definedName name="gazetecik" localSheetId="0" hidden="1">{#N/A,#N/A,FALSE,"Sheet1 (2)"}</definedName>
    <definedName name="gazetecik" hidden="1">{#N/A,#N/A,FALSE,"Sheet1 (2)"}</definedName>
    <definedName name="gazetecik_1" localSheetId="0" hidden="1">{#N/A,#N/A,FALSE,"Sheet1 (2)"}</definedName>
    <definedName name="gazetecik_1" hidden="1">{#N/A,#N/A,FALSE,"Sheet1 (2)"}</definedName>
    <definedName name="gazetecik_1_1" localSheetId="0" hidden="1">{#N/A,#N/A,FALSE,"Sheet1 (2)"}</definedName>
    <definedName name="gazetecik_1_1" hidden="1">{#N/A,#N/A,FALSE,"Sheet1 (2)"}</definedName>
    <definedName name="gazetecik_1_2" localSheetId="0" hidden="1">{#N/A,#N/A,FALSE,"Sheet1 (2)"}</definedName>
    <definedName name="gazetecik_1_2" hidden="1">{#N/A,#N/A,FALSE,"Sheet1 (2)"}</definedName>
    <definedName name="gazetecik_1_3" localSheetId="0" hidden="1">{#N/A,#N/A,FALSE,"Sheet1 (2)"}</definedName>
    <definedName name="gazetecik_1_3" hidden="1">{#N/A,#N/A,FALSE,"Sheet1 (2)"}</definedName>
    <definedName name="gazetecik_2" localSheetId="0" hidden="1">{#N/A,#N/A,FALSE,"Sheet1 (2)"}</definedName>
    <definedName name="gazetecik_2" hidden="1">{#N/A,#N/A,FALSE,"Sheet1 (2)"}</definedName>
    <definedName name="gazetecik_2_1" localSheetId="0" hidden="1">{#N/A,#N/A,FALSE,"Sheet1 (2)"}</definedName>
    <definedName name="gazetecik_2_1" hidden="1">{#N/A,#N/A,FALSE,"Sheet1 (2)"}</definedName>
    <definedName name="gazetecik_2_2" localSheetId="0" hidden="1">{#N/A,#N/A,FALSE,"Sheet1 (2)"}</definedName>
    <definedName name="gazetecik_2_2" hidden="1">{#N/A,#N/A,FALSE,"Sheet1 (2)"}</definedName>
    <definedName name="gazetecik_3" localSheetId="0" hidden="1">{#N/A,#N/A,FALSE,"Sheet1 (2)"}</definedName>
    <definedName name="gazetecik_3" hidden="1">{#N/A,#N/A,FALSE,"Sheet1 (2)"}</definedName>
    <definedName name="gazetecik_4" localSheetId="0" hidden="1">{#N/A,#N/A,FALSE,"Sheet1 (2)"}</definedName>
    <definedName name="gazetecik_4" hidden="1">{#N/A,#N/A,FALSE,"Sheet1 (2)"}</definedName>
    <definedName name="GAZİANTEP">#REF!</definedName>
    <definedName name="GCAİLETİŞİM">#REF!</definedName>
    <definedName name="gd" localSheetId="0" hidden="1">{"'Jan - March 2000'!$A$5:$J$46"}</definedName>
    <definedName name="gd" hidden="1">{"'Jan - March 2000'!$A$5:$J$46"}</definedName>
    <definedName name="gdfgdf" localSheetId="0" hidden="1">{"'Jan - March 2000'!$A$5:$J$46"}</definedName>
    <definedName name="gdfgdf" hidden="1">{"'Jan - March 2000'!$A$5:$J$46"}</definedName>
    <definedName name="gdfgdhh" localSheetId="0" hidden="1">{#N/A,#N/A,FALSE,"Sheet1 (2)"}</definedName>
    <definedName name="gdfgdhh" hidden="1">{#N/A,#N/A,FALSE,"Sheet1 (2)"}</definedName>
    <definedName name="gdfgdhh_1" localSheetId="0" hidden="1">{#N/A,#N/A,FALSE,"Sheet1 (2)"}</definedName>
    <definedName name="gdfgdhh_1" hidden="1">{#N/A,#N/A,FALSE,"Sheet1 (2)"}</definedName>
    <definedName name="gdfgdhh_1_1" localSheetId="0" hidden="1">{#N/A,#N/A,FALSE,"Sheet1 (2)"}</definedName>
    <definedName name="gdfgdhh_1_1" hidden="1">{#N/A,#N/A,FALSE,"Sheet1 (2)"}</definedName>
    <definedName name="gdfgdhh_1_2" localSheetId="0" hidden="1">{#N/A,#N/A,FALSE,"Sheet1 (2)"}</definedName>
    <definedName name="gdfgdhh_1_2" hidden="1">{#N/A,#N/A,FALSE,"Sheet1 (2)"}</definedName>
    <definedName name="gdfgdhh_1_3" localSheetId="0" hidden="1">{#N/A,#N/A,FALSE,"Sheet1 (2)"}</definedName>
    <definedName name="gdfgdhh_1_3" hidden="1">{#N/A,#N/A,FALSE,"Sheet1 (2)"}</definedName>
    <definedName name="gdfgdhh_2" localSheetId="0" hidden="1">{#N/A,#N/A,FALSE,"Sheet1 (2)"}</definedName>
    <definedName name="gdfgdhh_2" hidden="1">{#N/A,#N/A,FALSE,"Sheet1 (2)"}</definedName>
    <definedName name="gdfgdhh_2_1" localSheetId="0" hidden="1">{#N/A,#N/A,FALSE,"Sheet1 (2)"}</definedName>
    <definedName name="gdfgdhh_2_1" hidden="1">{#N/A,#N/A,FALSE,"Sheet1 (2)"}</definedName>
    <definedName name="gdfgdhh_2_2" localSheetId="0" hidden="1">{#N/A,#N/A,FALSE,"Sheet1 (2)"}</definedName>
    <definedName name="gdfgdhh_2_2" hidden="1">{#N/A,#N/A,FALSE,"Sheet1 (2)"}</definedName>
    <definedName name="gdfgdhh_3" localSheetId="0" hidden="1">{#N/A,#N/A,FALSE,"Sheet1 (2)"}</definedName>
    <definedName name="gdfgdhh_3" hidden="1">{#N/A,#N/A,FALSE,"Sheet1 (2)"}</definedName>
    <definedName name="gdfgdhh_4" localSheetId="0" hidden="1">{#N/A,#N/A,FALSE,"Sheet1 (2)"}</definedName>
    <definedName name="gdfgdhh_4" hidden="1">{#N/A,#N/A,FALSE,"Sheet1 (2)"}</definedName>
    <definedName name="gdfhgf" localSheetId="0" hidden="1">{#N/A,#N/A,FALSE,"Sheet1 (2)"}</definedName>
    <definedName name="gdfhgf" hidden="1">{#N/A,#N/A,FALSE,"Sheet1 (2)"}</definedName>
    <definedName name="gdgdfgd" localSheetId="0" hidden="1">{"'Jan - March 2000'!$A$5:$J$46"}</definedName>
    <definedName name="gdgdfgd" hidden="1">{"'Jan - March 2000'!$A$5:$J$46"}</definedName>
    <definedName name="gdgfd" localSheetId="0" hidden="1">{"'Jan - March 2000'!$A$5:$J$46"}</definedName>
    <definedName name="gdgfd" hidden="1">{"'Jan - March 2000'!$A$5:$J$46"}</definedName>
    <definedName name="geff" localSheetId="0">'Haziran Gerçekleşen Plan'!geff</definedName>
    <definedName name="geff">[0]!geff</definedName>
    <definedName name="gefge" localSheetId="0" hidden="1">{#N/A,#N/A,FALSE,"Sheet1 (2)"}</definedName>
    <definedName name="gefge" hidden="1">{#N/A,#N/A,FALSE,"Sheet1 (2)"}</definedName>
    <definedName name="gefge_1" localSheetId="0" hidden="1">{#N/A,#N/A,FALSE,"Sheet1 (2)"}</definedName>
    <definedName name="gefge_1" hidden="1">{#N/A,#N/A,FALSE,"Sheet1 (2)"}</definedName>
    <definedName name="gefge_1_1" localSheetId="0" hidden="1">{#N/A,#N/A,FALSE,"Sheet1 (2)"}</definedName>
    <definedName name="gefge_1_1" hidden="1">{#N/A,#N/A,FALSE,"Sheet1 (2)"}</definedName>
    <definedName name="gefge_1_2" localSheetId="0" hidden="1">{#N/A,#N/A,FALSE,"Sheet1 (2)"}</definedName>
    <definedName name="gefge_1_2" hidden="1">{#N/A,#N/A,FALSE,"Sheet1 (2)"}</definedName>
    <definedName name="gefge_1_3" localSheetId="0" hidden="1">{#N/A,#N/A,FALSE,"Sheet1 (2)"}</definedName>
    <definedName name="gefge_1_3" hidden="1">{#N/A,#N/A,FALSE,"Sheet1 (2)"}</definedName>
    <definedName name="gefge_2" localSheetId="0" hidden="1">{#N/A,#N/A,FALSE,"Sheet1 (2)"}</definedName>
    <definedName name="gefge_2" hidden="1">{#N/A,#N/A,FALSE,"Sheet1 (2)"}</definedName>
    <definedName name="gefge_2_1" localSheetId="0" hidden="1">{#N/A,#N/A,FALSE,"Sheet1 (2)"}</definedName>
    <definedName name="gefge_2_1" hidden="1">{#N/A,#N/A,FALSE,"Sheet1 (2)"}</definedName>
    <definedName name="gefge_2_2" localSheetId="0" hidden="1">{#N/A,#N/A,FALSE,"Sheet1 (2)"}</definedName>
    <definedName name="gefge_2_2" hidden="1">{#N/A,#N/A,FALSE,"Sheet1 (2)"}</definedName>
    <definedName name="gefge_3" localSheetId="0" hidden="1">{#N/A,#N/A,FALSE,"Sheet1 (2)"}</definedName>
    <definedName name="gefge_3" hidden="1">{#N/A,#N/A,FALSE,"Sheet1 (2)"}</definedName>
    <definedName name="gefge_4" localSheetId="0" hidden="1">{#N/A,#N/A,FALSE,"Sheet1 (2)"}</definedName>
    <definedName name="gefge_4" hidden="1">{#N/A,#N/A,FALSE,"Sheet1 (2)"}</definedName>
    <definedName name="GENART">#REF!</definedName>
    <definedName name="Genc">#REF!</definedName>
    <definedName name="Genc_2">#REF!</definedName>
    <definedName name="Genc_3">#REF!</definedName>
    <definedName name="Genc_4">#REF!</definedName>
    <definedName name="Genc_5">#REF!</definedName>
    <definedName name="Genc_6">#REF!</definedName>
    <definedName name="Genc_7">#REF!</definedName>
    <definedName name="GENTE">#N/A</definedName>
    <definedName name="Gerçekleşen">[59]!Choices_Wrapper</definedName>
    <definedName name="GESAFG">#REF!</definedName>
    <definedName name="GETİR">#REF!</definedName>
    <definedName name="GEZGİNMEDYA">#REF!</definedName>
    <definedName name="gezikolik">#REF!</definedName>
    <definedName name="GEZİMANYA">#REF!</definedName>
    <definedName name="gf" localSheetId="0" hidden="1">{#N/A,#N/A,FALSE,"Sheet1 (2)"}</definedName>
    <definedName name="gf" hidden="1">{#N/A,#N/A,FALSE,"Sheet1 (2)"}</definedName>
    <definedName name="gf_1" localSheetId="0" hidden="1">{#N/A,#N/A,FALSE,"Sheet1 (2)"}</definedName>
    <definedName name="gf_1" hidden="1">{#N/A,#N/A,FALSE,"Sheet1 (2)"}</definedName>
    <definedName name="gf_1_1" localSheetId="0" hidden="1">{#N/A,#N/A,FALSE,"Sheet1 (2)"}</definedName>
    <definedName name="gf_1_1" hidden="1">{#N/A,#N/A,FALSE,"Sheet1 (2)"}</definedName>
    <definedName name="gf_1_2" localSheetId="0" hidden="1">{#N/A,#N/A,FALSE,"Sheet1 (2)"}</definedName>
    <definedName name="gf_1_2" hidden="1">{#N/A,#N/A,FALSE,"Sheet1 (2)"}</definedName>
    <definedName name="gf_1_3" localSheetId="0" hidden="1">{#N/A,#N/A,FALSE,"Sheet1 (2)"}</definedName>
    <definedName name="gf_1_3" hidden="1">{#N/A,#N/A,FALSE,"Sheet1 (2)"}</definedName>
    <definedName name="gf_2" localSheetId="0" hidden="1">{#N/A,#N/A,FALSE,"Sheet1 (2)"}</definedName>
    <definedName name="gf_2" hidden="1">{#N/A,#N/A,FALSE,"Sheet1 (2)"}</definedName>
    <definedName name="gf_2_1" localSheetId="0" hidden="1">{#N/A,#N/A,FALSE,"Sheet1 (2)"}</definedName>
    <definedName name="gf_2_1" hidden="1">{#N/A,#N/A,FALSE,"Sheet1 (2)"}</definedName>
    <definedName name="gf_2_2" localSheetId="0" hidden="1">{#N/A,#N/A,FALSE,"Sheet1 (2)"}</definedName>
    <definedName name="gf_2_2" hidden="1">{#N/A,#N/A,FALSE,"Sheet1 (2)"}</definedName>
    <definedName name="gf_3" localSheetId="0" hidden="1">{#N/A,#N/A,FALSE,"Sheet1 (2)"}</definedName>
    <definedName name="gf_3" hidden="1">{#N/A,#N/A,FALSE,"Sheet1 (2)"}</definedName>
    <definedName name="gf_4" localSheetId="0" hidden="1">{#N/A,#N/A,FALSE,"Sheet1 (2)"}</definedName>
    <definedName name="gf_4" hidden="1">{#N/A,#N/A,FALSE,"Sheet1 (2)"}</definedName>
    <definedName name="gfag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fag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faga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fdf" localSheetId="0" hidden="1">{"'Jan - March 2000'!$A$5:$J$46"}</definedName>
    <definedName name="gfdf" hidden="1">{"'Jan - March 2000'!$A$5:$J$46"}</definedName>
    <definedName name="gfdg" localSheetId="0" hidden="1">{"'Jan - March 2000'!$A$5:$J$46"}</definedName>
    <definedName name="gfdg" hidden="1">{"'Jan - March 2000'!$A$5:$J$46"}</definedName>
    <definedName name="gfdşlkgşl" localSheetId="0" hidden="1">{#N/A,#N/A,FALSE,"Sheet1 (2)"}</definedName>
    <definedName name="gfdşlkgşl" hidden="1">{#N/A,#N/A,FALSE,"Sheet1 (2)"}</definedName>
    <definedName name="gfdşlkgşl_1" localSheetId="0" hidden="1">{#N/A,#N/A,FALSE,"Sheet1 (2)"}</definedName>
    <definedName name="gfdşlkgşl_1" hidden="1">{#N/A,#N/A,FALSE,"Sheet1 (2)"}</definedName>
    <definedName name="gfdşlkgşl_1_1" localSheetId="0" hidden="1">{#N/A,#N/A,FALSE,"Sheet1 (2)"}</definedName>
    <definedName name="gfdşlkgşl_1_1" hidden="1">{#N/A,#N/A,FALSE,"Sheet1 (2)"}</definedName>
    <definedName name="gfdşlkgşl_1_2" localSheetId="0" hidden="1">{#N/A,#N/A,FALSE,"Sheet1 (2)"}</definedName>
    <definedName name="gfdşlkgşl_1_2" hidden="1">{#N/A,#N/A,FALSE,"Sheet1 (2)"}</definedName>
    <definedName name="gfdşlkgşl_1_3" localSheetId="0" hidden="1">{#N/A,#N/A,FALSE,"Sheet1 (2)"}</definedName>
    <definedName name="gfdşlkgşl_1_3" hidden="1">{#N/A,#N/A,FALSE,"Sheet1 (2)"}</definedName>
    <definedName name="gfdşlkgşl_2" localSheetId="0" hidden="1">{#N/A,#N/A,FALSE,"Sheet1 (2)"}</definedName>
    <definedName name="gfdşlkgşl_2" hidden="1">{#N/A,#N/A,FALSE,"Sheet1 (2)"}</definedName>
    <definedName name="gfdşlkgşl_2_1" localSheetId="0" hidden="1">{#N/A,#N/A,FALSE,"Sheet1 (2)"}</definedName>
    <definedName name="gfdşlkgşl_2_1" hidden="1">{#N/A,#N/A,FALSE,"Sheet1 (2)"}</definedName>
    <definedName name="gfdşlkgşl_2_2" localSheetId="0" hidden="1">{#N/A,#N/A,FALSE,"Sheet1 (2)"}</definedName>
    <definedName name="gfdşlkgşl_2_2" hidden="1">{#N/A,#N/A,FALSE,"Sheet1 (2)"}</definedName>
    <definedName name="gfdşlkgşl_3" localSheetId="0" hidden="1">{#N/A,#N/A,FALSE,"Sheet1 (2)"}</definedName>
    <definedName name="gfdşlkgşl_3" hidden="1">{#N/A,#N/A,FALSE,"Sheet1 (2)"}</definedName>
    <definedName name="gfdşlkgşl_4" localSheetId="0" hidden="1">{#N/A,#N/A,FALSE,"Sheet1 (2)"}</definedName>
    <definedName name="gfdşlkgşl_4" hidden="1">{#N/A,#N/A,FALSE,"Sheet1 (2)"}</definedName>
    <definedName name="gfeyhth" localSheetId="0" hidden="1">{#N/A,#N/A,FALSE,"Sheet1 (2)"}</definedName>
    <definedName name="gfeyhth" hidden="1">{#N/A,#N/A,FALSE,"Sheet1 (2)"}</definedName>
    <definedName name="gfeyhth_1" localSheetId="0" hidden="1">{#N/A,#N/A,FALSE,"Sheet1 (2)"}</definedName>
    <definedName name="gfeyhth_1" hidden="1">{#N/A,#N/A,FALSE,"Sheet1 (2)"}</definedName>
    <definedName name="gfeyhth_1_1" localSheetId="0" hidden="1">{#N/A,#N/A,FALSE,"Sheet1 (2)"}</definedName>
    <definedName name="gfeyhth_1_1" hidden="1">{#N/A,#N/A,FALSE,"Sheet1 (2)"}</definedName>
    <definedName name="gfeyhth_1_2" localSheetId="0" hidden="1">{#N/A,#N/A,FALSE,"Sheet1 (2)"}</definedName>
    <definedName name="gfeyhth_1_2" hidden="1">{#N/A,#N/A,FALSE,"Sheet1 (2)"}</definedName>
    <definedName name="gfeyhth_1_3" localSheetId="0" hidden="1">{#N/A,#N/A,FALSE,"Sheet1 (2)"}</definedName>
    <definedName name="gfeyhth_1_3" hidden="1">{#N/A,#N/A,FALSE,"Sheet1 (2)"}</definedName>
    <definedName name="gfeyhth_2" localSheetId="0" hidden="1">{#N/A,#N/A,FALSE,"Sheet1 (2)"}</definedName>
    <definedName name="gfeyhth_2" hidden="1">{#N/A,#N/A,FALSE,"Sheet1 (2)"}</definedName>
    <definedName name="gfeyhth_2_1" localSheetId="0" hidden="1">{#N/A,#N/A,FALSE,"Sheet1 (2)"}</definedName>
    <definedName name="gfeyhth_2_1" hidden="1">{#N/A,#N/A,FALSE,"Sheet1 (2)"}</definedName>
    <definedName name="gfeyhth_2_2" localSheetId="0" hidden="1">{#N/A,#N/A,FALSE,"Sheet1 (2)"}</definedName>
    <definedName name="gfeyhth_2_2" hidden="1">{#N/A,#N/A,FALSE,"Sheet1 (2)"}</definedName>
    <definedName name="gfeyhth_3" localSheetId="0" hidden="1">{#N/A,#N/A,FALSE,"Sheet1 (2)"}</definedName>
    <definedName name="gfeyhth_3" hidden="1">{#N/A,#N/A,FALSE,"Sheet1 (2)"}</definedName>
    <definedName name="gfeyhth_4" localSheetId="0" hidden="1">{#N/A,#N/A,FALSE,"Sheet1 (2)"}</definedName>
    <definedName name="gfeyhth_4" hidden="1">{#N/A,#N/A,FALSE,"Sheet1 (2)"}</definedName>
    <definedName name="gfgfa" localSheetId="0" hidden="1">{"payback",#N/A,FALSE,"Wirtschaftlichkeitsberechnung"}</definedName>
    <definedName name="gfgfa" hidden="1">{"payback",#N/A,FALSE,"Wirtschaftlichkeitsberechnung"}</definedName>
    <definedName name="GFGFYGYT" localSheetId="0" hidden="1">{#N/A,#N/A,FALSE,"Sheet1 (2)"}</definedName>
    <definedName name="GFGFYGYT" hidden="1">{#N/A,#N/A,FALSE,"Sheet1 (2)"}</definedName>
    <definedName name="gfghf">#REF!</definedName>
    <definedName name="gfhghf" localSheetId="0" hidden="1">{"'Jan - March 2000'!$A$5:$J$46"}</definedName>
    <definedName name="gfhghf" hidden="1">{"'Jan - March 2000'!$A$5:$J$46"}</definedName>
    <definedName name="gfhh" localSheetId="0" hidden="1">{#N/A,#N/A,FALSE,"Sheet1 (2)"}</definedName>
    <definedName name="gfhh" hidden="1">{#N/A,#N/A,FALSE,"Sheet1 (2)"}</definedName>
    <definedName name="gfhh_1" localSheetId="0" hidden="1">{#N/A,#N/A,FALSE,"Sheet1 (2)"}</definedName>
    <definedName name="gfhh_1" hidden="1">{#N/A,#N/A,FALSE,"Sheet1 (2)"}</definedName>
    <definedName name="gfhh_1_1" localSheetId="0" hidden="1">{#N/A,#N/A,FALSE,"Sheet1 (2)"}</definedName>
    <definedName name="gfhh_1_1" hidden="1">{#N/A,#N/A,FALSE,"Sheet1 (2)"}</definedName>
    <definedName name="gfhh_1_2" localSheetId="0" hidden="1">{#N/A,#N/A,FALSE,"Sheet1 (2)"}</definedName>
    <definedName name="gfhh_1_2" hidden="1">{#N/A,#N/A,FALSE,"Sheet1 (2)"}</definedName>
    <definedName name="gfhh_1_3" localSheetId="0" hidden="1">{#N/A,#N/A,FALSE,"Sheet1 (2)"}</definedName>
    <definedName name="gfhh_1_3" hidden="1">{#N/A,#N/A,FALSE,"Sheet1 (2)"}</definedName>
    <definedName name="gfhh_2" localSheetId="0" hidden="1">{#N/A,#N/A,FALSE,"Sheet1 (2)"}</definedName>
    <definedName name="gfhh_2" hidden="1">{#N/A,#N/A,FALSE,"Sheet1 (2)"}</definedName>
    <definedName name="gfhh_2_1" localSheetId="0" hidden="1">{#N/A,#N/A,FALSE,"Sheet1 (2)"}</definedName>
    <definedName name="gfhh_2_1" hidden="1">{#N/A,#N/A,FALSE,"Sheet1 (2)"}</definedName>
    <definedName name="gfhh_2_2" localSheetId="0" hidden="1">{#N/A,#N/A,FALSE,"Sheet1 (2)"}</definedName>
    <definedName name="gfhh_2_2" hidden="1">{#N/A,#N/A,FALSE,"Sheet1 (2)"}</definedName>
    <definedName name="gfhh_3" localSheetId="0" hidden="1">{#N/A,#N/A,FALSE,"Sheet1 (2)"}</definedName>
    <definedName name="gfhh_3" hidden="1">{#N/A,#N/A,FALSE,"Sheet1 (2)"}</definedName>
    <definedName name="gfhh_4" localSheetId="0" hidden="1">{#N/A,#N/A,FALSE,"Sheet1 (2)"}</definedName>
    <definedName name="gfhh_4" hidden="1">{#N/A,#N/A,FALSE,"Sheet1 (2)"}</definedName>
    <definedName name="gfjhrtuyh" localSheetId="0" hidden="1">{#N/A,#N/A,FALSE,"Sheet1 (2)"}</definedName>
    <definedName name="gfjhrtuyh" hidden="1">{#N/A,#N/A,FALSE,"Sheet1 (2)"}</definedName>
    <definedName name="gfjty" localSheetId="0" hidden="1">{#N/A,#N/A,FALSE,"Sheet1 (2)"}</definedName>
    <definedName name="gfjty" hidden="1">{#N/A,#N/A,FALSE,"Sheet1 (2)"}</definedName>
    <definedName name="gfsgg" localSheetId="0" hidden="1">{#N/A,#N/A,FALSE,"Sheet1 (2)"}</definedName>
    <definedName name="gfsgg" hidden="1">{#N/A,#N/A,FALSE,"Sheet1 (2)"}</definedName>
    <definedName name="gfsgg_1" localSheetId="0" hidden="1">{#N/A,#N/A,FALSE,"Sheet1 (2)"}</definedName>
    <definedName name="gfsgg_1" hidden="1">{#N/A,#N/A,FALSE,"Sheet1 (2)"}</definedName>
    <definedName name="gfsgg_1_1" localSheetId="0" hidden="1">{#N/A,#N/A,FALSE,"Sheet1 (2)"}</definedName>
    <definedName name="gfsgg_1_1" hidden="1">{#N/A,#N/A,FALSE,"Sheet1 (2)"}</definedName>
    <definedName name="gfsgg_1_2" localSheetId="0" hidden="1">{#N/A,#N/A,FALSE,"Sheet1 (2)"}</definedName>
    <definedName name="gfsgg_1_2" hidden="1">{#N/A,#N/A,FALSE,"Sheet1 (2)"}</definedName>
    <definedName name="gfsgg_1_3" localSheetId="0" hidden="1">{#N/A,#N/A,FALSE,"Sheet1 (2)"}</definedName>
    <definedName name="gfsgg_1_3" hidden="1">{#N/A,#N/A,FALSE,"Sheet1 (2)"}</definedName>
    <definedName name="gfsgg_2" localSheetId="0" hidden="1">{#N/A,#N/A,FALSE,"Sheet1 (2)"}</definedName>
    <definedName name="gfsgg_2" hidden="1">{#N/A,#N/A,FALSE,"Sheet1 (2)"}</definedName>
    <definedName name="gfsgg_2_1" localSheetId="0" hidden="1">{#N/A,#N/A,FALSE,"Sheet1 (2)"}</definedName>
    <definedName name="gfsgg_2_1" hidden="1">{#N/A,#N/A,FALSE,"Sheet1 (2)"}</definedName>
    <definedName name="gfsgg_2_2" localSheetId="0" hidden="1">{#N/A,#N/A,FALSE,"Sheet1 (2)"}</definedName>
    <definedName name="gfsgg_2_2" hidden="1">{#N/A,#N/A,FALSE,"Sheet1 (2)"}</definedName>
    <definedName name="gfsgg_3" localSheetId="0" hidden="1">{#N/A,#N/A,FALSE,"Sheet1 (2)"}</definedName>
    <definedName name="gfsgg_3" hidden="1">{#N/A,#N/A,FALSE,"Sheet1 (2)"}</definedName>
    <definedName name="gfsgg_4" localSheetId="0" hidden="1">{#N/A,#N/A,FALSE,"Sheet1 (2)"}</definedName>
    <definedName name="gfsgg_4" hidden="1">{#N/A,#N/A,FALSE,"Sheet1 (2)"}</definedName>
    <definedName name="gft" localSheetId="0" hidden="1">{#N/A,#N/A,FALSE,"Sheet1 (2)"}</definedName>
    <definedName name="gft" hidden="1">{#N/A,#N/A,FALSE,"Sheet1 (2)"}</definedName>
    <definedName name="GFTED">#REF!</definedName>
    <definedName name="gfthht" localSheetId="0" hidden="1">{#N/A,#N/A,FALSE,"Sheet1 (2)"}</definedName>
    <definedName name="gfthht" hidden="1">{#N/A,#N/A,FALSE,"Sheet1 (2)"}</definedName>
    <definedName name="GG" localSheetId="0" hidden="1">{#N/A,#N/A,FALSE,"Sheet1 (2)"}</definedName>
    <definedName name="GG" hidden="1">{#N/A,#N/A,FALSE,"Sheet1 (2)"}</definedName>
    <definedName name="ğğ" localSheetId="0" hidden="1">{#N/A,#N/A,FALSE,"Sheet1 (2)"}</definedName>
    <definedName name="ğğ" hidden="1">{#N/A,#N/A,FALSE,"Sheet1 (2)"}</definedName>
    <definedName name="GG_1" localSheetId="0" hidden="1">{#N/A,#N/A,FALSE,"Sheet1 (2)"}</definedName>
    <definedName name="GG_1" hidden="1">{#N/A,#N/A,FALSE,"Sheet1 (2)"}</definedName>
    <definedName name="ğğ_1" localSheetId="0" hidden="1">{#N/A,#N/A,FALSE,"Sheet1 (2)"}</definedName>
    <definedName name="ğğ_1" hidden="1">{#N/A,#N/A,FALSE,"Sheet1 (2)"}</definedName>
    <definedName name="GG_1_1" localSheetId="0" hidden="1">{#N/A,#N/A,FALSE,"Sheet1 (2)"}</definedName>
    <definedName name="GG_1_1" hidden="1">{#N/A,#N/A,FALSE,"Sheet1 (2)"}</definedName>
    <definedName name="ğğ_1_1" localSheetId="0" hidden="1">{#N/A,#N/A,FALSE,"Sheet1 (2)"}</definedName>
    <definedName name="ğğ_1_1" hidden="1">{#N/A,#N/A,FALSE,"Sheet1 (2)"}</definedName>
    <definedName name="GG_1_2" localSheetId="0" hidden="1">{#N/A,#N/A,FALSE,"Sheet1 (2)"}</definedName>
    <definedName name="GG_1_2" hidden="1">{#N/A,#N/A,FALSE,"Sheet1 (2)"}</definedName>
    <definedName name="ğğ_1_2" localSheetId="0" hidden="1">{#N/A,#N/A,FALSE,"Sheet1 (2)"}</definedName>
    <definedName name="ğğ_1_2" hidden="1">{#N/A,#N/A,FALSE,"Sheet1 (2)"}</definedName>
    <definedName name="GG_1_3" localSheetId="0" hidden="1">{#N/A,#N/A,FALSE,"Sheet1 (2)"}</definedName>
    <definedName name="GG_1_3" hidden="1">{#N/A,#N/A,FALSE,"Sheet1 (2)"}</definedName>
    <definedName name="ğğ_1_3" localSheetId="0" hidden="1">{#N/A,#N/A,FALSE,"Sheet1 (2)"}</definedName>
    <definedName name="ğğ_1_3" hidden="1">{#N/A,#N/A,FALSE,"Sheet1 (2)"}</definedName>
    <definedName name="GG_2" localSheetId="0" hidden="1">{#N/A,#N/A,FALSE,"Sheet1 (2)"}</definedName>
    <definedName name="GG_2" hidden="1">{#N/A,#N/A,FALSE,"Sheet1 (2)"}</definedName>
    <definedName name="ğğ_2" localSheetId="0" hidden="1">{#N/A,#N/A,FALSE,"Sheet1 (2)"}</definedName>
    <definedName name="ğğ_2" hidden="1">{#N/A,#N/A,FALSE,"Sheet1 (2)"}</definedName>
    <definedName name="GG_2_1" localSheetId="0" hidden="1">{#N/A,#N/A,FALSE,"Sheet1 (2)"}</definedName>
    <definedName name="GG_2_1" hidden="1">{#N/A,#N/A,FALSE,"Sheet1 (2)"}</definedName>
    <definedName name="ğğ_2_1" localSheetId="0" hidden="1">{#N/A,#N/A,FALSE,"Sheet1 (2)"}</definedName>
    <definedName name="ğğ_2_1" hidden="1">{#N/A,#N/A,FALSE,"Sheet1 (2)"}</definedName>
    <definedName name="GG_2_2" localSheetId="0" hidden="1">{#N/A,#N/A,FALSE,"Sheet1 (2)"}</definedName>
    <definedName name="GG_2_2" hidden="1">{#N/A,#N/A,FALSE,"Sheet1 (2)"}</definedName>
    <definedName name="ğğ_2_2" localSheetId="0" hidden="1">{#N/A,#N/A,FALSE,"Sheet1 (2)"}</definedName>
    <definedName name="ğğ_2_2" hidden="1">{#N/A,#N/A,FALSE,"Sheet1 (2)"}</definedName>
    <definedName name="GG_3" localSheetId="0" hidden="1">{#N/A,#N/A,FALSE,"Sheet1 (2)"}</definedName>
    <definedName name="GG_3" hidden="1">{#N/A,#N/A,FALSE,"Sheet1 (2)"}</definedName>
    <definedName name="ğğ_3" localSheetId="0" hidden="1">{#N/A,#N/A,FALSE,"Sheet1 (2)"}</definedName>
    <definedName name="ğğ_3" hidden="1">{#N/A,#N/A,FALSE,"Sheet1 (2)"}</definedName>
    <definedName name="GG_4" localSheetId="0" hidden="1">{#N/A,#N/A,FALSE,"Sheet1 (2)"}</definedName>
    <definedName name="GG_4" hidden="1">{#N/A,#N/A,FALSE,"Sheet1 (2)"}</definedName>
    <definedName name="ğğ_4" localSheetId="0" hidden="1">{#N/A,#N/A,FALSE,"Sheet1 (2)"}</definedName>
    <definedName name="ğğ_4" hidden="1">{#N/A,#N/A,FALSE,"Sheet1 (2)"}</definedName>
    <definedName name="ggearg" localSheetId="0" hidden="1">{#N/A,#N/A,FALSE,"Sheet1 (2)"}</definedName>
    <definedName name="ggearg" hidden="1">{#N/A,#N/A,FALSE,"Sheet1 (2)"}</definedName>
    <definedName name="ggg" localSheetId="0" hidden="1">{#N/A,#N/A,FALSE,"Sheet1 (2)"}</definedName>
    <definedName name="ggg" hidden="1">{#N/A,#N/A,FALSE,"Sheet1 (2)"}</definedName>
    <definedName name="ggg_1" localSheetId="0" hidden="1">{#N/A,#N/A,FALSE,"Sheet1 (2)"}</definedName>
    <definedName name="ggg_1" hidden="1">{#N/A,#N/A,FALSE,"Sheet1 (2)"}</definedName>
    <definedName name="ggg_1_1" localSheetId="0" hidden="1">{#N/A,#N/A,FALSE,"Sheet1 (2)"}</definedName>
    <definedName name="ggg_1_1" hidden="1">{#N/A,#N/A,FALSE,"Sheet1 (2)"}</definedName>
    <definedName name="ggg_1_2" localSheetId="0" hidden="1">{#N/A,#N/A,FALSE,"Sheet1 (2)"}</definedName>
    <definedName name="ggg_1_2" hidden="1">{#N/A,#N/A,FALSE,"Sheet1 (2)"}</definedName>
    <definedName name="ggg_1_3" localSheetId="0" hidden="1">{#N/A,#N/A,FALSE,"Sheet1 (2)"}</definedName>
    <definedName name="ggg_1_3" hidden="1">{#N/A,#N/A,FALSE,"Sheet1 (2)"}</definedName>
    <definedName name="ggg_2" localSheetId="0" hidden="1">{#N/A,#N/A,FALSE,"Sheet1 (2)"}</definedName>
    <definedName name="ggg_2" hidden="1">{#N/A,#N/A,FALSE,"Sheet1 (2)"}</definedName>
    <definedName name="ggg_2_1" localSheetId="0" hidden="1">{#N/A,#N/A,FALSE,"Sheet1 (2)"}</definedName>
    <definedName name="ggg_2_1" hidden="1">{#N/A,#N/A,FALSE,"Sheet1 (2)"}</definedName>
    <definedName name="ggg_2_2" localSheetId="0" hidden="1">{#N/A,#N/A,FALSE,"Sheet1 (2)"}</definedName>
    <definedName name="ggg_2_2" hidden="1">{#N/A,#N/A,FALSE,"Sheet1 (2)"}</definedName>
    <definedName name="ggg_3" localSheetId="0" hidden="1">{#N/A,#N/A,FALSE,"Sheet1 (2)"}</definedName>
    <definedName name="ggg_3" hidden="1">{#N/A,#N/A,FALSE,"Sheet1 (2)"}</definedName>
    <definedName name="ggg_4" localSheetId="0" hidden="1">{#N/A,#N/A,FALSE,"Sheet1 (2)"}</definedName>
    <definedName name="ggg_4" hidden="1">{#N/A,#N/A,FALSE,"Sheet1 (2)"}</definedName>
    <definedName name="gggg">#REF!</definedName>
    <definedName name="ggggg">#REF!</definedName>
    <definedName name="gggggg" hidden="1">#REF!</definedName>
    <definedName name="gggggg2" hidden="1">#REF!</definedName>
    <definedName name="ggggggdgddd" localSheetId="0" hidden="1">{#N/A,#N/A,FALSE,"Sheet1 (2)"}</definedName>
    <definedName name="ggggggdgddd" hidden="1">{#N/A,#N/A,FALSE,"Sheet1 (2)"}</definedName>
    <definedName name="ggggggdgddd_1" localSheetId="0" hidden="1">{#N/A,#N/A,FALSE,"Sheet1 (2)"}</definedName>
    <definedName name="ggggggdgddd_1" hidden="1">{#N/A,#N/A,FALSE,"Sheet1 (2)"}</definedName>
    <definedName name="ggggggdgddd_1_1" localSheetId="0" hidden="1">{#N/A,#N/A,FALSE,"Sheet1 (2)"}</definedName>
    <definedName name="ggggggdgddd_1_1" hidden="1">{#N/A,#N/A,FALSE,"Sheet1 (2)"}</definedName>
    <definedName name="ggggggdgddd_1_2" localSheetId="0" hidden="1">{#N/A,#N/A,FALSE,"Sheet1 (2)"}</definedName>
    <definedName name="ggggggdgddd_1_2" hidden="1">{#N/A,#N/A,FALSE,"Sheet1 (2)"}</definedName>
    <definedName name="ggggggdgddd_1_3" localSheetId="0" hidden="1">{#N/A,#N/A,FALSE,"Sheet1 (2)"}</definedName>
    <definedName name="ggggggdgddd_1_3" hidden="1">{#N/A,#N/A,FALSE,"Sheet1 (2)"}</definedName>
    <definedName name="ggggggdgddd_2" localSheetId="0" hidden="1">{#N/A,#N/A,FALSE,"Sheet1 (2)"}</definedName>
    <definedName name="ggggggdgddd_2" hidden="1">{#N/A,#N/A,FALSE,"Sheet1 (2)"}</definedName>
    <definedName name="ggggggdgddd_2_1" localSheetId="0" hidden="1">{#N/A,#N/A,FALSE,"Sheet1 (2)"}</definedName>
    <definedName name="ggggggdgddd_2_1" hidden="1">{#N/A,#N/A,FALSE,"Sheet1 (2)"}</definedName>
    <definedName name="ggggggdgddd_2_2" localSheetId="0" hidden="1">{#N/A,#N/A,FALSE,"Sheet1 (2)"}</definedName>
    <definedName name="ggggggdgddd_2_2" hidden="1">{#N/A,#N/A,FALSE,"Sheet1 (2)"}</definedName>
    <definedName name="ggggggdgddd_3" localSheetId="0" hidden="1">{#N/A,#N/A,FALSE,"Sheet1 (2)"}</definedName>
    <definedName name="ggggggdgddd_3" hidden="1">{#N/A,#N/A,FALSE,"Sheet1 (2)"}</definedName>
    <definedName name="ggggggdgddd_4" localSheetId="0" hidden="1">{#N/A,#N/A,FALSE,"Sheet1 (2)"}</definedName>
    <definedName name="ggggggdgddd_4" hidden="1">{#N/A,#N/A,FALSE,"Sheet1 (2)"}</definedName>
    <definedName name="GGGGT">#REF!</definedName>
    <definedName name="GGGHHJJJ">#REF!</definedName>
    <definedName name="gh" localSheetId="0" hidden="1">{"'Jan - March 2000'!$A$5:$J$46"}</definedName>
    <definedName name="gh" hidden="1">{"'Jan - March 2000'!$A$5:$J$46"}</definedName>
    <definedName name="ghdgh" localSheetId="0" hidden="1">{#N/A,#N/A,FALSE,"Sheet1 (2)"}</definedName>
    <definedName name="ghdgh" hidden="1">{#N/A,#N/A,FALSE,"Sheet1 (2)"}</definedName>
    <definedName name="ghdhyh" localSheetId="0" hidden="1">{#N/A,#N/A,FALSE,"Sheet1 (2)"}</definedName>
    <definedName name="ghdhyh" hidden="1">{#N/A,#N/A,FALSE,"Sheet1 (2)"}</definedName>
    <definedName name="ghdhyh_1" localSheetId="0" hidden="1">{#N/A,#N/A,FALSE,"Sheet1 (2)"}</definedName>
    <definedName name="ghdhyh_1" hidden="1">{#N/A,#N/A,FALSE,"Sheet1 (2)"}</definedName>
    <definedName name="ghdhyh_1_1" localSheetId="0" hidden="1">{#N/A,#N/A,FALSE,"Sheet1 (2)"}</definedName>
    <definedName name="ghdhyh_1_1" hidden="1">{#N/A,#N/A,FALSE,"Sheet1 (2)"}</definedName>
    <definedName name="ghdhyh_1_2" localSheetId="0" hidden="1">{#N/A,#N/A,FALSE,"Sheet1 (2)"}</definedName>
    <definedName name="ghdhyh_1_2" hidden="1">{#N/A,#N/A,FALSE,"Sheet1 (2)"}</definedName>
    <definedName name="ghdhyh_1_3" localSheetId="0" hidden="1">{#N/A,#N/A,FALSE,"Sheet1 (2)"}</definedName>
    <definedName name="ghdhyh_1_3" hidden="1">{#N/A,#N/A,FALSE,"Sheet1 (2)"}</definedName>
    <definedName name="ghdhyh_2" localSheetId="0" hidden="1">{#N/A,#N/A,FALSE,"Sheet1 (2)"}</definedName>
    <definedName name="ghdhyh_2" hidden="1">{#N/A,#N/A,FALSE,"Sheet1 (2)"}</definedName>
    <definedName name="ghdhyh_2_1" localSheetId="0" hidden="1">{#N/A,#N/A,FALSE,"Sheet1 (2)"}</definedName>
    <definedName name="ghdhyh_2_1" hidden="1">{#N/A,#N/A,FALSE,"Sheet1 (2)"}</definedName>
    <definedName name="ghdhyh_2_2" localSheetId="0" hidden="1">{#N/A,#N/A,FALSE,"Sheet1 (2)"}</definedName>
    <definedName name="ghdhyh_2_2" hidden="1">{#N/A,#N/A,FALSE,"Sheet1 (2)"}</definedName>
    <definedName name="ghdhyh_3" localSheetId="0" hidden="1">{#N/A,#N/A,FALSE,"Sheet1 (2)"}</definedName>
    <definedName name="ghdhyh_3" hidden="1">{#N/A,#N/A,FALSE,"Sheet1 (2)"}</definedName>
    <definedName name="ghdhyh_4" localSheetId="0" hidden="1">{#N/A,#N/A,FALSE,"Sheet1 (2)"}</definedName>
    <definedName name="ghdhyh_4" hidden="1">{#N/A,#N/A,FALSE,"Sheet1 (2)"}</definedName>
    <definedName name="ghfghsfghds" localSheetId="0" hidden="1">{"'Jan - March 2000'!$A$5:$J$46"}</definedName>
    <definedName name="ghfghsfghds" hidden="1">{"'Jan - March 2000'!$A$5:$J$46"}</definedName>
    <definedName name="ghgfgf" localSheetId="0" hidden="1">{"'Jan - March 2000'!$A$5:$J$46"}</definedName>
    <definedName name="ghgfgf" hidden="1">{"'Jan - March 2000'!$A$5:$J$46"}</definedName>
    <definedName name="ghghjg" localSheetId="0" hidden="1">{"'Jan - March 2000'!$A$5:$J$46"}</definedName>
    <definedName name="ghghjg" hidden="1">{"'Jan - March 2000'!$A$5:$J$46"}</definedName>
    <definedName name="ghgjghjhg" localSheetId="0" hidden="1">{"'Jan - March 2000'!$A$5:$J$46"}</definedName>
    <definedName name="ghgjghjhg" hidden="1">{"'Jan - March 2000'!$A$5:$J$46"}</definedName>
    <definedName name="ghhg" localSheetId="0" hidden="1">{"'Jan - March 2000'!$A$5:$J$46"}</definedName>
    <definedName name="ghhg" hidden="1">{"'Jan - March 2000'!$A$5:$J$46"}</definedName>
    <definedName name="ghhhjfj" localSheetId="0" hidden="1">{#N/A,#N/A,FALSE,"Sheet1 (2)"}</definedName>
    <definedName name="ghhhjfj" hidden="1">{#N/A,#N/A,FALSE,"Sheet1 (2)"}</definedName>
    <definedName name="ghhhjfj_1" localSheetId="0" hidden="1">{#N/A,#N/A,FALSE,"Sheet1 (2)"}</definedName>
    <definedName name="ghhhjfj_1" hidden="1">{#N/A,#N/A,FALSE,"Sheet1 (2)"}</definedName>
    <definedName name="ghhhjfj_1_1" localSheetId="0" hidden="1">{#N/A,#N/A,FALSE,"Sheet1 (2)"}</definedName>
    <definedName name="ghhhjfj_1_1" hidden="1">{#N/A,#N/A,FALSE,"Sheet1 (2)"}</definedName>
    <definedName name="ghhhjfj_1_2" localSheetId="0" hidden="1">{#N/A,#N/A,FALSE,"Sheet1 (2)"}</definedName>
    <definedName name="ghhhjfj_1_2" hidden="1">{#N/A,#N/A,FALSE,"Sheet1 (2)"}</definedName>
    <definedName name="ghhhjfj_1_3" localSheetId="0" hidden="1">{#N/A,#N/A,FALSE,"Sheet1 (2)"}</definedName>
    <definedName name="ghhhjfj_1_3" hidden="1">{#N/A,#N/A,FALSE,"Sheet1 (2)"}</definedName>
    <definedName name="ghhhjfj_2" localSheetId="0" hidden="1">{#N/A,#N/A,FALSE,"Sheet1 (2)"}</definedName>
    <definedName name="ghhhjfj_2" hidden="1">{#N/A,#N/A,FALSE,"Sheet1 (2)"}</definedName>
    <definedName name="ghhhjfj_2_1" localSheetId="0" hidden="1">{#N/A,#N/A,FALSE,"Sheet1 (2)"}</definedName>
    <definedName name="ghhhjfj_2_1" hidden="1">{#N/A,#N/A,FALSE,"Sheet1 (2)"}</definedName>
    <definedName name="ghhhjfj_2_2" localSheetId="0" hidden="1">{#N/A,#N/A,FALSE,"Sheet1 (2)"}</definedName>
    <definedName name="ghhhjfj_2_2" hidden="1">{#N/A,#N/A,FALSE,"Sheet1 (2)"}</definedName>
    <definedName name="ghhhjfj_3" localSheetId="0" hidden="1">{#N/A,#N/A,FALSE,"Sheet1 (2)"}</definedName>
    <definedName name="ghhhjfj_3" hidden="1">{#N/A,#N/A,FALSE,"Sheet1 (2)"}</definedName>
    <definedName name="ghhhjfj_4" localSheetId="0" hidden="1">{#N/A,#N/A,FALSE,"Sheet1 (2)"}</definedName>
    <definedName name="ghhhjfj_4" hidden="1">{#N/A,#N/A,FALSE,"Sheet1 (2)"}</definedName>
    <definedName name="ghi" localSheetId="0">{"VOLUME","SUM(VOLUME)","YNNNN",FALSE}</definedName>
    <definedName name="ghi">{"VOLUME","SUM(VOLUME)","YNNNN",FALSE}</definedName>
    <definedName name="GHJ" localSheetId="0" hidden="1">{#N/A,#N/A,FALSE,"Sheet1 (2)"}</definedName>
    <definedName name="GHJ" hidden="1">{#N/A,#N/A,FALSE,"Sheet1 (2)"}</definedName>
    <definedName name="GHJ_1" localSheetId="0" hidden="1">{#N/A,#N/A,FALSE,"Sheet1 (2)"}</definedName>
    <definedName name="GHJ_1" hidden="1">{#N/A,#N/A,FALSE,"Sheet1 (2)"}</definedName>
    <definedName name="GHJ_1_1" localSheetId="0" hidden="1">{#N/A,#N/A,FALSE,"Sheet1 (2)"}</definedName>
    <definedName name="GHJ_1_1" hidden="1">{#N/A,#N/A,FALSE,"Sheet1 (2)"}</definedName>
    <definedName name="GHJ_1_2" localSheetId="0" hidden="1">{#N/A,#N/A,FALSE,"Sheet1 (2)"}</definedName>
    <definedName name="GHJ_1_2" hidden="1">{#N/A,#N/A,FALSE,"Sheet1 (2)"}</definedName>
    <definedName name="GHJ_1_3" localSheetId="0" hidden="1">{#N/A,#N/A,FALSE,"Sheet1 (2)"}</definedName>
    <definedName name="GHJ_1_3" hidden="1">{#N/A,#N/A,FALSE,"Sheet1 (2)"}</definedName>
    <definedName name="GHJ_2" localSheetId="0" hidden="1">{#N/A,#N/A,FALSE,"Sheet1 (2)"}</definedName>
    <definedName name="GHJ_2" hidden="1">{#N/A,#N/A,FALSE,"Sheet1 (2)"}</definedName>
    <definedName name="GHJ_2_1" localSheetId="0" hidden="1">{#N/A,#N/A,FALSE,"Sheet1 (2)"}</definedName>
    <definedName name="GHJ_2_1" hidden="1">{#N/A,#N/A,FALSE,"Sheet1 (2)"}</definedName>
    <definedName name="GHJ_2_2" localSheetId="0" hidden="1">{#N/A,#N/A,FALSE,"Sheet1 (2)"}</definedName>
    <definedName name="GHJ_2_2" hidden="1">{#N/A,#N/A,FALSE,"Sheet1 (2)"}</definedName>
    <definedName name="GHJ_3" localSheetId="0" hidden="1">{#N/A,#N/A,FALSE,"Sheet1 (2)"}</definedName>
    <definedName name="GHJ_3" hidden="1">{#N/A,#N/A,FALSE,"Sheet1 (2)"}</definedName>
    <definedName name="GHJ_4" localSheetId="0" hidden="1">{#N/A,#N/A,FALSE,"Sheet1 (2)"}</definedName>
    <definedName name="GHJ_4" hidden="1">{#N/A,#N/A,FALSE,"Sheet1 (2)"}</definedName>
    <definedName name="ghjfd">#REF!</definedName>
    <definedName name="ghjgh" localSheetId="0" hidden="1">{"'Jan - March 2000'!$A$5:$J$46"}</definedName>
    <definedName name="ghjgh" hidden="1">{"'Jan - March 2000'!$A$5:$J$46"}</definedName>
    <definedName name="ghmj" localSheetId="0" hidden="1">{"'Jan - March 2000'!$A$5:$J$46"}</definedName>
    <definedName name="ghmj" hidden="1">{"'Jan - March 2000'!$A$5:$J$46"}</definedName>
    <definedName name="ghruryjuyrjeyj">#REF!</definedName>
    <definedName name="ghy" localSheetId="0" hidden="1">{#N/A,#N/A,FALSE,"Sheet1 (2)"}</definedName>
    <definedName name="ghy" hidden="1">{#N/A,#N/A,FALSE,"Sheet1 (2)"}</definedName>
    <definedName name="GİRESUN">#REF!</definedName>
    <definedName name="GİTTİGİDİYOR">#REF!</definedName>
    <definedName name="gizem" localSheetId="0" hidden="1">{#N/A,#N/A,FALSE,"Sheet1 (2)"}</definedName>
    <definedName name="gizem" hidden="1">{#N/A,#N/A,FALSE,"Sheet1 (2)"}</definedName>
    <definedName name="gj">#REF!</definedName>
    <definedName name="gjghjooo" localSheetId="0" hidden="1">{"'Jan - March 2000'!$A$5:$J$46"}</definedName>
    <definedName name="gjghjooo" hidden="1">{"'Jan - March 2000'!$A$5:$J$46"}</definedName>
    <definedName name="gjkkghfthfj" localSheetId="0" hidden="1">{"'Jan - March 2000'!$A$5:$J$46"}</definedName>
    <definedName name="gjkkghfthfj" hidden="1">{"'Jan - March 2000'!$A$5:$J$46"}</definedName>
    <definedName name="glöflşfl" localSheetId="0" hidden="1">{#N/A,#N/A,FALSE,"Sheet1 (2)"}</definedName>
    <definedName name="glöflşfl" hidden="1">{#N/A,#N/A,FALSE,"Sheet1 (2)"}</definedName>
    <definedName name="glöflşfl_1" localSheetId="0" hidden="1">{#N/A,#N/A,FALSE,"Sheet1 (2)"}</definedName>
    <definedName name="glöflşfl_1" hidden="1">{#N/A,#N/A,FALSE,"Sheet1 (2)"}</definedName>
    <definedName name="glöflşfl_1_1" localSheetId="0" hidden="1">{#N/A,#N/A,FALSE,"Sheet1 (2)"}</definedName>
    <definedName name="glöflşfl_1_1" hidden="1">{#N/A,#N/A,FALSE,"Sheet1 (2)"}</definedName>
    <definedName name="glöflşfl_1_2" localSheetId="0" hidden="1">{#N/A,#N/A,FALSE,"Sheet1 (2)"}</definedName>
    <definedName name="glöflşfl_1_2" hidden="1">{#N/A,#N/A,FALSE,"Sheet1 (2)"}</definedName>
    <definedName name="glöflşfl_1_3" localSheetId="0" hidden="1">{#N/A,#N/A,FALSE,"Sheet1 (2)"}</definedName>
    <definedName name="glöflşfl_1_3" hidden="1">{#N/A,#N/A,FALSE,"Sheet1 (2)"}</definedName>
    <definedName name="glöflşfl_2" localSheetId="0" hidden="1">{#N/A,#N/A,FALSE,"Sheet1 (2)"}</definedName>
    <definedName name="glöflşfl_2" hidden="1">{#N/A,#N/A,FALSE,"Sheet1 (2)"}</definedName>
    <definedName name="glöflşfl_2_1" localSheetId="0" hidden="1">{#N/A,#N/A,FALSE,"Sheet1 (2)"}</definedName>
    <definedName name="glöflşfl_2_1" hidden="1">{#N/A,#N/A,FALSE,"Sheet1 (2)"}</definedName>
    <definedName name="glöflşfl_2_2" localSheetId="0" hidden="1">{#N/A,#N/A,FALSE,"Sheet1 (2)"}</definedName>
    <definedName name="glöflşfl_2_2" hidden="1">{#N/A,#N/A,FALSE,"Sheet1 (2)"}</definedName>
    <definedName name="glöflşfl_3" localSheetId="0" hidden="1">{#N/A,#N/A,FALSE,"Sheet1 (2)"}</definedName>
    <definedName name="glöflşfl_3" hidden="1">{#N/A,#N/A,FALSE,"Sheet1 (2)"}</definedName>
    <definedName name="glöflşfl_4" localSheetId="0" hidden="1">{#N/A,#N/A,FALSE,"Sheet1 (2)"}</definedName>
    <definedName name="glöflşfl_4" hidden="1">{#N/A,#N/A,FALSE,"Sheet1 (2)"}</definedName>
    <definedName name="gny" localSheetId="0" hidden="1">{#N/A,#N/A,FALSE,"Sheet1 (2)"}</definedName>
    <definedName name="gny" hidden="1">{#N/A,#N/A,FALSE,"Sheet1 (2)"}</definedName>
    <definedName name="GOODROOL">#REF!</definedName>
    <definedName name="Google">#REF!</definedName>
    <definedName name="GoogleKeyword">[88]P3!#REF!</definedName>
    <definedName name="Googlexx">[88]P3!#REF!</definedName>
    <definedName name="got">#REF!</definedName>
    <definedName name="got_2">#REF!</definedName>
    <definedName name="got_3">#REF!</definedName>
    <definedName name="got_4">#REF!</definedName>
    <definedName name="got_5">#REF!</definedName>
    <definedName name="got_6">#REF!</definedName>
    <definedName name="got_7">#REF!</definedName>
    <definedName name="GOZONE">#REF!</definedName>
    <definedName name="GrandTotalRow">#REF!</definedName>
    <definedName name="Graphs_title">'[68]Şubat Gerçekleşen'!#REF!</definedName>
    <definedName name="GrossCost">'[21]Proposal Details'!$N$1:$N$65536</definedName>
    <definedName name="GrossCost2">[21]Hidden_Data!$N$1:$N$65536</definedName>
    <definedName name="GrossRate">'[21]Proposal Details'!$M$1:$M$65536</definedName>
    <definedName name="GROUP">#REF!</definedName>
    <definedName name="group_name">#REF!</definedName>
    <definedName name="GRP">#REF!</definedName>
    <definedName name="GRP_KONTROL">#REF!</definedName>
    <definedName name="GRPS">"Grafico 16"</definedName>
    <definedName name="grtre" localSheetId="0">'Haziran Gerçekleşen Plan'!grtre</definedName>
    <definedName name="grtre">[0]!grtre</definedName>
    <definedName name="GRUP">#REF!</definedName>
    <definedName name="GSDCXZG">#REF!</definedName>
    <definedName name="gsdfaga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ga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gfd" localSheetId="0" hidden="1">{"'Jan - March 2000'!$A$5:$J$46"}</definedName>
    <definedName name="gsdfgfd" hidden="1">{"'Jan - March 2000'!$A$5:$J$46"}</definedName>
    <definedName name="gsfgfs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sfgf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SP" hidden="1">#REF!</definedName>
    <definedName name="gtgergreg" localSheetId="0">{"VOLUME","SUM(VOLUME)","YNNNN",FALSE}</definedName>
    <definedName name="gtgergreg">{"VOLUME","SUM(VOLUME)","YNNNN",FALSE}</definedName>
    <definedName name="ğuieauieai" localSheetId="0" hidden="1">{#N/A,#N/A,FALSE,"Sheet1 (2)"}</definedName>
    <definedName name="ğuieauieai" hidden="1">{#N/A,#N/A,FALSE,"Sheet1 (2)"}</definedName>
    <definedName name="GULEN_YUZLER">#REF!</definedName>
    <definedName name="GULEN_YUZLER_KANAL">#REF!</definedName>
    <definedName name="GÜMÜŞHANE">#REF!</definedName>
    <definedName name="gunler">#REF!</definedName>
    <definedName name="Günler" localSheetId="0">{0,1,2,3,4,5,6}</definedName>
    <definedName name="Günler">{0,1,2,3,4,5,6}</definedName>
    <definedName name="gunler_2">#REF!</definedName>
    <definedName name="gunler_3">#REF!</definedName>
    <definedName name="gunler_4">#REF!</definedName>
    <definedName name="gunler_5">#REF!</definedName>
    <definedName name="gunler_6">#REF!</definedName>
    <definedName name="gunler_7">#REF!</definedName>
    <definedName name="GZT">#REF!</definedName>
    <definedName name="H">#REF!</definedName>
    <definedName name="H.cp_25">46.1</definedName>
    <definedName name="H.cp150.499">29.45</definedName>
    <definedName name="H.cp25.75">38.4</definedName>
    <definedName name="H.cp500">27.05</definedName>
    <definedName name="H.cp75.149">34</definedName>
    <definedName name="haberturk">#REF!</definedName>
    <definedName name="haerhr" localSheetId="0" hidden="1">{#N/A,#N/A,FALSE,"Sheet1 (2)"}</definedName>
    <definedName name="haerhr" hidden="1">{#N/A,#N/A,FALSE,"Sheet1 (2)"}</definedName>
    <definedName name="hafta">#REF!</definedName>
    <definedName name="HaftaBaşlangıçDeğeri" localSheetId="0">IF(HaftaBaşlangıcı="PAZARTESİ",2,1)</definedName>
    <definedName name="HaftaBaşlangıçDeğeri">IF(HaftaBaşlangıcı="PAZARTESİ",2,1)</definedName>
    <definedName name="HaftaBaşlangıcı">#REF!</definedName>
    <definedName name="Haftaİçi" localSheetId="0">{"PAZARTESİ","SALI","ÇARŞAMBA","PERŞEMBE","CUMA","CUMARTESİ","PAZAR"}</definedName>
    <definedName name="Haftaİçi">{"PAZARTESİ","SALI","ÇARŞAMBA","PERŞEMBE","CUMA","CUMARTESİ","PAZAR"}</definedName>
    <definedName name="HaftaİçiSeçeneği" localSheetId="0">MATCH(HaftaBaşlangıcı,'Haziran Gerçekleşen Plan'!Haftaİçi,0)+10</definedName>
    <definedName name="HaftaİçiSeçeneği">MATCH(HaftaBaşlangıcı,Haftaİçi,0)+10</definedName>
    <definedName name="HAKKARİ">#REF!</definedName>
    <definedName name="HANGİSİ">#REF!</definedName>
    <definedName name="hargha" localSheetId="0" hidden="1">{#N/A,#N/A,FALSE,"Sheet1 (2)"}</definedName>
    <definedName name="hargha" hidden="1">{#N/A,#N/A,FALSE,"Sheet1 (2)"}</definedName>
    <definedName name="hasanan">#REF!</definedName>
    <definedName name="HATAY">#REF!</definedName>
    <definedName name="haya" hidden="1">#REF!</definedName>
    <definedName name="HAZİARANTV">#REF!</definedName>
    <definedName name="haziran" localSheetId="0" hidden="1">{#N/A,#N/A,FALSE,"Sheet1 (2)"}</definedName>
    <definedName name="haziran" hidden="1">{#N/A,#N/A,FALSE,"Sheet1 (2)"}</definedName>
    <definedName name="haziran_1" localSheetId="0" hidden="1">{#N/A,#N/A,FALSE,"Sheet1 (2)"}</definedName>
    <definedName name="haziran_1" hidden="1">{#N/A,#N/A,FALSE,"Sheet1 (2)"}</definedName>
    <definedName name="haziran_1_1" localSheetId="0" hidden="1">{#N/A,#N/A,FALSE,"Sheet1 (2)"}</definedName>
    <definedName name="haziran_1_1" hidden="1">{#N/A,#N/A,FALSE,"Sheet1 (2)"}</definedName>
    <definedName name="haziran_1_2" localSheetId="0" hidden="1">{#N/A,#N/A,FALSE,"Sheet1 (2)"}</definedName>
    <definedName name="haziran_1_2" hidden="1">{#N/A,#N/A,FALSE,"Sheet1 (2)"}</definedName>
    <definedName name="haziran_1_3" localSheetId="0" hidden="1">{#N/A,#N/A,FALSE,"Sheet1 (2)"}</definedName>
    <definedName name="haziran_1_3" hidden="1">{#N/A,#N/A,FALSE,"Sheet1 (2)"}</definedName>
    <definedName name="haziran_2" localSheetId="0" hidden="1">{#N/A,#N/A,FALSE,"Sheet1 (2)"}</definedName>
    <definedName name="haziran_2" hidden="1">{#N/A,#N/A,FALSE,"Sheet1 (2)"}</definedName>
    <definedName name="haziran_2_1" localSheetId="0" hidden="1">{#N/A,#N/A,FALSE,"Sheet1 (2)"}</definedName>
    <definedName name="haziran_2_1" hidden="1">{#N/A,#N/A,FALSE,"Sheet1 (2)"}</definedName>
    <definedName name="haziran_2_2" localSheetId="0" hidden="1">{#N/A,#N/A,FALSE,"Sheet1 (2)"}</definedName>
    <definedName name="haziran_2_2" hidden="1">{#N/A,#N/A,FALSE,"Sheet1 (2)"}</definedName>
    <definedName name="haziran_3" localSheetId="0" hidden="1">{#N/A,#N/A,FALSE,"Sheet1 (2)"}</definedName>
    <definedName name="haziran_3" hidden="1">{#N/A,#N/A,FALSE,"Sheet1 (2)"}</definedName>
    <definedName name="haziran_4" localSheetId="0" hidden="1">{#N/A,#N/A,FALSE,"Sheet1 (2)"}</definedName>
    <definedName name="haziran_4" hidden="1">{#N/A,#N/A,FALSE,"Sheet1 (2)"}</definedName>
    <definedName name="HAZİRANGAZETE">#REF!</definedName>
    <definedName name="HAZİRANRADYO">#REF!</definedName>
    <definedName name="HAZİRANTV">#REF!</definedName>
    <definedName name="HBB_BRÜT">#REF!</definedName>
    <definedName name="HBB_NET">#REF!</definedName>
    <definedName name="HBB_TOTİND">#REF!</definedName>
    <definedName name="hbfghh" localSheetId="0" hidden="1">{#N/A,#N/A,FALSE,"Sheet1 (2)"}</definedName>
    <definedName name="hbfghh" hidden="1">{#N/A,#N/A,FALSE,"Sheet1 (2)"}</definedName>
    <definedName name="hbfghh_1" localSheetId="0" hidden="1">{#N/A,#N/A,FALSE,"Sheet1 (2)"}</definedName>
    <definedName name="hbfghh_1" hidden="1">{#N/A,#N/A,FALSE,"Sheet1 (2)"}</definedName>
    <definedName name="hbfghh_1_1" localSheetId="0" hidden="1">{#N/A,#N/A,FALSE,"Sheet1 (2)"}</definedName>
    <definedName name="hbfghh_1_1" hidden="1">{#N/A,#N/A,FALSE,"Sheet1 (2)"}</definedName>
    <definedName name="hbfghh_1_2" localSheetId="0" hidden="1">{#N/A,#N/A,FALSE,"Sheet1 (2)"}</definedName>
    <definedName name="hbfghh_1_2" hidden="1">{#N/A,#N/A,FALSE,"Sheet1 (2)"}</definedName>
    <definedName name="hbfghh_1_3" localSheetId="0" hidden="1">{#N/A,#N/A,FALSE,"Sheet1 (2)"}</definedName>
    <definedName name="hbfghh_1_3" hidden="1">{#N/A,#N/A,FALSE,"Sheet1 (2)"}</definedName>
    <definedName name="hbfghh_2" localSheetId="0" hidden="1">{#N/A,#N/A,FALSE,"Sheet1 (2)"}</definedName>
    <definedName name="hbfghh_2" hidden="1">{#N/A,#N/A,FALSE,"Sheet1 (2)"}</definedName>
    <definedName name="hbfghh_2_1" localSheetId="0" hidden="1">{#N/A,#N/A,FALSE,"Sheet1 (2)"}</definedName>
    <definedName name="hbfghh_2_1" hidden="1">{#N/A,#N/A,FALSE,"Sheet1 (2)"}</definedName>
    <definedName name="hbfghh_2_2" localSheetId="0" hidden="1">{#N/A,#N/A,FALSE,"Sheet1 (2)"}</definedName>
    <definedName name="hbfghh_2_2" hidden="1">{#N/A,#N/A,FALSE,"Sheet1 (2)"}</definedName>
    <definedName name="hbfghh_3" localSheetId="0" hidden="1">{#N/A,#N/A,FALSE,"Sheet1 (2)"}</definedName>
    <definedName name="hbfghh_3" hidden="1">{#N/A,#N/A,FALSE,"Sheet1 (2)"}</definedName>
    <definedName name="hbfghh_4" localSheetId="0" hidden="1">{#N/A,#N/A,FALSE,"Sheet1 (2)"}</definedName>
    <definedName name="hbfghh_4" hidden="1">{#N/A,#N/A,FALSE,"Sheet1 (2)"}</definedName>
    <definedName name="hbn" localSheetId="0" hidden="1">{#N/A,#N/A,FALSE,"Sheet1 (2)"}</definedName>
    <definedName name="hbn" hidden="1">{#N/A,#N/A,FALSE,"Sheet1 (2)"}</definedName>
    <definedName name="Header">#REF!</definedName>
    <definedName name="header_row">#REF!</definedName>
    <definedName name="header.CalcEndDate">#REF!</definedName>
    <definedName name="header.CalcGrossSpend">#REF!</definedName>
    <definedName name="header.CalcStartDate">#REF!</definedName>
    <definedName name="header.ClientAdvertiser">#REF!</definedName>
    <definedName name="header.MediaPlanName">#REF!</definedName>
    <definedName name="header.MediaPlanNumber">#REF!</definedName>
    <definedName name="header.ProductName">#REF!</definedName>
    <definedName name="HeaderCols">2</definedName>
    <definedName name="HeaderDim">#REF!</definedName>
    <definedName name="HeaderRows">3</definedName>
    <definedName name="HEDEF_KITLELER">[42]GRP!$G$3:$IV$3</definedName>
    <definedName name="Hedefliste">#REF!</definedName>
    <definedName name="HEROLACTUMOLCUMLENMEYEN">#REF!</definedName>
    <definedName name="hff" localSheetId="0" hidden="1">{#N/A,#N/A,FALSE,"Sheet1 (2)"}</definedName>
    <definedName name="hff" hidden="1">{#N/A,#N/A,FALSE,"Sheet1 (2)"}</definedName>
    <definedName name="hfg" localSheetId="0" hidden="1">{#N/A,#N/A,FALSE,"Sheet1 (2)"}</definedName>
    <definedName name="hfg" hidden="1">{#N/A,#N/A,FALSE,"Sheet1 (2)"}</definedName>
    <definedName name="hfgfgfg">#REF!</definedName>
    <definedName name="HFH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HFH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hfjhjh" localSheetId="0" hidden="1">{#N/A,#N/A,FALSE,"Sheet1 (2)"}</definedName>
    <definedName name="hfjhjh" hidden="1">{#N/A,#N/A,FALSE,"Sheet1 (2)"}</definedName>
    <definedName name="hfjhjh_1" localSheetId="0" hidden="1">{#N/A,#N/A,FALSE,"Sheet1 (2)"}</definedName>
    <definedName name="hfjhjh_1" hidden="1">{#N/A,#N/A,FALSE,"Sheet1 (2)"}</definedName>
    <definedName name="hfjhjh_1_1" localSheetId="0" hidden="1">{#N/A,#N/A,FALSE,"Sheet1 (2)"}</definedName>
    <definedName name="hfjhjh_1_1" hidden="1">{#N/A,#N/A,FALSE,"Sheet1 (2)"}</definedName>
    <definedName name="hfjhjh_1_2" localSheetId="0" hidden="1">{#N/A,#N/A,FALSE,"Sheet1 (2)"}</definedName>
    <definedName name="hfjhjh_1_2" hidden="1">{#N/A,#N/A,FALSE,"Sheet1 (2)"}</definedName>
    <definedName name="hfjhjh_1_3" localSheetId="0" hidden="1">{#N/A,#N/A,FALSE,"Sheet1 (2)"}</definedName>
    <definedName name="hfjhjh_1_3" hidden="1">{#N/A,#N/A,FALSE,"Sheet1 (2)"}</definedName>
    <definedName name="hfjhjh_2" localSheetId="0" hidden="1">{#N/A,#N/A,FALSE,"Sheet1 (2)"}</definedName>
    <definedName name="hfjhjh_2" hidden="1">{#N/A,#N/A,FALSE,"Sheet1 (2)"}</definedName>
    <definedName name="hfjhjh_2_1" localSheetId="0" hidden="1">{#N/A,#N/A,FALSE,"Sheet1 (2)"}</definedName>
    <definedName name="hfjhjh_2_1" hidden="1">{#N/A,#N/A,FALSE,"Sheet1 (2)"}</definedName>
    <definedName name="hfjhjh_2_2" localSheetId="0" hidden="1">{#N/A,#N/A,FALSE,"Sheet1 (2)"}</definedName>
    <definedName name="hfjhjh_2_2" hidden="1">{#N/A,#N/A,FALSE,"Sheet1 (2)"}</definedName>
    <definedName name="hfjhjh_3" localSheetId="0" hidden="1">{#N/A,#N/A,FALSE,"Sheet1 (2)"}</definedName>
    <definedName name="hfjhjh_3" hidden="1">{#N/A,#N/A,FALSE,"Sheet1 (2)"}</definedName>
    <definedName name="hfjhjh_4" localSheetId="0" hidden="1">{#N/A,#N/A,FALSE,"Sheet1 (2)"}</definedName>
    <definedName name="hfjhjh_4" hidden="1">{#N/A,#N/A,FALSE,"Sheet1 (2)"}</definedName>
    <definedName name="hfr" localSheetId="0" hidden="1">{#N/A,#N/A,FALSE,"Sheet1 (2)"}</definedName>
    <definedName name="hfr" hidden="1">{#N/A,#N/A,FALSE,"Sheet1 (2)"}</definedName>
    <definedName name="HFSGH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HFSGH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hg" localSheetId="0" hidden="1">{"'Jan - March 2000'!$A$5:$J$46"}</definedName>
    <definedName name="hg" hidden="1">{"'Jan - March 2000'!$A$5:$J$46"}</definedName>
    <definedName name="hgfjh" localSheetId="0" hidden="1">{#N/A,#N/A,FALSE,"Sheet1 (2)"}</definedName>
    <definedName name="hgfjh" hidden="1">{#N/A,#N/A,FALSE,"Sheet1 (2)"}</definedName>
    <definedName name="hgt" localSheetId="0" hidden="1">{#N/A,#N/A,FALSE,"Sheet1 (2)"}</definedName>
    <definedName name="hgt" hidden="1">{#N/A,#N/A,FALSE,"Sheet1 (2)"}</definedName>
    <definedName name="hh" localSheetId="0" hidden="1">{#N/A,#N/A,FALSE,"Sheet1 (2)"}</definedName>
    <definedName name="hh" hidden="1">{#N/A,#N/A,FALSE,"Sheet1 (2)"}</definedName>
    <definedName name="HHH" localSheetId="0" hidden="1">{#N/A,#N/A,FALSE,"Sheet1 (2)"}</definedName>
    <definedName name="HHH" hidden="1">{#N/A,#N/A,FALSE,"Sheet1 (2)"}</definedName>
    <definedName name="HHH_1" localSheetId="0" hidden="1">{#N/A,#N/A,FALSE,"Sheet1 (2)"}</definedName>
    <definedName name="HHH_1" hidden="1">{#N/A,#N/A,FALSE,"Sheet1 (2)"}</definedName>
    <definedName name="HHH_1_1" localSheetId="0" hidden="1">{#N/A,#N/A,FALSE,"Sheet1 (2)"}</definedName>
    <definedName name="HHH_1_1" hidden="1">{#N/A,#N/A,FALSE,"Sheet1 (2)"}</definedName>
    <definedName name="HHH_1_2" localSheetId="0" hidden="1">{#N/A,#N/A,FALSE,"Sheet1 (2)"}</definedName>
    <definedName name="HHH_1_2" hidden="1">{#N/A,#N/A,FALSE,"Sheet1 (2)"}</definedName>
    <definedName name="HHH_1_3" localSheetId="0" hidden="1">{#N/A,#N/A,FALSE,"Sheet1 (2)"}</definedName>
    <definedName name="HHH_1_3" hidden="1">{#N/A,#N/A,FALSE,"Sheet1 (2)"}</definedName>
    <definedName name="HHH_2" localSheetId="0" hidden="1">{#N/A,#N/A,FALSE,"Sheet1 (2)"}</definedName>
    <definedName name="HHH_2" hidden="1">{#N/A,#N/A,FALSE,"Sheet1 (2)"}</definedName>
    <definedName name="HHH_2_1" localSheetId="0" hidden="1">{#N/A,#N/A,FALSE,"Sheet1 (2)"}</definedName>
    <definedName name="HHH_2_1" hidden="1">{#N/A,#N/A,FALSE,"Sheet1 (2)"}</definedName>
    <definedName name="HHH_2_2" localSheetId="0" hidden="1">{#N/A,#N/A,FALSE,"Sheet1 (2)"}</definedName>
    <definedName name="HHH_2_2" hidden="1">{#N/A,#N/A,FALSE,"Sheet1 (2)"}</definedName>
    <definedName name="HHH_3" localSheetId="0" hidden="1">{#N/A,#N/A,FALSE,"Sheet1 (2)"}</definedName>
    <definedName name="HHH_3" hidden="1">{#N/A,#N/A,FALSE,"Sheet1 (2)"}</definedName>
    <definedName name="HHH_4" localSheetId="0" hidden="1">{#N/A,#N/A,FALSE,"Sheet1 (2)"}</definedName>
    <definedName name="HHH_4" hidden="1">{#N/A,#N/A,FALSE,"Sheet1 (2)"}</definedName>
    <definedName name="hhhh">[89]!hhhh</definedName>
    <definedName name="hhhhh2" localSheetId="0" hidden="1">{#N/A,#N/A,FALSE,"Sheet1 (2)"}</definedName>
    <definedName name="hhhhh2" hidden="1">{#N/A,#N/A,FALSE,"Sheet1 (2)"}</definedName>
    <definedName name="hhhhhhhhhhhhhhhhhhhhhhhhhhhhh">#REF!</definedName>
    <definedName name="HHS" localSheetId="0" hidden="1">{#N/A,#N/A,FALSE,"Sheet1 (2)"}</definedName>
    <definedName name="HHS" hidden="1">{#N/A,#N/A,FALSE,"Sheet1 (2)"}</definedName>
    <definedName name="HHSSH" localSheetId="0" hidden="1">{#N/A,#N/A,FALSE,"Sheet1 (2)"}</definedName>
    <definedName name="HHSSH" hidden="1">{#N/A,#N/A,FALSE,"Sheet1 (2)"}</definedName>
    <definedName name="HiddenRows" hidden="1">#REF!</definedName>
    <definedName name="hj">'[90]TRT FM'!$Z$1:$Z$6</definedName>
    <definedName name="hjgkjk" localSheetId="0" hidden="1">{#N/A,#N/A,FALSE,"Sheet1 (2)"}</definedName>
    <definedName name="hjgkjk" hidden="1">{#N/A,#N/A,FALSE,"Sheet1 (2)"}</definedName>
    <definedName name="hjgkjk_1" localSheetId="0" hidden="1">{#N/A,#N/A,FALSE,"Sheet1 (2)"}</definedName>
    <definedName name="hjgkjk_1" hidden="1">{#N/A,#N/A,FALSE,"Sheet1 (2)"}</definedName>
    <definedName name="hjgkjk_1_1" localSheetId="0" hidden="1">{#N/A,#N/A,FALSE,"Sheet1 (2)"}</definedName>
    <definedName name="hjgkjk_1_1" hidden="1">{#N/A,#N/A,FALSE,"Sheet1 (2)"}</definedName>
    <definedName name="hjgkjk_1_2" localSheetId="0" hidden="1">{#N/A,#N/A,FALSE,"Sheet1 (2)"}</definedName>
    <definedName name="hjgkjk_1_2" hidden="1">{#N/A,#N/A,FALSE,"Sheet1 (2)"}</definedName>
    <definedName name="hjgkjk_1_3" localSheetId="0" hidden="1">{#N/A,#N/A,FALSE,"Sheet1 (2)"}</definedName>
    <definedName name="hjgkjk_1_3" hidden="1">{#N/A,#N/A,FALSE,"Sheet1 (2)"}</definedName>
    <definedName name="hjgkjk_2" localSheetId="0" hidden="1">{#N/A,#N/A,FALSE,"Sheet1 (2)"}</definedName>
    <definedName name="hjgkjk_2" hidden="1">{#N/A,#N/A,FALSE,"Sheet1 (2)"}</definedName>
    <definedName name="hjgkjk_2_1" localSheetId="0" hidden="1">{#N/A,#N/A,FALSE,"Sheet1 (2)"}</definedName>
    <definedName name="hjgkjk_2_1" hidden="1">{#N/A,#N/A,FALSE,"Sheet1 (2)"}</definedName>
    <definedName name="hjgkjk_2_2" localSheetId="0" hidden="1">{#N/A,#N/A,FALSE,"Sheet1 (2)"}</definedName>
    <definedName name="hjgkjk_2_2" hidden="1">{#N/A,#N/A,FALSE,"Sheet1 (2)"}</definedName>
    <definedName name="hjgkjk_3" localSheetId="0" hidden="1">{#N/A,#N/A,FALSE,"Sheet1 (2)"}</definedName>
    <definedName name="hjgkjk_3" hidden="1">{#N/A,#N/A,FALSE,"Sheet1 (2)"}</definedName>
    <definedName name="hjgkjk_4" localSheetId="0" hidden="1">{#N/A,#N/A,FALSE,"Sheet1 (2)"}</definedName>
    <definedName name="hjgkjk_4" hidden="1">{#N/A,#N/A,FALSE,"Sheet1 (2)"}</definedName>
    <definedName name="hjhg" localSheetId="0" hidden="1">{#N/A,#N/A,FALSE,"Sheet1 (2)"}</definedName>
    <definedName name="hjhg" hidden="1">{#N/A,#N/A,FALSE,"Sheet1 (2)"}</definedName>
    <definedName name="hjhjh">#REF!</definedName>
    <definedName name="hjhjh_2">#REF!</definedName>
    <definedName name="hjhjh_3">#REF!</definedName>
    <definedName name="hjhjh_4">#REF!</definedName>
    <definedName name="hjhjh_5">#REF!</definedName>
    <definedName name="hjhjh_6">#REF!</definedName>
    <definedName name="hjhjh_7">#REF!</definedName>
    <definedName name="hjhkhk" localSheetId="0" hidden="1">{#N/A,#N/A,FALSE,"Sheet1 (2)"}</definedName>
    <definedName name="hjhkhk" hidden="1">{#N/A,#N/A,FALSE,"Sheet1 (2)"}</definedName>
    <definedName name="hjhkhk_1" localSheetId="0" hidden="1">{#N/A,#N/A,FALSE,"Sheet1 (2)"}</definedName>
    <definedName name="hjhkhk_1" hidden="1">{#N/A,#N/A,FALSE,"Sheet1 (2)"}</definedName>
    <definedName name="hjhkhk_1_1" localSheetId="0" hidden="1">{#N/A,#N/A,FALSE,"Sheet1 (2)"}</definedName>
    <definedName name="hjhkhk_1_1" hidden="1">{#N/A,#N/A,FALSE,"Sheet1 (2)"}</definedName>
    <definedName name="hjhkhk_1_2" localSheetId="0" hidden="1">{#N/A,#N/A,FALSE,"Sheet1 (2)"}</definedName>
    <definedName name="hjhkhk_1_2" hidden="1">{#N/A,#N/A,FALSE,"Sheet1 (2)"}</definedName>
    <definedName name="hjhkhk_1_3" localSheetId="0" hidden="1">{#N/A,#N/A,FALSE,"Sheet1 (2)"}</definedName>
    <definedName name="hjhkhk_1_3" hidden="1">{#N/A,#N/A,FALSE,"Sheet1 (2)"}</definedName>
    <definedName name="hjhkhk_2" localSheetId="0" hidden="1">{#N/A,#N/A,FALSE,"Sheet1 (2)"}</definedName>
    <definedName name="hjhkhk_2" hidden="1">{#N/A,#N/A,FALSE,"Sheet1 (2)"}</definedName>
    <definedName name="hjhkhk_2_1" localSheetId="0" hidden="1">{#N/A,#N/A,FALSE,"Sheet1 (2)"}</definedName>
    <definedName name="hjhkhk_2_1" hidden="1">{#N/A,#N/A,FALSE,"Sheet1 (2)"}</definedName>
    <definedName name="hjhkhk_2_2" localSheetId="0" hidden="1">{#N/A,#N/A,FALSE,"Sheet1 (2)"}</definedName>
    <definedName name="hjhkhk_2_2" hidden="1">{#N/A,#N/A,FALSE,"Sheet1 (2)"}</definedName>
    <definedName name="hjhkhk_3" localSheetId="0" hidden="1">{#N/A,#N/A,FALSE,"Sheet1 (2)"}</definedName>
    <definedName name="hjhkhk_3" hidden="1">{#N/A,#N/A,FALSE,"Sheet1 (2)"}</definedName>
    <definedName name="hjhkhk_4" localSheetId="0" hidden="1">{#N/A,#N/A,FALSE,"Sheet1 (2)"}</definedName>
    <definedName name="hjhkhk_4" hidden="1">{#N/A,#N/A,FALSE,"Sheet1 (2)"}</definedName>
    <definedName name="HJJJJ">'[72]tv spot list'!$AB$13:$AB$2993</definedName>
    <definedName name="hjjkj" localSheetId="0" hidden="1">{#N/A,#N/A,FALSE,"Sheet1 (2)"}</definedName>
    <definedName name="hjjkj" hidden="1">{#N/A,#N/A,FALSE,"Sheet1 (2)"}</definedName>
    <definedName name="HJUI" localSheetId="0" hidden="1">{#N/A,#N/A,FALSE,"Sheet1 (2)"}</definedName>
    <definedName name="HJUI" hidden="1">{#N/A,#N/A,FALSE,"Sheet1 (2)"}</definedName>
    <definedName name="HJUI_1" localSheetId="0" hidden="1">{#N/A,#N/A,FALSE,"Sheet1 (2)"}</definedName>
    <definedName name="HJUI_1" hidden="1">{#N/A,#N/A,FALSE,"Sheet1 (2)"}</definedName>
    <definedName name="HJUI_1_1" localSheetId="0" hidden="1">{#N/A,#N/A,FALSE,"Sheet1 (2)"}</definedName>
    <definedName name="HJUI_1_1" hidden="1">{#N/A,#N/A,FALSE,"Sheet1 (2)"}</definedName>
    <definedName name="HJUI_1_2" localSheetId="0" hidden="1">{#N/A,#N/A,FALSE,"Sheet1 (2)"}</definedName>
    <definedName name="HJUI_1_2" hidden="1">{#N/A,#N/A,FALSE,"Sheet1 (2)"}</definedName>
    <definedName name="HJUI_1_3" localSheetId="0" hidden="1">{#N/A,#N/A,FALSE,"Sheet1 (2)"}</definedName>
    <definedName name="HJUI_1_3" hidden="1">{#N/A,#N/A,FALSE,"Sheet1 (2)"}</definedName>
    <definedName name="HJUI_2" localSheetId="0" hidden="1">{#N/A,#N/A,FALSE,"Sheet1 (2)"}</definedName>
    <definedName name="HJUI_2" hidden="1">{#N/A,#N/A,FALSE,"Sheet1 (2)"}</definedName>
    <definedName name="HJUI_2_1" localSheetId="0" hidden="1">{#N/A,#N/A,FALSE,"Sheet1 (2)"}</definedName>
    <definedName name="HJUI_2_1" hidden="1">{#N/A,#N/A,FALSE,"Sheet1 (2)"}</definedName>
    <definedName name="HJUI_2_2" localSheetId="0" hidden="1">{#N/A,#N/A,FALSE,"Sheet1 (2)"}</definedName>
    <definedName name="HJUI_2_2" hidden="1">{#N/A,#N/A,FALSE,"Sheet1 (2)"}</definedName>
    <definedName name="HJUI_3" localSheetId="0" hidden="1">{#N/A,#N/A,FALSE,"Sheet1 (2)"}</definedName>
    <definedName name="HJUI_3" hidden="1">{#N/A,#N/A,FALSE,"Sheet1 (2)"}</definedName>
    <definedName name="HJUI_4" localSheetId="0" hidden="1">{#N/A,#N/A,FALSE,"Sheet1 (2)"}</definedName>
    <definedName name="HJUI_4" hidden="1">{#N/A,#N/A,FALSE,"Sheet1 (2)"}</definedName>
    <definedName name="hjvgjöh" hidden="1">#REF!</definedName>
    <definedName name="hkhj" localSheetId="0" hidden="1">{"'Jan - March 2000'!$A$5:$J$46"}</definedName>
    <definedName name="hkhj" hidden="1">{"'Jan - March 2000'!$A$5:$J$46"}</definedName>
    <definedName name="hkru" localSheetId="0" hidden="1">{#N/A,#N/A,FALSE,"Sheet1 (2)"}</definedName>
    <definedName name="hkru" hidden="1">{#N/A,#N/A,FALSE,"Sheet1 (2)"}</definedName>
    <definedName name="hlktdskgf" localSheetId="0" hidden="1">{#N/A,#N/A,FALSE,"Sheet1 (2)"}</definedName>
    <definedName name="hlktdskgf" hidden="1">{#N/A,#N/A,FALSE,"Sheet1 (2)"}</definedName>
    <definedName name="hlktdskgf_1" localSheetId="0" hidden="1">{#N/A,#N/A,FALSE,"Sheet1 (2)"}</definedName>
    <definedName name="hlktdskgf_1" hidden="1">{#N/A,#N/A,FALSE,"Sheet1 (2)"}</definedName>
    <definedName name="hlktdskgf_1_1" localSheetId="0" hidden="1">{#N/A,#N/A,FALSE,"Sheet1 (2)"}</definedName>
    <definedName name="hlktdskgf_1_1" hidden="1">{#N/A,#N/A,FALSE,"Sheet1 (2)"}</definedName>
    <definedName name="hlktdskgf_1_2" localSheetId="0" hidden="1">{#N/A,#N/A,FALSE,"Sheet1 (2)"}</definedName>
    <definedName name="hlktdskgf_1_2" hidden="1">{#N/A,#N/A,FALSE,"Sheet1 (2)"}</definedName>
    <definedName name="hlktdskgf_1_3" localSheetId="0" hidden="1">{#N/A,#N/A,FALSE,"Sheet1 (2)"}</definedName>
    <definedName name="hlktdskgf_1_3" hidden="1">{#N/A,#N/A,FALSE,"Sheet1 (2)"}</definedName>
    <definedName name="hlktdskgf_2" localSheetId="0" hidden="1">{#N/A,#N/A,FALSE,"Sheet1 (2)"}</definedName>
    <definedName name="hlktdskgf_2" hidden="1">{#N/A,#N/A,FALSE,"Sheet1 (2)"}</definedName>
    <definedName name="hlktdskgf_2_1" localSheetId="0" hidden="1">{#N/A,#N/A,FALSE,"Sheet1 (2)"}</definedName>
    <definedName name="hlktdskgf_2_1" hidden="1">{#N/A,#N/A,FALSE,"Sheet1 (2)"}</definedName>
    <definedName name="hlktdskgf_2_2" localSheetId="0" hidden="1">{#N/A,#N/A,FALSE,"Sheet1 (2)"}</definedName>
    <definedName name="hlktdskgf_2_2" hidden="1">{#N/A,#N/A,FALSE,"Sheet1 (2)"}</definedName>
    <definedName name="hlktdskgf_3" localSheetId="0" hidden="1">{#N/A,#N/A,FALSE,"Sheet1 (2)"}</definedName>
    <definedName name="hlktdskgf_3" hidden="1">{#N/A,#N/A,FALSE,"Sheet1 (2)"}</definedName>
    <definedName name="hlktdskgf_4" localSheetId="0" hidden="1">{#N/A,#N/A,FALSE,"Sheet1 (2)"}</definedName>
    <definedName name="hlktdskgf_4" hidden="1">{#N/A,#N/A,FALSE,"Sheet1 (2)"}</definedName>
    <definedName name="hm" localSheetId="0">'Haziran Gerçekleşen Plan'!hm</definedName>
    <definedName name="hm">[0]!hm</definedName>
    <definedName name="homespot">'[39]ED Upper Funnel'!#REF!</definedName>
    <definedName name="HotelsAdsColumn">#REF!</definedName>
    <definedName name="HOtherColumn">#REF!</definedName>
    <definedName name="HOtherStart">#REF!</definedName>
    <definedName name="hreher" localSheetId="0" hidden="1">{#N/A,#N/A,FALSE,"Sheet1 (2)"}</definedName>
    <definedName name="hreher" hidden="1">{#N/A,#N/A,FALSE,"Sheet1 (2)"}</definedName>
    <definedName name="hrhar" localSheetId="0" hidden="1">{#N/A,#N/A,FALSE,"Sheet1 (2)"}</definedName>
    <definedName name="hrhar" hidden="1">{#N/A,#N/A,FALSE,"Sheet1 (2)"}</definedName>
    <definedName name="HRM" localSheetId="0" hidden="1">{#N/A,#N/A,FALSE,"Sheet1 (2)"}</definedName>
    <definedName name="HRM" hidden="1">{#N/A,#N/A,FALSE,"Sheet1 (2)"}</definedName>
    <definedName name="hsbc" localSheetId="0" hidden="1">{#N/A,#N/A,FALSE,"Sheet1 (2)"}</definedName>
    <definedName name="hsbc" hidden="1">{#N/A,#N/A,FALSE,"Sheet1 (2)"}</definedName>
    <definedName name="hsdf" localSheetId="0" hidden="1">{#N/A,#N/A,FALSE,"Sheet1 (2)"}</definedName>
    <definedName name="hsdf" hidden="1">{#N/A,#N/A,FALSE,"Sheet1 (2)"}</definedName>
    <definedName name="hsdf_1" localSheetId="0" hidden="1">{#N/A,#N/A,FALSE,"Sheet1 (2)"}</definedName>
    <definedName name="hsdf_1" hidden="1">{#N/A,#N/A,FALSE,"Sheet1 (2)"}</definedName>
    <definedName name="hsdf_1_1" localSheetId="0" hidden="1">{#N/A,#N/A,FALSE,"Sheet1 (2)"}</definedName>
    <definedName name="hsdf_1_1" hidden="1">{#N/A,#N/A,FALSE,"Sheet1 (2)"}</definedName>
    <definedName name="hsdf_1_2" localSheetId="0" hidden="1">{#N/A,#N/A,FALSE,"Sheet1 (2)"}</definedName>
    <definedName name="hsdf_1_2" hidden="1">{#N/A,#N/A,FALSE,"Sheet1 (2)"}</definedName>
    <definedName name="hsdf_1_3" localSheetId="0" hidden="1">{#N/A,#N/A,FALSE,"Sheet1 (2)"}</definedName>
    <definedName name="hsdf_1_3" hidden="1">{#N/A,#N/A,FALSE,"Sheet1 (2)"}</definedName>
    <definedName name="hsdf_2" localSheetId="0" hidden="1">{#N/A,#N/A,FALSE,"Sheet1 (2)"}</definedName>
    <definedName name="hsdf_2" hidden="1">{#N/A,#N/A,FALSE,"Sheet1 (2)"}</definedName>
    <definedName name="hsdf_2_1" localSheetId="0" hidden="1">{#N/A,#N/A,FALSE,"Sheet1 (2)"}</definedName>
    <definedName name="hsdf_2_1" hidden="1">{#N/A,#N/A,FALSE,"Sheet1 (2)"}</definedName>
    <definedName name="hsdf_2_2" localSheetId="0" hidden="1">{#N/A,#N/A,FALSE,"Sheet1 (2)"}</definedName>
    <definedName name="hsdf_2_2" hidden="1">{#N/A,#N/A,FALSE,"Sheet1 (2)"}</definedName>
    <definedName name="hsdf_3" localSheetId="0" hidden="1">{#N/A,#N/A,FALSE,"Sheet1 (2)"}</definedName>
    <definedName name="hsdf_3" hidden="1">{#N/A,#N/A,FALSE,"Sheet1 (2)"}</definedName>
    <definedName name="hsdf_4" localSheetId="0" hidden="1">{#N/A,#N/A,FALSE,"Sheet1 (2)"}</definedName>
    <definedName name="hsdf_4" hidden="1">{#N/A,#N/A,FALSE,"Sheet1 (2)"}</definedName>
    <definedName name="HSFHHTRH" localSheetId="0" hidden="1">{#N/A,#N/A,FALSE,"Sheet1 (2)"}</definedName>
    <definedName name="HSFHHTRH" hidden="1">{#N/A,#N/A,FALSE,"Sheet1 (2)"}</definedName>
    <definedName name="HT">#REF!</definedName>
    <definedName name="HT_2">#REF!</definedName>
    <definedName name="HT_3">#REF!</definedName>
    <definedName name="HT_4">#REF!</definedName>
    <definedName name="HT_5">#REF!</definedName>
    <definedName name="HT_6">#REF!</definedName>
    <definedName name="HT_7">#REF!</definedName>
    <definedName name="HTML_CodePage">1254</definedName>
    <definedName name="HTML_Control" localSheetId="0">{"'franchisee'!$A$39:$I$70"}</definedName>
    <definedName name="HTML_Control">{"'franchisee'!$A$39:$I$70"}</definedName>
    <definedName name="HTML_Control_1" localSheetId="0" hidden="1">{"'franchisee'!$A$39:$I$70"}</definedName>
    <definedName name="HTML_Control_1" hidden="1">{"'franchisee'!$A$39:$I$70"}</definedName>
    <definedName name="HTML_Control_1_1" localSheetId="0" hidden="1">{"'franchisee'!$A$39:$I$70"}</definedName>
    <definedName name="HTML_Control_1_1" hidden="1">{"'franchisee'!$A$39:$I$70"}</definedName>
    <definedName name="HTML_Control_1_2" localSheetId="0" hidden="1">{"'franchisee'!$A$39:$I$70"}</definedName>
    <definedName name="HTML_Control_1_2" hidden="1">{"'franchisee'!$A$39:$I$70"}</definedName>
    <definedName name="HTML_Control_1_3" localSheetId="0" hidden="1">{"'franchisee'!$A$39:$I$70"}</definedName>
    <definedName name="HTML_Control_1_3" hidden="1">{"'franchisee'!$A$39:$I$70"}</definedName>
    <definedName name="HTML_Control_2" localSheetId="0" hidden="1">{"'franchisee'!$A$39:$I$70"}</definedName>
    <definedName name="HTML_Control_2" hidden="1">{"'franchisee'!$A$39:$I$70"}</definedName>
    <definedName name="HTML_Control_2_1" localSheetId="0" hidden="1">{"'franchisee'!$A$39:$I$70"}</definedName>
    <definedName name="HTML_Control_2_1" hidden="1">{"'franchisee'!$A$39:$I$70"}</definedName>
    <definedName name="HTML_Control_2_2" localSheetId="0" hidden="1">{"'franchisee'!$A$39:$I$70"}</definedName>
    <definedName name="HTML_Control_2_2" hidden="1">{"'franchisee'!$A$39:$I$70"}</definedName>
    <definedName name="HTML_Control_3" localSheetId="0" hidden="1">{"'franchisee'!$A$39:$I$70"}</definedName>
    <definedName name="HTML_Control_3" hidden="1">{"'franchisee'!$A$39:$I$70"}</definedName>
    <definedName name="HTML_Control_4" localSheetId="0" hidden="1">{"'franchisee'!$A$39:$I$70"}</definedName>
    <definedName name="HTML_Control_4" hidden="1">{"'franchisee'!$A$39:$I$70"}</definedName>
    <definedName name="HTML_Description">""</definedName>
    <definedName name="HTML_Email">""</definedName>
    <definedName name="HTML_Header">"franchisee"</definedName>
    <definedName name="HTML_LastUpdate">"15.10.1998"</definedName>
    <definedName name="HTML_LineAfter">FALSE</definedName>
    <definedName name="HTML_LineBefore">FALSE</definedName>
    <definedName name="HTML_Name">"McDONALD's"</definedName>
    <definedName name="HTML_OBDlg2">TRUE</definedName>
    <definedName name="HTML_OBDlg4">TRUE</definedName>
    <definedName name="HTML_OS">0</definedName>
    <definedName name="HTML_PathFile">"J:\HOME\PINAR\PROMIX\MIX98\MyHTML.htm"</definedName>
    <definedName name="HTML_PathFileMac" hidden="1">"Macintosh HD:Roberta:Documenti:Listino 99:Pagina ListinoHTML.html"</definedName>
    <definedName name="HTML_Title">"Adres3"</definedName>
    <definedName name="html2" localSheetId="0" hidden="1">{"'Jan - March 2000'!$A$5:$J$46"}</definedName>
    <definedName name="html2" hidden="1">{"'Jan - March 2000'!$A$5:$J$46"}</definedName>
    <definedName name="HTML3" localSheetId="0" hidden="1">{"'Jan - March 2000'!$A$5:$J$46"}</definedName>
    <definedName name="HTML3" hidden="1">{"'Jan - March 2000'!$A$5:$J$46"}</definedName>
    <definedName name="HTML4" localSheetId="0" hidden="1">{"'Jan - March 2000'!$A$5:$J$46"}</definedName>
    <definedName name="HTML4" hidden="1">{"'Jan - March 2000'!$A$5:$J$46"}</definedName>
    <definedName name="html5" localSheetId="0" hidden="1">{"'Jan - March 2000'!$A$5:$J$46"}</definedName>
    <definedName name="html5" hidden="1">{"'Jan - March 2000'!$A$5:$J$46"}</definedName>
    <definedName name="html6" localSheetId="0" hidden="1">{"'Jan - March 2000'!$A$5:$J$46"}</definedName>
    <definedName name="html6" hidden="1">{"'Jan - March 2000'!$A$5:$J$46"}</definedName>
    <definedName name="html8" localSheetId="0" hidden="1">{"'Jan - March 2000'!$A$5:$J$46"}</definedName>
    <definedName name="html8" hidden="1">{"'Jan - March 2000'!$A$5:$J$46"}</definedName>
    <definedName name="HTMLCode">[51]Meta!#REF!</definedName>
    <definedName name="htr" localSheetId="0" hidden="1">{#N/A,#N/A,FALSE,"Sheet1 (2)"}</definedName>
    <definedName name="htr" hidden="1">{#N/A,#N/A,FALSE,"Sheet1 (2)"}</definedName>
    <definedName name="HTRHTW" localSheetId="0" hidden="1">{#N/A,#N/A,FALSE,"Sheet1 (2)"}</definedName>
    <definedName name="HTRHTW" hidden="1">{#N/A,#N/A,FALSE,"Sheet1 (2)"}</definedName>
    <definedName name="HTRSHTH" localSheetId="0" hidden="1">{#N/A,#N/A,FALSE,"Sheet1 (2)"}</definedName>
    <definedName name="HTRSHTH" hidden="1">{#N/A,#N/A,FALSE,"Sheet1 (2)"}</definedName>
    <definedName name="htytyuu" localSheetId="0" hidden="1">{#N/A,#N/A,FALSE,"Sheet1 (2)"}</definedName>
    <definedName name="htytyuu" hidden="1">{#N/A,#N/A,FALSE,"Sheet1 (2)"}</definedName>
    <definedName name="htytyuu_1" localSheetId="0" hidden="1">{#N/A,#N/A,FALSE,"Sheet1 (2)"}</definedName>
    <definedName name="htytyuu_1" hidden="1">{#N/A,#N/A,FALSE,"Sheet1 (2)"}</definedName>
    <definedName name="htytyuu_1_1" localSheetId="0" hidden="1">{#N/A,#N/A,FALSE,"Sheet1 (2)"}</definedName>
    <definedName name="htytyuu_1_1" hidden="1">{#N/A,#N/A,FALSE,"Sheet1 (2)"}</definedName>
    <definedName name="htytyuu_1_2" localSheetId="0" hidden="1">{#N/A,#N/A,FALSE,"Sheet1 (2)"}</definedName>
    <definedName name="htytyuu_1_2" hidden="1">{#N/A,#N/A,FALSE,"Sheet1 (2)"}</definedName>
    <definedName name="htytyuu_1_3" localSheetId="0" hidden="1">{#N/A,#N/A,FALSE,"Sheet1 (2)"}</definedName>
    <definedName name="htytyuu_1_3" hidden="1">{#N/A,#N/A,FALSE,"Sheet1 (2)"}</definedName>
    <definedName name="htytyuu_2" localSheetId="0" hidden="1">{#N/A,#N/A,FALSE,"Sheet1 (2)"}</definedName>
    <definedName name="htytyuu_2" hidden="1">{#N/A,#N/A,FALSE,"Sheet1 (2)"}</definedName>
    <definedName name="htytyuu_2_1" localSheetId="0" hidden="1">{#N/A,#N/A,FALSE,"Sheet1 (2)"}</definedName>
    <definedName name="htytyuu_2_1" hidden="1">{#N/A,#N/A,FALSE,"Sheet1 (2)"}</definedName>
    <definedName name="htytyuu_2_2" localSheetId="0" hidden="1">{#N/A,#N/A,FALSE,"Sheet1 (2)"}</definedName>
    <definedName name="htytyuu_2_2" hidden="1">{#N/A,#N/A,FALSE,"Sheet1 (2)"}</definedName>
    <definedName name="htytyuu_3" localSheetId="0" hidden="1">{#N/A,#N/A,FALSE,"Sheet1 (2)"}</definedName>
    <definedName name="htytyuu_3" hidden="1">{#N/A,#N/A,FALSE,"Sheet1 (2)"}</definedName>
    <definedName name="htytyuu_4" localSheetId="0" hidden="1">{#N/A,#N/A,FALSE,"Sheet1 (2)"}</definedName>
    <definedName name="htytyuu_4" hidden="1">{#N/A,#N/A,FALSE,"Sheet1 (2)"}</definedName>
    <definedName name="hurriyetim">#REF!</definedName>
    <definedName name="HW">#REF!</definedName>
    <definedName name="HWAdSize">#REF!</definedName>
    <definedName name="HWAdStart">#REF!</definedName>
    <definedName name="hygsbjcf" localSheetId="0" hidden="1">{#N/A,#N/A,FALSE,"Sheet1 (2)"}</definedName>
    <definedName name="hygsbjcf" hidden="1">{#N/A,#N/A,FALSE,"Sheet1 (2)"}</definedName>
    <definedName name="Hyperspeed">#REF!</definedName>
    <definedName name="hyrstu">#REF!</definedName>
    <definedName name="hyt" localSheetId="0" hidden="1">{#N/A,#N/A,FALSE,"Sheet1 (2)"}</definedName>
    <definedName name="hyt" hidden="1">{#N/A,#N/A,FALSE,"Sheet1 (2)"}</definedName>
    <definedName name="ICIMKEFIROLCUMLENMEYEN">#REF!</definedName>
    <definedName name="ICMREKLAM">#REF!</definedName>
    <definedName name="id">#REF!</definedName>
    <definedName name="iddaa">#REF!</definedName>
    <definedName name="İEİE" localSheetId="0" hidden="1">{#N/A,#N/A,FALSE,"Sheet1 (2)"}</definedName>
    <definedName name="İEİE" hidden="1">{#N/A,#N/A,FALSE,"Sheet1 (2)"}</definedName>
    <definedName name="IĞDIR">#REF!</definedName>
    <definedName name="İĞİİŞİŞ" localSheetId="0" hidden="1">{#N/A,#N/A,FALSE,"Sheet1 (2)"}</definedName>
    <definedName name="İĞİİŞİŞ" hidden="1">{#N/A,#N/A,FALSE,"Sheet1 (2)"}</definedName>
    <definedName name="İİİ" localSheetId="0" hidden="1">{#N/A,#N/A,FALSE,"Sheet1 (2)"}</definedName>
    <definedName name="İİİ" hidden="1">{#N/A,#N/A,FALSE,"Sheet1 (2)"}</definedName>
    <definedName name="İİİİİ" hidden="1">#REF!</definedName>
    <definedName name="IJ" localSheetId="0" hidden="1">{#N/A,#N/A,FALSE,"Sheet1 (2)"}</definedName>
    <definedName name="IJ" hidden="1">{#N/A,#N/A,FALSE,"Sheet1 (2)"}</definedName>
    <definedName name="IJ_1" localSheetId="0" hidden="1">{#N/A,#N/A,FALSE,"Sheet1 (2)"}</definedName>
    <definedName name="IJ_1" hidden="1">{#N/A,#N/A,FALSE,"Sheet1 (2)"}</definedName>
    <definedName name="IJ_1_1" localSheetId="0" hidden="1">{#N/A,#N/A,FALSE,"Sheet1 (2)"}</definedName>
    <definedName name="IJ_1_1" hidden="1">{#N/A,#N/A,FALSE,"Sheet1 (2)"}</definedName>
    <definedName name="IJ_1_2" localSheetId="0" hidden="1">{#N/A,#N/A,FALSE,"Sheet1 (2)"}</definedName>
    <definedName name="IJ_1_2" hidden="1">{#N/A,#N/A,FALSE,"Sheet1 (2)"}</definedName>
    <definedName name="IJ_1_3" localSheetId="0" hidden="1">{#N/A,#N/A,FALSE,"Sheet1 (2)"}</definedName>
    <definedName name="IJ_1_3" hidden="1">{#N/A,#N/A,FALSE,"Sheet1 (2)"}</definedName>
    <definedName name="IJ_2" localSheetId="0" hidden="1">{#N/A,#N/A,FALSE,"Sheet1 (2)"}</definedName>
    <definedName name="IJ_2" hidden="1">{#N/A,#N/A,FALSE,"Sheet1 (2)"}</definedName>
    <definedName name="IJ_2_1" localSheetId="0" hidden="1">{#N/A,#N/A,FALSE,"Sheet1 (2)"}</definedName>
    <definedName name="IJ_2_1" hidden="1">{#N/A,#N/A,FALSE,"Sheet1 (2)"}</definedName>
    <definedName name="IJ_2_2" localSheetId="0" hidden="1">{#N/A,#N/A,FALSE,"Sheet1 (2)"}</definedName>
    <definedName name="IJ_2_2" hidden="1">{#N/A,#N/A,FALSE,"Sheet1 (2)"}</definedName>
    <definedName name="IJ_3" localSheetId="0" hidden="1">{#N/A,#N/A,FALSE,"Sheet1 (2)"}</definedName>
    <definedName name="IJ_3" hidden="1">{#N/A,#N/A,FALSE,"Sheet1 (2)"}</definedName>
    <definedName name="IJ_4" localSheetId="0" hidden="1">{#N/A,#N/A,FALSE,"Sheet1 (2)"}</definedName>
    <definedName name="IJ_4" hidden="1">{#N/A,#N/A,FALSE,"Sheet1 (2)"}</definedName>
    <definedName name="İKİNUMARA">#REF!</definedName>
    <definedName name="il">#REF!</definedName>
    <definedName name="ilan">#REF!</definedName>
    <definedName name="İLAN_BOYUTU_1">#REF!</definedName>
    <definedName name="İLAN_BOYUTU_1_2">#REF!</definedName>
    <definedName name="İLAN_BOYUTU_1_3">#REF!</definedName>
    <definedName name="İLAN_BOYUTU_1_4">#REF!</definedName>
    <definedName name="İLAN_BOYUTU_1_5">#REF!</definedName>
    <definedName name="İLAN_BOYUTU_1_6">#REF!</definedName>
    <definedName name="İLAN_BOYUTU_1_7">#REF!</definedName>
    <definedName name="İLAN_BOYUTU_2">#REF!</definedName>
    <definedName name="İLAN_BOYUTU_2_2">#REF!</definedName>
    <definedName name="İLAN_BOYUTU_2_3">#REF!</definedName>
    <definedName name="İLAN_BOYUTU_2_4">#REF!</definedName>
    <definedName name="İLAN_BOYUTU_2_5">#REF!</definedName>
    <definedName name="İLAN_BOYUTU_2_6">#REF!</definedName>
    <definedName name="İLAN_BOYUTU_2_7">#REF!</definedName>
    <definedName name="İLAN_BOYUTU_3">#REF!</definedName>
    <definedName name="İLAN_BOYUTU_4">#REF!</definedName>
    <definedName name="ILT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IL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ima">#REF!</definedName>
    <definedName name="IMAGEPLUSMEDYA">#REF!</definedName>
    <definedName name="imedya">#REF!</definedName>
    <definedName name="İMNETMEDYA">#REF!</definedName>
    <definedName name="Import_Page_URL">[21]Hidden_Data!$AA$12</definedName>
    <definedName name="IMPRESS">#REF!</definedName>
    <definedName name="inc">1.04</definedName>
    <definedName name="increbindex">'[39]ED Upper Funnel'!#REF!</definedName>
    <definedName name="İndirim">[89]!İndirim</definedName>
    <definedName name="INDIRIMLER">#REF!</definedName>
    <definedName name="INDIRIMLER_KANAL">#REF!</definedName>
    <definedName name="Input">#REF!</definedName>
    <definedName name="INSERT">#REF!</definedName>
    <definedName name="INSERT_2">#REF!</definedName>
    <definedName name="INSERT_3">#REF!</definedName>
    <definedName name="INSERT_4">#REF!</definedName>
    <definedName name="INSERT_5">#REF!</definedName>
    <definedName name="INSERT_6">#REF!</definedName>
    <definedName name="INSERT_7">#REF!</definedName>
    <definedName name="insert2" localSheetId="0" hidden="1">{#N/A,#N/A,FALSE,"Sheet1 (2)"}</definedName>
    <definedName name="insert2" hidden="1">{#N/A,#N/A,FALSE,"Sheet1 (2)"}</definedName>
    <definedName name="INt" localSheetId="0" hidden="1">{#N/A,#N/A,FALSE,"Sheet1 (2)"}</definedName>
    <definedName name="INt" hidden="1">{#N/A,#N/A,FALSE,"Sheet1 (2)"}</definedName>
    <definedName name="internet">#REF!</definedName>
    <definedName name="internet_06">#REF!</definedName>
    <definedName name="internet_07">#REF!</definedName>
    <definedName name="internet_08">#REF!</definedName>
    <definedName name="İNTERNETTEREKLAM">#REF!</definedName>
    <definedName name="Intest.1">[91]Ref!$B$1</definedName>
    <definedName name="Intest.2">[34]Ref!$B$2</definedName>
    <definedName name="Intest.3">[34]Ref!$B$3</definedName>
    <definedName name="INTZONNR">#REF!</definedName>
    <definedName name="INVENT">[35]xBRADx!$B$1:$I$402</definedName>
    <definedName name="inventory_type">#REF!</definedName>
    <definedName name="iop" localSheetId="0" hidden="1">{"'Jan - March 2000'!$A$5:$J$46"}</definedName>
    <definedName name="iop" hidden="1">{"'Jan - March 2000'!$A$5:$J$46"}</definedName>
    <definedName name="Ireland" localSheetId="0" hidden="1">{"'mayo'!$A$1:$AO$202"}</definedName>
    <definedName name="Ireland" hidden="1">{"'mayo'!$A$1:$AO$202"}</definedName>
    <definedName name="ISIM">[92]GRP!$A$2:$A$65536</definedName>
    <definedName name="ISIMLER">[42]GRP!$B$1:$B$65536</definedName>
    <definedName name="İŞLİŞLŞİ" localSheetId="0" hidden="1">{#N/A,#N/A,FALSE,"Sheet1 (2)"}</definedName>
    <definedName name="İŞLİŞLŞİ" hidden="1">{#N/A,#N/A,FALSE,"Sheet1 (2)"}</definedName>
    <definedName name="İŞLLK" localSheetId="0" hidden="1">{#N/A,#N/A,FALSE,"Sheet1 (2)"}</definedName>
    <definedName name="İŞLLK" hidden="1">{#N/A,#N/A,FALSE,"Sheet1 (2)"}</definedName>
    <definedName name="İSMET">#REF!</definedName>
    <definedName name="ISPARTA">#REF!</definedName>
    <definedName name="İŞŞİŞJKJKLJ" localSheetId="0" hidden="1">{#N/A,#N/A,FALSE,"Sheet1 (2)"}</definedName>
    <definedName name="İŞŞİŞJKJKLJ" hidden="1">{#N/A,#N/A,FALSE,"Sheet1 (2)"}</definedName>
    <definedName name="IsStatic">#REF!</definedName>
    <definedName name="İSTANBUL">#REF!</definedName>
    <definedName name="İSTANBULİLETİŞİM">#REF!</definedName>
    <definedName name="istbb" localSheetId="0" hidden="1">{#N/A,#N/A,FALSE,"Sheet1 (2)"}</definedName>
    <definedName name="istbb" hidden="1">{#N/A,#N/A,FALSE,"Sheet1 (2)"}</definedName>
    <definedName name="istbb_1" localSheetId="0" hidden="1">{#N/A,#N/A,FALSE,"Sheet1 (2)"}</definedName>
    <definedName name="istbb_1" hidden="1">{#N/A,#N/A,FALSE,"Sheet1 (2)"}</definedName>
    <definedName name="istbb_1_1" localSheetId="0" hidden="1">{#N/A,#N/A,FALSE,"Sheet1 (2)"}</definedName>
    <definedName name="istbb_1_1" hidden="1">{#N/A,#N/A,FALSE,"Sheet1 (2)"}</definedName>
    <definedName name="istbb_1_2" localSheetId="0" hidden="1">{#N/A,#N/A,FALSE,"Sheet1 (2)"}</definedName>
    <definedName name="istbb_1_2" hidden="1">{#N/A,#N/A,FALSE,"Sheet1 (2)"}</definedName>
    <definedName name="istbb_1_3" localSheetId="0" hidden="1">{#N/A,#N/A,FALSE,"Sheet1 (2)"}</definedName>
    <definedName name="istbb_1_3" hidden="1">{#N/A,#N/A,FALSE,"Sheet1 (2)"}</definedName>
    <definedName name="istbb_2" localSheetId="0" hidden="1">{#N/A,#N/A,FALSE,"Sheet1 (2)"}</definedName>
    <definedName name="istbb_2" hidden="1">{#N/A,#N/A,FALSE,"Sheet1 (2)"}</definedName>
    <definedName name="istbb_2_1" localSheetId="0" hidden="1">{#N/A,#N/A,FALSE,"Sheet1 (2)"}</definedName>
    <definedName name="istbb_2_1" hidden="1">{#N/A,#N/A,FALSE,"Sheet1 (2)"}</definedName>
    <definedName name="istbb_2_2" localSheetId="0" hidden="1">{#N/A,#N/A,FALSE,"Sheet1 (2)"}</definedName>
    <definedName name="istbb_2_2" hidden="1">{#N/A,#N/A,FALSE,"Sheet1 (2)"}</definedName>
    <definedName name="istbb_3" localSheetId="0" hidden="1">{#N/A,#N/A,FALSE,"Sheet1 (2)"}</definedName>
    <definedName name="istbb_3" hidden="1">{#N/A,#N/A,FALSE,"Sheet1 (2)"}</definedName>
    <definedName name="istbb_4" localSheetId="0" hidden="1">{#N/A,#N/A,FALSE,"Sheet1 (2)"}</definedName>
    <definedName name="istbb_4" hidden="1">{#N/A,#N/A,FALSE,"Sheet1 (2)"}</definedName>
    <definedName name="İSTEBU">'[93]AMOUNT BASES'!$B$3:$H$81</definedName>
    <definedName name="IsValueAdd">#REF!</definedName>
    <definedName name="italia1">#REF!,#REF!,#REF!,#REF!,#REF!,#REF!,#REF!,#REF!,#REF!,#REF!,#REF!,#REF!,#REF!</definedName>
    <definedName name="IYIGECELEROLCULMEYEN">#REF!</definedName>
    <definedName name="IYIGECELEROLCULMEYENACTUAL">#REF!</definedName>
    <definedName name="iyjghytgfegryth">#REF!</definedName>
    <definedName name="İZMİR">#REF!</definedName>
    <definedName name="İZMOBİLİŞİM">#REF!</definedName>
    <definedName name="ı" localSheetId="0" hidden="1">{#N/A,#N/A,FALSE,"Sheet1 (2)"}</definedName>
    <definedName name="ı" hidden="1">{#N/A,#N/A,FALSE,"Sheet1 (2)"}</definedName>
    <definedName name="ı_1" localSheetId="0" hidden="1">{#N/A,#N/A,FALSE,"Sheet1 (2)"}</definedName>
    <definedName name="ı_1" hidden="1">{#N/A,#N/A,FALSE,"Sheet1 (2)"}</definedName>
    <definedName name="ı_1_1" localSheetId="0" hidden="1">{#N/A,#N/A,FALSE,"Sheet1 (2)"}</definedName>
    <definedName name="ı_1_1" hidden="1">{#N/A,#N/A,FALSE,"Sheet1 (2)"}</definedName>
    <definedName name="ı_1_2" localSheetId="0" hidden="1">{#N/A,#N/A,FALSE,"Sheet1 (2)"}</definedName>
    <definedName name="ı_1_2" hidden="1">{#N/A,#N/A,FALSE,"Sheet1 (2)"}</definedName>
    <definedName name="ı_1_3" localSheetId="0" hidden="1">{#N/A,#N/A,FALSE,"Sheet1 (2)"}</definedName>
    <definedName name="ı_1_3" hidden="1">{#N/A,#N/A,FALSE,"Sheet1 (2)"}</definedName>
    <definedName name="ı_2" localSheetId="0" hidden="1">{#N/A,#N/A,FALSE,"Sheet1 (2)"}</definedName>
    <definedName name="ı_2" hidden="1">{#N/A,#N/A,FALSE,"Sheet1 (2)"}</definedName>
    <definedName name="ı_2_1" localSheetId="0" hidden="1">{#N/A,#N/A,FALSE,"Sheet1 (2)"}</definedName>
    <definedName name="ı_2_1" hidden="1">{#N/A,#N/A,FALSE,"Sheet1 (2)"}</definedName>
    <definedName name="ı_2_2" localSheetId="0" hidden="1">{#N/A,#N/A,FALSE,"Sheet1 (2)"}</definedName>
    <definedName name="ı_2_2" hidden="1">{#N/A,#N/A,FALSE,"Sheet1 (2)"}</definedName>
    <definedName name="ı_3" localSheetId="0" hidden="1">{#N/A,#N/A,FALSE,"Sheet1 (2)"}</definedName>
    <definedName name="ı_3" hidden="1">{#N/A,#N/A,FALSE,"Sheet1 (2)"}</definedName>
    <definedName name="ı_4" localSheetId="0" hidden="1">{#N/A,#N/A,FALSE,"Sheet1 (2)"}</definedName>
    <definedName name="ı_4" hidden="1">{#N/A,#N/A,FALSE,"Sheet1 (2)"}</definedName>
    <definedName name="ıhıoh" localSheetId="0" hidden="1">{#N/A,#N/A,FALSE,"Sheet1 (2)"}</definedName>
    <definedName name="ıhıoh" hidden="1">{#N/A,#N/A,FALSE,"Sheet1 (2)"}</definedName>
    <definedName name="ıhıoh_1" localSheetId="0" hidden="1">{#N/A,#N/A,FALSE,"Sheet1 (2)"}</definedName>
    <definedName name="ıhıoh_1" hidden="1">{#N/A,#N/A,FALSE,"Sheet1 (2)"}</definedName>
    <definedName name="ıhıoh_1_1" localSheetId="0" hidden="1">{#N/A,#N/A,FALSE,"Sheet1 (2)"}</definedName>
    <definedName name="ıhıoh_1_1" hidden="1">{#N/A,#N/A,FALSE,"Sheet1 (2)"}</definedName>
    <definedName name="ıhıoh_1_2" localSheetId="0" hidden="1">{#N/A,#N/A,FALSE,"Sheet1 (2)"}</definedName>
    <definedName name="ıhıoh_1_2" hidden="1">{#N/A,#N/A,FALSE,"Sheet1 (2)"}</definedName>
    <definedName name="ıhıoh_1_3" localSheetId="0" hidden="1">{#N/A,#N/A,FALSE,"Sheet1 (2)"}</definedName>
    <definedName name="ıhıoh_1_3" hidden="1">{#N/A,#N/A,FALSE,"Sheet1 (2)"}</definedName>
    <definedName name="ıhıoh_2" localSheetId="0" hidden="1">{#N/A,#N/A,FALSE,"Sheet1 (2)"}</definedName>
    <definedName name="ıhıoh_2" hidden="1">{#N/A,#N/A,FALSE,"Sheet1 (2)"}</definedName>
    <definedName name="ıhıoh_2_1" localSheetId="0" hidden="1">{#N/A,#N/A,FALSE,"Sheet1 (2)"}</definedName>
    <definedName name="ıhıoh_2_1" hidden="1">{#N/A,#N/A,FALSE,"Sheet1 (2)"}</definedName>
    <definedName name="ıhıoh_2_2" localSheetId="0" hidden="1">{#N/A,#N/A,FALSE,"Sheet1 (2)"}</definedName>
    <definedName name="ıhıoh_2_2" hidden="1">{#N/A,#N/A,FALSE,"Sheet1 (2)"}</definedName>
    <definedName name="ıhıoh_3" localSheetId="0" hidden="1">{#N/A,#N/A,FALSE,"Sheet1 (2)"}</definedName>
    <definedName name="ıhıoh_3" hidden="1">{#N/A,#N/A,FALSE,"Sheet1 (2)"}</definedName>
    <definedName name="ıhıoh_4" localSheetId="0" hidden="1">{#N/A,#N/A,FALSE,"Sheet1 (2)"}</definedName>
    <definedName name="ıhıoh_4" hidden="1">{#N/A,#N/A,FALSE,"Sheet1 (2)"}</definedName>
    <definedName name="ıı">#REF!</definedName>
    <definedName name="ııı" localSheetId="0" hidden="1">{#N/A,#N/A,FALSE,"Sheet1 (2)"}</definedName>
    <definedName name="ııı" hidden="1">{#N/A,#N/A,FALSE,"Sheet1 (2)"}</definedName>
    <definedName name="ııı_1" localSheetId="0" hidden="1">{#N/A,#N/A,FALSE,"Sheet1 (2)"}</definedName>
    <definedName name="ııı_1" hidden="1">{#N/A,#N/A,FALSE,"Sheet1 (2)"}</definedName>
    <definedName name="ııı_1_1" localSheetId="0" hidden="1">{#N/A,#N/A,FALSE,"Sheet1 (2)"}</definedName>
    <definedName name="ııı_1_1" hidden="1">{#N/A,#N/A,FALSE,"Sheet1 (2)"}</definedName>
    <definedName name="ııı_1_2" localSheetId="0" hidden="1">{#N/A,#N/A,FALSE,"Sheet1 (2)"}</definedName>
    <definedName name="ııı_1_2" hidden="1">{#N/A,#N/A,FALSE,"Sheet1 (2)"}</definedName>
    <definedName name="ııı_1_3" localSheetId="0" hidden="1">{#N/A,#N/A,FALSE,"Sheet1 (2)"}</definedName>
    <definedName name="ııı_1_3" hidden="1">{#N/A,#N/A,FALSE,"Sheet1 (2)"}</definedName>
    <definedName name="ııı_2" localSheetId="0" hidden="1">{#N/A,#N/A,FALSE,"Sheet1 (2)"}</definedName>
    <definedName name="ııı_2" hidden="1">{#N/A,#N/A,FALSE,"Sheet1 (2)"}</definedName>
    <definedName name="ııı_2_1" localSheetId="0" hidden="1">{#N/A,#N/A,FALSE,"Sheet1 (2)"}</definedName>
    <definedName name="ııı_2_1" hidden="1">{#N/A,#N/A,FALSE,"Sheet1 (2)"}</definedName>
    <definedName name="ııı_2_2" localSheetId="0" hidden="1">{#N/A,#N/A,FALSE,"Sheet1 (2)"}</definedName>
    <definedName name="ııı_2_2" hidden="1">{#N/A,#N/A,FALSE,"Sheet1 (2)"}</definedName>
    <definedName name="ııı_3" localSheetId="0" hidden="1">{#N/A,#N/A,FALSE,"Sheet1 (2)"}</definedName>
    <definedName name="ııı_3" hidden="1">{#N/A,#N/A,FALSE,"Sheet1 (2)"}</definedName>
    <definedName name="ııı_4" localSheetId="0" hidden="1">{#N/A,#N/A,FALSE,"Sheet1 (2)"}</definedName>
    <definedName name="ııı_4" hidden="1">{#N/A,#N/A,FALSE,"Sheet1 (2)"}</definedName>
    <definedName name="ıkjjjhjnghy" localSheetId="0" hidden="1">{#N/A,#N/A,FALSE,"Sheet1 (2)"}</definedName>
    <definedName name="ıkjjjhjnghy" hidden="1">{#N/A,#N/A,FALSE,"Sheet1 (2)"}</definedName>
    <definedName name="ıkjjjhjnghy_1" localSheetId="0" hidden="1">{#N/A,#N/A,FALSE,"Sheet1 (2)"}</definedName>
    <definedName name="ıkjjjhjnghy_1" hidden="1">{#N/A,#N/A,FALSE,"Sheet1 (2)"}</definedName>
    <definedName name="ıkjjjhjnghy_1_1" localSheetId="0" hidden="1">{#N/A,#N/A,FALSE,"Sheet1 (2)"}</definedName>
    <definedName name="ıkjjjhjnghy_1_1" hidden="1">{#N/A,#N/A,FALSE,"Sheet1 (2)"}</definedName>
    <definedName name="ıkjjjhjnghy_1_2" localSheetId="0" hidden="1">{#N/A,#N/A,FALSE,"Sheet1 (2)"}</definedName>
    <definedName name="ıkjjjhjnghy_1_2" hidden="1">{#N/A,#N/A,FALSE,"Sheet1 (2)"}</definedName>
    <definedName name="ıkjjjhjnghy_1_3" localSheetId="0" hidden="1">{#N/A,#N/A,FALSE,"Sheet1 (2)"}</definedName>
    <definedName name="ıkjjjhjnghy_1_3" hidden="1">{#N/A,#N/A,FALSE,"Sheet1 (2)"}</definedName>
    <definedName name="ıkjjjhjnghy_2" localSheetId="0" hidden="1">{#N/A,#N/A,FALSE,"Sheet1 (2)"}</definedName>
    <definedName name="ıkjjjhjnghy_2" hidden="1">{#N/A,#N/A,FALSE,"Sheet1 (2)"}</definedName>
    <definedName name="ıkjjjhjnghy_2_1" localSheetId="0" hidden="1">{#N/A,#N/A,FALSE,"Sheet1 (2)"}</definedName>
    <definedName name="ıkjjjhjnghy_2_1" hidden="1">{#N/A,#N/A,FALSE,"Sheet1 (2)"}</definedName>
    <definedName name="ıkjjjhjnghy_2_2" localSheetId="0" hidden="1">{#N/A,#N/A,FALSE,"Sheet1 (2)"}</definedName>
    <definedName name="ıkjjjhjnghy_2_2" hidden="1">{#N/A,#N/A,FALSE,"Sheet1 (2)"}</definedName>
    <definedName name="ıkjjjhjnghy_3" localSheetId="0" hidden="1">{#N/A,#N/A,FALSE,"Sheet1 (2)"}</definedName>
    <definedName name="ıkjjjhjnghy_3" hidden="1">{#N/A,#N/A,FALSE,"Sheet1 (2)"}</definedName>
    <definedName name="ıkjjjhjnghy_4" localSheetId="0" hidden="1">{#N/A,#N/A,FALSE,"Sheet1 (2)"}</definedName>
    <definedName name="ıkjjjhjnghy_4" hidden="1">{#N/A,#N/A,FALSE,"Sheet1 (2)"}</definedName>
    <definedName name="ıopıop" localSheetId="0" hidden="1">{#N/A,#N/A,FALSE,"Sheet1 (2)"}</definedName>
    <definedName name="ıopıop" hidden="1">{#N/A,#N/A,FALSE,"Sheet1 (2)"}</definedName>
    <definedName name="ıopıop_1" localSheetId="0" hidden="1">{#N/A,#N/A,FALSE,"Sheet1 (2)"}</definedName>
    <definedName name="ıopıop_1" hidden="1">{#N/A,#N/A,FALSE,"Sheet1 (2)"}</definedName>
    <definedName name="ıopıop_1_1" localSheetId="0" hidden="1">{#N/A,#N/A,FALSE,"Sheet1 (2)"}</definedName>
    <definedName name="ıopıop_1_1" hidden="1">{#N/A,#N/A,FALSE,"Sheet1 (2)"}</definedName>
    <definedName name="ıopıop_1_2" localSheetId="0" hidden="1">{#N/A,#N/A,FALSE,"Sheet1 (2)"}</definedName>
    <definedName name="ıopıop_1_2" hidden="1">{#N/A,#N/A,FALSE,"Sheet1 (2)"}</definedName>
    <definedName name="ıopıop_1_3" localSheetId="0" hidden="1">{#N/A,#N/A,FALSE,"Sheet1 (2)"}</definedName>
    <definedName name="ıopıop_1_3" hidden="1">{#N/A,#N/A,FALSE,"Sheet1 (2)"}</definedName>
    <definedName name="ıopıop_2" localSheetId="0" hidden="1">{#N/A,#N/A,FALSE,"Sheet1 (2)"}</definedName>
    <definedName name="ıopıop_2" hidden="1">{#N/A,#N/A,FALSE,"Sheet1 (2)"}</definedName>
    <definedName name="ıopıop_2_1" localSheetId="0" hidden="1">{#N/A,#N/A,FALSE,"Sheet1 (2)"}</definedName>
    <definedName name="ıopıop_2_1" hidden="1">{#N/A,#N/A,FALSE,"Sheet1 (2)"}</definedName>
    <definedName name="ıopıop_2_2" localSheetId="0" hidden="1">{#N/A,#N/A,FALSE,"Sheet1 (2)"}</definedName>
    <definedName name="ıopıop_2_2" hidden="1">{#N/A,#N/A,FALSE,"Sheet1 (2)"}</definedName>
    <definedName name="ıopıop_3" localSheetId="0" hidden="1">{#N/A,#N/A,FALSE,"Sheet1 (2)"}</definedName>
    <definedName name="ıopıop_3" hidden="1">{#N/A,#N/A,FALSE,"Sheet1 (2)"}</definedName>
    <definedName name="ıopıop_4" localSheetId="0" hidden="1">{#N/A,#N/A,FALSE,"Sheet1 (2)"}</definedName>
    <definedName name="ıopıop_4" hidden="1">{#N/A,#N/A,FALSE,"Sheet1 (2)"}</definedName>
    <definedName name="ıpuuu" localSheetId="0" hidden="1">{#N/A,#N/A,FALSE,"Sheet1 (2)"}</definedName>
    <definedName name="ıpuuu" hidden="1">{#N/A,#N/A,FALSE,"Sheet1 (2)"}</definedName>
    <definedName name="ıpuuu_1" localSheetId="0" hidden="1">{#N/A,#N/A,FALSE,"Sheet1 (2)"}</definedName>
    <definedName name="ıpuuu_1" hidden="1">{#N/A,#N/A,FALSE,"Sheet1 (2)"}</definedName>
    <definedName name="ıpuuu_1_1" localSheetId="0" hidden="1">{#N/A,#N/A,FALSE,"Sheet1 (2)"}</definedName>
    <definedName name="ıpuuu_1_1" hidden="1">{#N/A,#N/A,FALSE,"Sheet1 (2)"}</definedName>
    <definedName name="ıpuuu_1_2" localSheetId="0" hidden="1">{#N/A,#N/A,FALSE,"Sheet1 (2)"}</definedName>
    <definedName name="ıpuuu_1_2" hidden="1">{#N/A,#N/A,FALSE,"Sheet1 (2)"}</definedName>
    <definedName name="ıpuuu_1_3" localSheetId="0" hidden="1">{#N/A,#N/A,FALSE,"Sheet1 (2)"}</definedName>
    <definedName name="ıpuuu_1_3" hidden="1">{#N/A,#N/A,FALSE,"Sheet1 (2)"}</definedName>
    <definedName name="ıpuuu_2" localSheetId="0" hidden="1">{#N/A,#N/A,FALSE,"Sheet1 (2)"}</definedName>
    <definedName name="ıpuuu_2" hidden="1">{#N/A,#N/A,FALSE,"Sheet1 (2)"}</definedName>
    <definedName name="ıpuuu_2_1" localSheetId="0" hidden="1">{#N/A,#N/A,FALSE,"Sheet1 (2)"}</definedName>
    <definedName name="ıpuuu_2_1" hidden="1">{#N/A,#N/A,FALSE,"Sheet1 (2)"}</definedName>
    <definedName name="ıpuuu_2_2" localSheetId="0" hidden="1">{#N/A,#N/A,FALSE,"Sheet1 (2)"}</definedName>
    <definedName name="ıpuuu_2_2" hidden="1">{#N/A,#N/A,FALSE,"Sheet1 (2)"}</definedName>
    <definedName name="ıpuuu_3" localSheetId="0" hidden="1">{#N/A,#N/A,FALSE,"Sheet1 (2)"}</definedName>
    <definedName name="ıpuuu_3" hidden="1">{#N/A,#N/A,FALSE,"Sheet1 (2)"}</definedName>
    <definedName name="ıpuuu_4" localSheetId="0" hidden="1">{#N/A,#N/A,FALSE,"Sheet1 (2)"}</definedName>
    <definedName name="ıpuuu_4" hidden="1">{#N/A,#N/A,FALSE,"Sheet1 (2)"}</definedName>
    <definedName name="ıüoiükzıo" localSheetId="0" hidden="1">{#N/A,#N/A,FALSE,"Sheet1 (2)"}</definedName>
    <definedName name="ıüoiükzıo" hidden="1">{#N/A,#N/A,FALSE,"Sheet1 (2)"}</definedName>
    <definedName name="j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_1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_1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_1_1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_1_1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_1_2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_1_2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_1_3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_1_3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_2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_2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_2_1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_2_1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_2_2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_2_2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_3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_3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_4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_4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amie">#REF!,#REF!,#REF!,#REF!,#REF!,#REF!,#REF!,#REF!,#REF!,#REF!</definedName>
    <definedName name="jamie2">#N/A</definedName>
    <definedName name="jamie3">#REF!,#REF!</definedName>
    <definedName name="Jan04Factor">[39]EdmundsSeasonality!#REF!</definedName>
    <definedName name="Jan05MakeModelFactor">[39]EdmundsSeasonality!$D$8</definedName>
    <definedName name="janjun">#REF!</definedName>
    <definedName name="jhdgfjsjdhfkshfçksjfçkshf">#REF!</definedName>
    <definedName name="JHK" localSheetId="0" hidden="1">{#N/A,#N/A,FALSE,"Sheet1 (2)"}</definedName>
    <definedName name="JHK" hidden="1">{#N/A,#N/A,FALSE,"Sheet1 (2)"}</definedName>
    <definedName name="jhkjh" localSheetId="0" hidden="1">{"'Jan - March 2000'!$A$5:$J$46"}</definedName>
    <definedName name="jhkjh" hidden="1">{"'Jan - March 2000'!$A$5:$J$46"}</definedName>
    <definedName name="jhu" localSheetId="0" hidden="1">{#N/A,#N/A,FALSE,"Sheet1 (2)"}</definedName>
    <definedName name="jhu" hidden="1">{#N/A,#N/A,FALSE,"Sheet1 (2)"}</definedName>
    <definedName name="Jim" localSheetId="0" hidden="1">{#N/A,#N/A,FALSE,"L&amp;M Performance";#N/A,#N/A,FALSE,"Brand Performance";#N/A,#N/A,FALSE,"Marlboro Performance"}</definedName>
    <definedName name="Jim" hidden="1">{#N/A,#N/A,FALSE,"L&amp;M Performance";#N/A,#N/A,FALSE,"Brand Performance";#N/A,#N/A,FALSE,"Marlboro Performance"}</definedName>
    <definedName name="jimmy" localSheetId="0" hidden="1">{#N/A,#N/A,FALSE,"L&amp;M Performance";#N/A,#N/A,FALSE,"Brand Performance";#N/A,#N/A,FALSE,"Marlboro Performance"}</definedName>
    <definedName name="jimmy" hidden="1">{#N/A,#N/A,FALSE,"L&amp;M Performance";#N/A,#N/A,FALSE,"Brand Performance";#N/A,#N/A,FALSE,"Marlboro Performance"}</definedName>
    <definedName name="JJJ" localSheetId="0" hidden="1">{#N/A,#N/A,FALSE,"Sheet1 (2)"}</definedName>
    <definedName name="JJJ" hidden="1">{#N/A,#N/A,FALSE,"Sheet1 (2)"}</definedName>
    <definedName name="JJJ_1" localSheetId="0" hidden="1">{#N/A,#N/A,FALSE,"Sheet1 (2)"}</definedName>
    <definedName name="JJJ_1" hidden="1">{#N/A,#N/A,FALSE,"Sheet1 (2)"}</definedName>
    <definedName name="JJJ_1_1" localSheetId="0" hidden="1">{#N/A,#N/A,FALSE,"Sheet1 (2)"}</definedName>
    <definedName name="JJJ_1_1" hidden="1">{#N/A,#N/A,FALSE,"Sheet1 (2)"}</definedName>
    <definedName name="JJJ_1_2" localSheetId="0" hidden="1">{#N/A,#N/A,FALSE,"Sheet1 (2)"}</definedName>
    <definedName name="JJJ_1_2" hidden="1">{#N/A,#N/A,FALSE,"Sheet1 (2)"}</definedName>
    <definedName name="JJJ_1_3" localSheetId="0" hidden="1">{#N/A,#N/A,FALSE,"Sheet1 (2)"}</definedName>
    <definedName name="JJJ_1_3" hidden="1">{#N/A,#N/A,FALSE,"Sheet1 (2)"}</definedName>
    <definedName name="JJJ_2" localSheetId="0" hidden="1">{#N/A,#N/A,FALSE,"Sheet1 (2)"}</definedName>
    <definedName name="JJJ_2" hidden="1">{#N/A,#N/A,FALSE,"Sheet1 (2)"}</definedName>
    <definedName name="JJJ_2_1" localSheetId="0" hidden="1">{#N/A,#N/A,FALSE,"Sheet1 (2)"}</definedName>
    <definedName name="JJJ_2_1" hidden="1">{#N/A,#N/A,FALSE,"Sheet1 (2)"}</definedName>
    <definedName name="JJJ_2_2" localSheetId="0" hidden="1">{#N/A,#N/A,FALSE,"Sheet1 (2)"}</definedName>
    <definedName name="JJJ_2_2" hidden="1">{#N/A,#N/A,FALSE,"Sheet1 (2)"}</definedName>
    <definedName name="JJJ_3" localSheetId="0" hidden="1">{#N/A,#N/A,FALSE,"Sheet1 (2)"}</definedName>
    <definedName name="JJJ_3" hidden="1">{#N/A,#N/A,FALSE,"Sheet1 (2)"}</definedName>
    <definedName name="JJJ_4" localSheetId="0" hidden="1">{#N/A,#N/A,FALSE,"Sheet1 (2)"}</definedName>
    <definedName name="JJJ_4" hidden="1">{#N/A,#N/A,FALSE,"Sheet1 (2)"}</definedName>
    <definedName name="jkdfuıyru" localSheetId="0">'Haziran Gerçekleşen Plan'!jkdfuıyru</definedName>
    <definedName name="jkdfuıyru">[0]!jkdfuıyru</definedName>
    <definedName name="jkdsjhjsncd" localSheetId="0" hidden="1">{#N/A,#N/A,FALSE,"Sheet1 (2)"}</definedName>
    <definedName name="jkdsjhjsncd" hidden="1">{#N/A,#N/A,FALSE,"Sheet1 (2)"}</definedName>
    <definedName name="jkdsjhjsncd_1" localSheetId="0" hidden="1">{#N/A,#N/A,FALSE,"Sheet1 (2)"}</definedName>
    <definedName name="jkdsjhjsncd_1" hidden="1">{#N/A,#N/A,FALSE,"Sheet1 (2)"}</definedName>
    <definedName name="jkdsjhjsncd_1_1" localSheetId="0" hidden="1">{#N/A,#N/A,FALSE,"Sheet1 (2)"}</definedName>
    <definedName name="jkdsjhjsncd_1_1" hidden="1">{#N/A,#N/A,FALSE,"Sheet1 (2)"}</definedName>
    <definedName name="jkdsjhjsncd_1_2" localSheetId="0" hidden="1">{#N/A,#N/A,FALSE,"Sheet1 (2)"}</definedName>
    <definedName name="jkdsjhjsncd_1_2" hidden="1">{#N/A,#N/A,FALSE,"Sheet1 (2)"}</definedName>
    <definedName name="jkdsjhjsncd_1_3" localSheetId="0" hidden="1">{#N/A,#N/A,FALSE,"Sheet1 (2)"}</definedName>
    <definedName name="jkdsjhjsncd_1_3" hidden="1">{#N/A,#N/A,FALSE,"Sheet1 (2)"}</definedName>
    <definedName name="jkdsjhjsncd_2" localSheetId="0" hidden="1">{#N/A,#N/A,FALSE,"Sheet1 (2)"}</definedName>
    <definedName name="jkdsjhjsncd_2" hidden="1">{#N/A,#N/A,FALSE,"Sheet1 (2)"}</definedName>
    <definedName name="jkdsjhjsncd_2_1" localSheetId="0" hidden="1">{#N/A,#N/A,FALSE,"Sheet1 (2)"}</definedName>
    <definedName name="jkdsjhjsncd_2_1" hidden="1">{#N/A,#N/A,FALSE,"Sheet1 (2)"}</definedName>
    <definedName name="jkdsjhjsncd_2_2" localSheetId="0" hidden="1">{#N/A,#N/A,FALSE,"Sheet1 (2)"}</definedName>
    <definedName name="jkdsjhjsncd_2_2" hidden="1">{#N/A,#N/A,FALSE,"Sheet1 (2)"}</definedName>
    <definedName name="jkdsjhjsncd_3" localSheetId="0" hidden="1">{#N/A,#N/A,FALSE,"Sheet1 (2)"}</definedName>
    <definedName name="jkdsjhjsncd_3" hidden="1">{#N/A,#N/A,FALSE,"Sheet1 (2)"}</definedName>
    <definedName name="jkdsjhjsncd_4" localSheetId="0" hidden="1">{#N/A,#N/A,FALSE,"Sheet1 (2)"}</definedName>
    <definedName name="jkdsjhjsncd_4" hidden="1">{#N/A,#N/A,FALSE,"Sheet1 (2)"}</definedName>
    <definedName name="jkhjk">#REF!</definedName>
    <definedName name="JKIO" localSheetId="0" hidden="1">{#N/A,#N/A,FALSE,"Sheet1 (2)"}</definedName>
    <definedName name="JKIO" hidden="1">{#N/A,#N/A,FALSE,"Sheet1 (2)"}</definedName>
    <definedName name="JKIO_1" localSheetId="0" hidden="1">{#N/A,#N/A,FALSE,"Sheet1 (2)"}</definedName>
    <definedName name="JKIO_1" hidden="1">{#N/A,#N/A,FALSE,"Sheet1 (2)"}</definedName>
    <definedName name="JKIO_1_1" localSheetId="0" hidden="1">{#N/A,#N/A,FALSE,"Sheet1 (2)"}</definedName>
    <definedName name="JKIO_1_1" hidden="1">{#N/A,#N/A,FALSE,"Sheet1 (2)"}</definedName>
    <definedName name="JKIO_1_2" localSheetId="0" hidden="1">{#N/A,#N/A,FALSE,"Sheet1 (2)"}</definedName>
    <definedName name="JKIO_1_2" hidden="1">{#N/A,#N/A,FALSE,"Sheet1 (2)"}</definedName>
    <definedName name="JKIO_1_3" localSheetId="0" hidden="1">{#N/A,#N/A,FALSE,"Sheet1 (2)"}</definedName>
    <definedName name="JKIO_1_3" hidden="1">{#N/A,#N/A,FALSE,"Sheet1 (2)"}</definedName>
    <definedName name="JKIO_2" localSheetId="0" hidden="1">{#N/A,#N/A,FALSE,"Sheet1 (2)"}</definedName>
    <definedName name="JKIO_2" hidden="1">{#N/A,#N/A,FALSE,"Sheet1 (2)"}</definedName>
    <definedName name="JKIO_2_1" localSheetId="0" hidden="1">{#N/A,#N/A,FALSE,"Sheet1 (2)"}</definedName>
    <definedName name="JKIO_2_1" hidden="1">{#N/A,#N/A,FALSE,"Sheet1 (2)"}</definedName>
    <definedName name="JKIO_2_2" localSheetId="0" hidden="1">{#N/A,#N/A,FALSE,"Sheet1 (2)"}</definedName>
    <definedName name="JKIO_2_2" hidden="1">{#N/A,#N/A,FALSE,"Sheet1 (2)"}</definedName>
    <definedName name="JKIO_3" localSheetId="0" hidden="1">{#N/A,#N/A,FALSE,"Sheet1 (2)"}</definedName>
    <definedName name="JKIO_3" hidden="1">{#N/A,#N/A,FALSE,"Sheet1 (2)"}</definedName>
    <definedName name="JKIO_4" localSheetId="0" hidden="1">{#N/A,#N/A,FALSE,"Sheet1 (2)"}</definedName>
    <definedName name="JKIO_4" hidden="1">{#N/A,#N/A,FALSE,"Sheet1 (2)"}</definedName>
    <definedName name="jkl" localSheetId="0" hidden="1">{#N/A,#N/A,FALSE,"Sheet1 (2)"}</definedName>
    <definedName name="jkl" hidden="1">{#N/A,#N/A,FALSE,"Sheet1 (2)"}</definedName>
    <definedName name="jkl_1" localSheetId="0" hidden="1">{#N/A,#N/A,FALSE,"Sheet1 (2)"}</definedName>
    <definedName name="jkl_1" hidden="1">{#N/A,#N/A,FALSE,"Sheet1 (2)"}</definedName>
    <definedName name="jkl_1_1" localSheetId="0" hidden="1">{#N/A,#N/A,FALSE,"Sheet1 (2)"}</definedName>
    <definedName name="jkl_1_1" hidden="1">{#N/A,#N/A,FALSE,"Sheet1 (2)"}</definedName>
    <definedName name="jkl_1_2" localSheetId="0" hidden="1">{#N/A,#N/A,FALSE,"Sheet1 (2)"}</definedName>
    <definedName name="jkl_1_2" hidden="1">{#N/A,#N/A,FALSE,"Sheet1 (2)"}</definedName>
    <definedName name="jkl_1_3" localSheetId="0" hidden="1">{#N/A,#N/A,FALSE,"Sheet1 (2)"}</definedName>
    <definedName name="jkl_1_3" hidden="1">{#N/A,#N/A,FALSE,"Sheet1 (2)"}</definedName>
    <definedName name="jkl_2" localSheetId="0" hidden="1">{#N/A,#N/A,FALSE,"Sheet1 (2)"}</definedName>
    <definedName name="jkl_2" hidden="1">{#N/A,#N/A,FALSE,"Sheet1 (2)"}</definedName>
    <definedName name="jkl_2_1" localSheetId="0" hidden="1">{#N/A,#N/A,FALSE,"Sheet1 (2)"}</definedName>
    <definedName name="jkl_2_1" hidden="1">{#N/A,#N/A,FALSE,"Sheet1 (2)"}</definedName>
    <definedName name="jkl_2_2" localSheetId="0" hidden="1">{#N/A,#N/A,FALSE,"Sheet1 (2)"}</definedName>
    <definedName name="jkl_2_2" hidden="1">{#N/A,#N/A,FALSE,"Sheet1 (2)"}</definedName>
    <definedName name="jkl_3" localSheetId="0" hidden="1">{#N/A,#N/A,FALSE,"Sheet1 (2)"}</definedName>
    <definedName name="jkl_3" hidden="1">{#N/A,#N/A,FALSE,"Sheet1 (2)"}</definedName>
    <definedName name="jkl_4" localSheetId="0" hidden="1">{#N/A,#N/A,FALSE,"Sheet1 (2)"}</definedName>
    <definedName name="jkl_4" hidden="1">{#N/A,#N/A,FALSE,"Sheet1 (2)"}</definedName>
    <definedName name="jmkk" localSheetId="0" hidden="1">{"'Jan - March 2000'!$A$5:$J$46"}</definedName>
    <definedName name="jmkk" hidden="1">{"'Jan - March 2000'!$A$5:$J$46"}</definedName>
    <definedName name="jmnhgul" hidden="1">#REF!</definedName>
    <definedName name="jones">'[39]ED Upper Funnel'!#REF!</definedName>
    <definedName name="JOYFM_S1">#REF!</definedName>
    <definedName name="jsdjsdjdkj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sdjsdjdkj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sdjsdjdkj_1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sdjsdjdkj_1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sdjsdjdkj_1_1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sdjsdjdkj_1_1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sdjsdjdkj_1_2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sdjsdjdkj_1_2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sdjsdjdkj_1_3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sdjsdjdkj_1_3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sdjsdjdkj_2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sdjsdjdkj_2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sdjsdjdkj_2_1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sdjsdjdkj_2_1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sdjsdjdkj_2_2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sdjsdjdkj_2_2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sdjsdjdkj_3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sdjsdjdkj_3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sdjsdjdkj_4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sdjsdjdkj_4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şıupıjh">#REF!</definedName>
    <definedName name="juldecson">#REF!</definedName>
    <definedName name="JUO" localSheetId="0" hidden="1">{#N/A,#N/A,FALSE,"Sheet1 (2)"}</definedName>
    <definedName name="JUO" hidden="1">{#N/A,#N/A,FALSE,"Sheet1 (2)"}</definedName>
    <definedName name="JUO_1" localSheetId="0" hidden="1">{#N/A,#N/A,FALSE,"Sheet1 (2)"}</definedName>
    <definedName name="JUO_1" hidden="1">{#N/A,#N/A,FALSE,"Sheet1 (2)"}</definedName>
    <definedName name="JUO_1_1" localSheetId="0" hidden="1">{#N/A,#N/A,FALSE,"Sheet1 (2)"}</definedName>
    <definedName name="JUO_1_1" hidden="1">{#N/A,#N/A,FALSE,"Sheet1 (2)"}</definedName>
    <definedName name="JUO_1_2" localSheetId="0" hidden="1">{#N/A,#N/A,FALSE,"Sheet1 (2)"}</definedName>
    <definedName name="JUO_1_2" hidden="1">{#N/A,#N/A,FALSE,"Sheet1 (2)"}</definedName>
    <definedName name="JUO_1_3" localSheetId="0" hidden="1">{#N/A,#N/A,FALSE,"Sheet1 (2)"}</definedName>
    <definedName name="JUO_1_3" hidden="1">{#N/A,#N/A,FALSE,"Sheet1 (2)"}</definedName>
    <definedName name="JUO_2" localSheetId="0" hidden="1">{#N/A,#N/A,FALSE,"Sheet1 (2)"}</definedName>
    <definedName name="JUO_2" hidden="1">{#N/A,#N/A,FALSE,"Sheet1 (2)"}</definedName>
    <definedName name="JUO_2_1" localSheetId="0" hidden="1">{#N/A,#N/A,FALSE,"Sheet1 (2)"}</definedName>
    <definedName name="JUO_2_1" hidden="1">{#N/A,#N/A,FALSE,"Sheet1 (2)"}</definedName>
    <definedName name="JUO_2_2" localSheetId="0" hidden="1">{#N/A,#N/A,FALSE,"Sheet1 (2)"}</definedName>
    <definedName name="JUO_2_2" hidden="1">{#N/A,#N/A,FALSE,"Sheet1 (2)"}</definedName>
    <definedName name="JUO_3" localSheetId="0" hidden="1">{#N/A,#N/A,FALSE,"Sheet1 (2)"}</definedName>
    <definedName name="JUO_3" hidden="1">{#N/A,#N/A,FALSE,"Sheet1 (2)"}</definedName>
    <definedName name="JUO_4" localSheetId="0" hidden="1">{#N/A,#N/A,FALSE,"Sheet1 (2)"}</definedName>
    <definedName name="JUO_4" hidden="1">{#N/A,#N/A,FALSE,"Sheet1 (2)"}</definedName>
    <definedName name="juy" localSheetId="0" hidden="1">{#N/A,#N/A,FALSE,"Sheet1 (2)"}</definedName>
    <definedName name="juy" hidden="1">{#N/A,#N/A,FALSE,"Sheet1 (2)"}</definedName>
    <definedName name="JXNHXBN" localSheetId="0" hidden="1">{#N/A,#N/A,FALSE,"Sheet1 (2)"}</definedName>
    <definedName name="JXNHXBN" hidden="1">{#N/A,#N/A,FALSE,"Sheet1 (2)"}</definedName>
    <definedName name="JXNHXBN_1" localSheetId="0" hidden="1">{#N/A,#N/A,FALSE,"Sheet1 (2)"}</definedName>
    <definedName name="JXNHXBN_1" hidden="1">{#N/A,#N/A,FALSE,"Sheet1 (2)"}</definedName>
    <definedName name="jyt" localSheetId="0" hidden="1">{#N/A,#N/A,FALSE,"Sheet1 (2)"}</definedName>
    <definedName name="jyt" hidden="1">{#N/A,#N/A,FALSE,"Sheet1 (2)"}</definedName>
    <definedName name="jytf" localSheetId="0" hidden="1">{#N/A,#N/A,FALSE,"Sheet1 (2)"}</definedName>
    <definedName name="jytf" hidden="1">{#N/A,#N/A,FALSE,"Sheet1 (2)"}</definedName>
    <definedName name="k" localSheetId="0" hidden="1">{#N/A,#N/A,FALSE,"Sheet1 (2)"}</definedName>
    <definedName name="k" hidden="1">{#N/A,#N/A,FALSE,"Sheet1 (2)"}</definedName>
    <definedName name="k_1" localSheetId="0" hidden="1">{#N/A,#N/A,FALSE,"Sheet1 (2)"}</definedName>
    <definedName name="k_1" hidden="1">{#N/A,#N/A,FALSE,"Sheet1 (2)"}</definedName>
    <definedName name="k_1_1" localSheetId="0" hidden="1">{#N/A,#N/A,FALSE,"Sheet1 (2)"}</definedName>
    <definedName name="k_1_1" hidden="1">{#N/A,#N/A,FALSE,"Sheet1 (2)"}</definedName>
    <definedName name="k_1_2" localSheetId="0" hidden="1">{#N/A,#N/A,FALSE,"Sheet1 (2)"}</definedName>
    <definedName name="k_1_2" hidden="1">{#N/A,#N/A,FALSE,"Sheet1 (2)"}</definedName>
    <definedName name="k_1_3" localSheetId="0" hidden="1">{#N/A,#N/A,FALSE,"Sheet1 (2)"}</definedName>
    <definedName name="k_1_3" hidden="1">{#N/A,#N/A,FALSE,"Sheet1 (2)"}</definedName>
    <definedName name="k_2" localSheetId="0" hidden="1">{#N/A,#N/A,FALSE,"Sheet1 (2)"}</definedName>
    <definedName name="k_2" hidden="1">{#N/A,#N/A,FALSE,"Sheet1 (2)"}</definedName>
    <definedName name="k_2_1" localSheetId="0" hidden="1">{#N/A,#N/A,FALSE,"Sheet1 (2)"}</definedName>
    <definedName name="k_2_1" hidden="1">{#N/A,#N/A,FALSE,"Sheet1 (2)"}</definedName>
    <definedName name="k_2_2" localSheetId="0" hidden="1">{#N/A,#N/A,FALSE,"Sheet1 (2)"}</definedName>
    <definedName name="k_2_2" hidden="1">{#N/A,#N/A,FALSE,"Sheet1 (2)"}</definedName>
    <definedName name="k_3" localSheetId="0" hidden="1">{#N/A,#N/A,FALSE,"Sheet1 (2)"}</definedName>
    <definedName name="k_3" hidden="1">{#N/A,#N/A,FALSE,"Sheet1 (2)"}</definedName>
    <definedName name="k_4" localSheetId="0" hidden="1">{#N/A,#N/A,FALSE,"Sheet1 (2)"}</definedName>
    <definedName name="k_4" hidden="1">{#N/A,#N/A,FALSE,"Sheet1 (2)"}</definedName>
    <definedName name="K1_">#REF!</definedName>
    <definedName name="K1__2">#REF!</definedName>
    <definedName name="K1__3">#REF!</definedName>
    <definedName name="K1__4">#REF!</definedName>
    <definedName name="K1__5">#REF!</definedName>
    <definedName name="K1__6">#REF!</definedName>
    <definedName name="K1__7">#REF!</definedName>
    <definedName name="K10_">#REF!</definedName>
    <definedName name="K10__2">#REF!</definedName>
    <definedName name="K10__3">#REF!</definedName>
    <definedName name="K10__4">#REF!</definedName>
    <definedName name="K10__5">#REF!</definedName>
    <definedName name="K10__6">#REF!</definedName>
    <definedName name="K10__7">#REF!</definedName>
    <definedName name="K11_">#REF!</definedName>
    <definedName name="K11__2">#REF!</definedName>
    <definedName name="K11__3">#REF!</definedName>
    <definedName name="K11__4">#REF!</definedName>
    <definedName name="K11__5">#REF!</definedName>
    <definedName name="K11__6">#REF!</definedName>
    <definedName name="K11__7">#REF!</definedName>
    <definedName name="K12_">#REF!</definedName>
    <definedName name="K12__2">#REF!</definedName>
    <definedName name="K12__3">#REF!</definedName>
    <definedName name="K12__4">#REF!</definedName>
    <definedName name="K12__5">#REF!</definedName>
    <definedName name="K12__6">#REF!</definedName>
    <definedName name="K12__7">#REF!</definedName>
    <definedName name="K13_">#REF!</definedName>
    <definedName name="K13__2">#REF!</definedName>
    <definedName name="K13__3">#REF!</definedName>
    <definedName name="K13__4">#REF!</definedName>
    <definedName name="K13__5">#REF!</definedName>
    <definedName name="K13__6">#REF!</definedName>
    <definedName name="K13__7">#REF!</definedName>
    <definedName name="K14_">#REF!</definedName>
    <definedName name="K14__2">#REF!</definedName>
    <definedName name="K14__3">#REF!</definedName>
    <definedName name="K14__4">#REF!</definedName>
    <definedName name="K14__5">#REF!</definedName>
    <definedName name="K14__6">#REF!</definedName>
    <definedName name="K14__7">#REF!</definedName>
    <definedName name="K15_">#REF!</definedName>
    <definedName name="K15__2">#REF!</definedName>
    <definedName name="K15__3">#REF!</definedName>
    <definedName name="K15__4">#REF!</definedName>
    <definedName name="K15__5">#REF!</definedName>
    <definedName name="K15__6">#REF!</definedName>
    <definedName name="K15__7">#REF!</definedName>
    <definedName name="K16_">#REF!</definedName>
    <definedName name="K16__2">#REF!</definedName>
    <definedName name="K16__3">#REF!</definedName>
    <definedName name="K16__4">#REF!</definedName>
    <definedName name="K16__5">#REF!</definedName>
    <definedName name="K16__6">#REF!</definedName>
    <definedName name="K16__7">#REF!</definedName>
    <definedName name="K17_">#REF!</definedName>
    <definedName name="K17__2">#REF!</definedName>
    <definedName name="K17__3">#REF!</definedName>
    <definedName name="K17__4">#REF!</definedName>
    <definedName name="K17__5">#REF!</definedName>
    <definedName name="K17__6">#REF!</definedName>
    <definedName name="K17__7">#REF!</definedName>
    <definedName name="K18_">#REF!</definedName>
    <definedName name="K18__2">#REF!</definedName>
    <definedName name="K18__3">#REF!</definedName>
    <definedName name="K18__4">#REF!</definedName>
    <definedName name="K18__5">#REF!</definedName>
    <definedName name="K18__6">#REF!</definedName>
    <definedName name="K18__7">#REF!</definedName>
    <definedName name="K19_">#REF!</definedName>
    <definedName name="K19__2">#REF!</definedName>
    <definedName name="K19__3">#REF!</definedName>
    <definedName name="K19__4">#REF!</definedName>
    <definedName name="K19__5">#REF!</definedName>
    <definedName name="K19__6">#REF!</definedName>
    <definedName name="K19__7">#REF!</definedName>
    <definedName name="K2_">#REF!</definedName>
    <definedName name="K2__2">#REF!</definedName>
    <definedName name="K2__3">#REF!</definedName>
    <definedName name="K2__4">#REF!</definedName>
    <definedName name="K2__5">#REF!</definedName>
    <definedName name="K2__6">#REF!</definedName>
    <definedName name="K2__7">#REF!</definedName>
    <definedName name="K20_">#REF!</definedName>
    <definedName name="K20__2">#REF!</definedName>
    <definedName name="K20__3">#REF!</definedName>
    <definedName name="K20__4">#REF!</definedName>
    <definedName name="K20__5">#REF!</definedName>
    <definedName name="K20__6">#REF!</definedName>
    <definedName name="K20__7">#REF!</definedName>
    <definedName name="K21_">#REF!</definedName>
    <definedName name="K21__2">#REF!</definedName>
    <definedName name="K21__3">#REF!</definedName>
    <definedName name="K21__4">#REF!</definedName>
    <definedName name="K21__5">#REF!</definedName>
    <definedName name="K21__6">#REF!</definedName>
    <definedName name="K21__7">#REF!</definedName>
    <definedName name="K22_">#REF!</definedName>
    <definedName name="K22__2">#REF!</definedName>
    <definedName name="K22__3">#REF!</definedName>
    <definedName name="K22__4">#REF!</definedName>
    <definedName name="K22__5">#REF!</definedName>
    <definedName name="K22__6">#REF!</definedName>
    <definedName name="K22__7">#REF!</definedName>
    <definedName name="K3_">#REF!</definedName>
    <definedName name="K3__2">#REF!</definedName>
    <definedName name="K3__3">#REF!</definedName>
    <definedName name="K3__4">#REF!</definedName>
    <definedName name="K3__5">#REF!</definedName>
    <definedName name="K3__6">#REF!</definedName>
    <definedName name="K3__7">#REF!</definedName>
    <definedName name="K4_">#REF!</definedName>
    <definedName name="K4__2">#REF!</definedName>
    <definedName name="K4__3">#REF!</definedName>
    <definedName name="K4__4">#REF!</definedName>
    <definedName name="K4__5">#REF!</definedName>
    <definedName name="K4__6">#REF!</definedName>
    <definedName name="K4__7">#REF!</definedName>
    <definedName name="K5_">#REF!</definedName>
    <definedName name="K5__2">#REF!</definedName>
    <definedName name="K5__3">#REF!</definedName>
    <definedName name="K5__4">#REF!</definedName>
    <definedName name="K5__5">#REF!</definedName>
    <definedName name="K5__6">#REF!</definedName>
    <definedName name="K5__7">#REF!</definedName>
    <definedName name="K6_">#REF!</definedName>
    <definedName name="K6__2">#REF!</definedName>
    <definedName name="K6__3">#REF!</definedName>
    <definedName name="K6__4">#REF!</definedName>
    <definedName name="K6__5">#REF!</definedName>
    <definedName name="K6__6">#REF!</definedName>
    <definedName name="K6__7">#REF!</definedName>
    <definedName name="K7_">#REF!</definedName>
    <definedName name="K7__2">#REF!</definedName>
    <definedName name="K7__3">#REF!</definedName>
    <definedName name="K7__4">#REF!</definedName>
    <definedName name="K7__5">#REF!</definedName>
    <definedName name="K7__6">#REF!</definedName>
    <definedName name="K7__7">#REF!</definedName>
    <definedName name="K8_">#REF!</definedName>
    <definedName name="K8__2">#REF!</definedName>
    <definedName name="K8__3">#REF!</definedName>
    <definedName name="K8__4">#REF!</definedName>
    <definedName name="K8__5">#REF!</definedName>
    <definedName name="K8__6">#REF!</definedName>
    <definedName name="K8__7">#REF!</definedName>
    <definedName name="K8I" localSheetId="0" hidden="1">{#N/A,#N/A,FALSE,"Sheet1 (2)"}</definedName>
    <definedName name="K8I" hidden="1">{#N/A,#N/A,FALSE,"Sheet1 (2)"}</definedName>
    <definedName name="K9_">#REF!</definedName>
    <definedName name="K9__2">#REF!</definedName>
    <definedName name="K9__3">#REF!</definedName>
    <definedName name="K9__4">#REF!</definedName>
    <definedName name="K9__5">#REF!</definedName>
    <definedName name="K9__6">#REF!</definedName>
    <definedName name="K9__7">#REF!</definedName>
    <definedName name="Kagit_Fiyat_Data">#REF!</definedName>
    <definedName name="KAHRAMANMARAŞ">#REF!</definedName>
    <definedName name="KALAMIŞ_FENER_CADDESİ_IGRIP_SOKAK_KÖŞESİ">#REF!</definedName>
    <definedName name="KAMP">[94]HL!#REF!</definedName>
    <definedName name="KAMPANTALİSTESİ">[95]HL!#REF!</definedName>
    <definedName name="KAMPANYA">#REF!</definedName>
    <definedName name="KAMPANYA_2">#REF!</definedName>
    <definedName name="KAMPANYA_3">#REF!</definedName>
    <definedName name="KAMPANYA_4">#REF!</definedName>
    <definedName name="KAMPANYA_5">#REF!</definedName>
    <definedName name="KAMPANYA_6">#REF!</definedName>
    <definedName name="KAMPANYA_7">#REF!</definedName>
    <definedName name="kampanya_adı">#REF!</definedName>
    <definedName name="kampanya_süresi">#REF!</definedName>
    <definedName name="kampanya_süresi_2">#REF!</definedName>
    <definedName name="kampanya_süresi_3">#REF!</definedName>
    <definedName name="kampanya_süresi_4">#REF!</definedName>
    <definedName name="kampanya_süresi_5">#REF!</definedName>
    <definedName name="kampanya_süresi_6">#REF!</definedName>
    <definedName name="kampanya_süresi_7">#REF!</definedName>
    <definedName name="KAN7VW">#REF!</definedName>
    <definedName name="KANAL">#REF!</definedName>
    <definedName name="KANAL_2">#REF!</definedName>
    <definedName name="KANAL_3">#REF!</definedName>
    <definedName name="KANAL_4">#REF!</definedName>
    <definedName name="KANAL_5">#REF!</definedName>
    <definedName name="KANAL_6">#REF!</definedName>
    <definedName name="KANAL_7">#REF!</definedName>
    <definedName name="KANAL1">#REF!</definedName>
    <definedName name="KANAL7">#REF!</definedName>
    <definedName name="KANAL7_2">#REF!</definedName>
    <definedName name="KANAL7_3">#REF!</definedName>
    <definedName name="KANAL7_4">#REF!</definedName>
    <definedName name="KANAL7_5">#REF!</definedName>
    <definedName name="KANAL7_6">#REF!</definedName>
    <definedName name="KANAL7_7">#REF!</definedName>
    <definedName name="KANALD">#REF!</definedName>
    <definedName name="KANALD_2">#REF!</definedName>
    <definedName name="KANALD_3">#REF!</definedName>
    <definedName name="KANALD_4">#REF!</definedName>
    <definedName name="KANALD_5">#REF!</definedName>
    <definedName name="KANALD_6">#REF!</definedName>
    <definedName name="KANALD_7">#REF!</definedName>
    <definedName name="KANALDKATEGORI">[38]tanimlar!#REF!</definedName>
    <definedName name="KANALE">#REF!</definedName>
    <definedName name="kanallar">#REF!</definedName>
    <definedName name="KAND" localSheetId="0">[96]Kategoriler!$A$95:$B$138</definedName>
    <definedName name="KAND">[97]Kategoriler!$A$95:$B$138</definedName>
    <definedName name="KANDYENI">#REF!</definedName>
    <definedName name="KANDYENI_2">#REF!</definedName>
    <definedName name="KANDYENI_3">#REF!</definedName>
    <definedName name="KANDYENI_4">#REF!</definedName>
    <definedName name="KANDYENI_5">#REF!</definedName>
    <definedName name="KANDYENI_6">#REF!</definedName>
    <definedName name="KANDYENI_7">#REF!</definedName>
    <definedName name="KANE">#REF!</definedName>
    <definedName name="KANE_2">#REF!</definedName>
    <definedName name="KANE_3">#REF!</definedName>
    <definedName name="KANE_4">#REF!</definedName>
    <definedName name="KANE_5">#REF!</definedName>
    <definedName name="KANE_6">#REF!</definedName>
    <definedName name="KANE_7">#REF!</definedName>
    <definedName name="KAPİTAL">#REF!</definedName>
    <definedName name="KARABÜK">#REF!</definedName>
    <definedName name="KARAMAN">#REF!</definedName>
    <definedName name="KARAR">#REF!</definedName>
    <definedName name="kariyernet">#REF!</definedName>
    <definedName name="KARNAVALMEDYA">#REF!</definedName>
    <definedName name="KARS">#REF!</definedName>
    <definedName name="KASIMTV">#REF!</definedName>
    <definedName name="KASTAMONU">#REF!</definedName>
    <definedName name="KAT">#REF!</definedName>
    <definedName name="KATANER">#REF!</definedName>
    <definedName name="KATE">#REF!</definedName>
    <definedName name="kateg">#REF!</definedName>
    <definedName name="KATEGORI">#REF!</definedName>
    <definedName name="KATEGORİ">#REF!</definedName>
    <definedName name="KATEGORI_2">#REF!</definedName>
    <definedName name="KATEGORI_3">#REF!</definedName>
    <definedName name="KATEGORI_4">#REF!</definedName>
    <definedName name="KATEGORI_5">#REF!</definedName>
    <definedName name="KATEGORI_6">#REF!</definedName>
    <definedName name="KATEGORI_7">#REF!</definedName>
    <definedName name="Kategori_Kriter">[98]Köprü!$E$1:$I$1</definedName>
    <definedName name="KATLIST">#REF!</definedName>
    <definedName name="KATLIST_2">#REF!</definedName>
    <definedName name="KATLIST_3">#REF!</definedName>
    <definedName name="KATLIST_4">#REF!</definedName>
    <definedName name="KATLIST_5">#REF!</definedName>
    <definedName name="KATLIST_6">#REF!</definedName>
    <definedName name="KATLIST_7">#REF!</definedName>
    <definedName name="KAYSERİ">#REF!</definedName>
    <definedName name="KD" localSheetId="0">[36]Programlar!$A$130:$B$235</definedName>
    <definedName name="KD">[82]Programlar!$A$130:$B$235</definedName>
    <definedName name="KDİJİTAL">#REF!</definedName>
    <definedName name="KDIND">#REF!</definedName>
    <definedName name="kdkd" localSheetId="0" hidden="1">{#N/A,#N/A,FALSE,"Sheet1 (2)"}</definedName>
    <definedName name="kdkd" hidden="1">{#N/A,#N/A,FALSE,"Sheet1 (2)"}</definedName>
    <definedName name="kdkd_1" localSheetId="0" hidden="1">{#N/A,#N/A,FALSE,"Sheet1 (2)"}</definedName>
    <definedName name="kdkd_1" hidden="1">{#N/A,#N/A,FALSE,"Sheet1 (2)"}</definedName>
    <definedName name="kdkd_1_1" localSheetId="0" hidden="1">{#N/A,#N/A,FALSE,"Sheet1 (2)"}</definedName>
    <definedName name="kdkd_1_1" hidden="1">{#N/A,#N/A,FALSE,"Sheet1 (2)"}</definedName>
    <definedName name="kdkd_1_2" localSheetId="0" hidden="1">{#N/A,#N/A,FALSE,"Sheet1 (2)"}</definedName>
    <definedName name="kdkd_1_2" hidden="1">{#N/A,#N/A,FALSE,"Sheet1 (2)"}</definedName>
    <definedName name="kdkd_1_3" localSheetId="0" hidden="1">{#N/A,#N/A,FALSE,"Sheet1 (2)"}</definedName>
    <definedName name="kdkd_1_3" hidden="1">{#N/A,#N/A,FALSE,"Sheet1 (2)"}</definedName>
    <definedName name="kdkd_2" localSheetId="0" hidden="1">{#N/A,#N/A,FALSE,"Sheet1 (2)"}</definedName>
    <definedName name="kdkd_2" hidden="1">{#N/A,#N/A,FALSE,"Sheet1 (2)"}</definedName>
    <definedName name="kdkd_2_1" localSheetId="0" hidden="1">{#N/A,#N/A,FALSE,"Sheet1 (2)"}</definedName>
    <definedName name="kdkd_2_1" hidden="1">{#N/A,#N/A,FALSE,"Sheet1 (2)"}</definedName>
    <definedName name="kdkd_2_2" localSheetId="0" hidden="1">{#N/A,#N/A,FALSE,"Sheet1 (2)"}</definedName>
    <definedName name="kdkd_2_2" hidden="1">{#N/A,#N/A,FALSE,"Sheet1 (2)"}</definedName>
    <definedName name="kdkd_3" localSheetId="0" hidden="1">{#N/A,#N/A,FALSE,"Sheet1 (2)"}</definedName>
    <definedName name="kdkd_3" hidden="1">{#N/A,#N/A,FALSE,"Sheet1 (2)"}</definedName>
    <definedName name="kdkd_4" localSheetId="0" hidden="1">{#N/A,#N/A,FALSE,"Sheet1 (2)"}</definedName>
    <definedName name="kdkd_4" hidden="1">{#N/A,#N/A,FALSE,"Sheet1 (2)"}</definedName>
    <definedName name="KDVW">#REF!</definedName>
    <definedName name="ke">#REF!</definedName>
    <definedName name="kenan" localSheetId="0" hidden="1">{#N/A,#N/A,FALSE,"Sheet1 (2)"}</definedName>
    <definedName name="kenan" hidden="1">{#N/A,#N/A,FALSE,"Sheet1 (2)"}</definedName>
    <definedName name="kenan_1" localSheetId="0" hidden="1">{#N/A,#N/A,FALSE,"Sheet1 (2)"}</definedName>
    <definedName name="kenan_1" hidden="1">{#N/A,#N/A,FALSE,"Sheet1 (2)"}</definedName>
    <definedName name="kenan_1_1" localSheetId="0" hidden="1">{#N/A,#N/A,FALSE,"Sheet1 (2)"}</definedName>
    <definedName name="kenan_1_1" hidden="1">{#N/A,#N/A,FALSE,"Sheet1 (2)"}</definedName>
    <definedName name="kenan_1_2" localSheetId="0" hidden="1">{#N/A,#N/A,FALSE,"Sheet1 (2)"}</definedName>
    <definedName name="kenan_1_2" hidden="1">{#N/A,#N/A,FALSE,"Sheet1 (2)"}</definedName>
    <definedName name="kenan_1_3" localSheetId="0" hidden="1">{#N/A,#N/A,FALSE,"Sheet1 (2)"}</definedName>
    <definedName name="kenan_1_3" hidden="1">{#N/A,#N/A,FALSE,"Sheet1 (2)"}</definedName>
    <definedName name="kenan_2" localSheetId="0" hidden="1">{#N/A,#N/A,FALSE,"Sheet1 (2)"}</definedName>
    <definedName name="kenan_2" hidden="1">{#N/A,#N/A,FALSE,"Sheet1 (2)"}</definedName>
    <definedName name="kenan_2_1" localSheetId="0" hidden="1">{#N/A,#N/A,FALSE,"Sheet1 (2)"}</definedName>
    <definedName name="kenan_2_1" hidden="1">{#N/A,#N/A,FALSE,"Sheet1 (2)"}</definedName>
    <definedName name="kenan_2_2" localSheetId="0" hidden="1">{#N/A,#N/A,FALSE,"Sheet1 (2)"}</definedName>
    <definedName name="kenan_2_2" hidden="1">{#N/A,#N/A,FALSE,"Sheet1 (2)"}</definedName>
    <definedName name="kenan_3" localSheetId="0" hidden="1">{#N/A,#N/A,FALSE,"Sheet1 (2)"}</definedName>
    <definedName name="kenan_3" hidden="1">{#N/A,#N/A,FALSE,"Sheet1 (2)"}</definedName>
    <definedName name="kenan_4" localSheetId="0" hidden="1">{#N/A,#N/A,FALSE,"Sheet1 (2)"}</definedName>
    <definedName name="kenan_4" hidden="1">{#N/A,#N/A,FALSE,"Sheet1 (2)"}</definedName>
    <definedName name="KESKİNKALEM">#REF!</definedName>
    <definedName name="Key" hidden="1">#REF!</definedName>
    <definedName name="kgff" localSheetId="0" hidden="1">{#N/A,#N/A,FALSE,"Sheet1 (2)"}</definedName>
    <definedName name="kgff" hidden="1">{#N/A,#N/A,FALSE,"Sheet1 (2)"}</definedName>
    <definedName name="KH" localSheetId="0" hidden="1">{#N/A,#N/A,FALSE,"Sheet1 (2)"}</definedName>
    <definedName name="KH" hidden="1">{#N/A,#N/A,FALSE,"Sheet1 (2)"}</definedName>
    <definedName name="khjklşhl" localSheetId="0" hidden="1">{#N/A,#N/A,FALSE,"Sheet1 (2)"}</definedName>
    <definedName name="khjklşhl" hidden="1">{#N/A,#N/A,FALSE,"Sheet1 (2)"}</definedName>
    <definedName name="khjklşhl_1" localSheetId="0" hidden="1">{#N/A,#N/A,FALSE,"Sheet1 (2)"}</definedName>
    <definedName name="khjklşhl_1" hidden="1">{#N/A,#N/A,FALSE,"Sheet1 (2)"}</definedName>
    <definedName name="khjklşhl_1_1" localSheetId="0" hidden="1">{#N/A,#N/A,FALSE,"Sheet1 (2)"}</definedName>
    <definedName name="khjklşhl_1_1" hidden="1">{#N/A,#N/A,FALSE,"Sheet1 (2)"}</definedName>
    <definedName name="khjklşhl_1_2" localSheetId="0" hidden="1">{#N/A,#N/A,FALSE,"Sheet1 (2)"}</definedName>
    <definedName name="khjklşhl_1_2" hidden="1">{#N/A,#N/A,FALSE,"Sheet1 (2)"}</definedName>
    <definedName name="khjklşhl_1_3" localSheetId="0" hidden="1">{#N/A,#N/A,FALSE,"Sheet1 (2)"}</definedName>
    <definedName name="khjklşhl_1_3" hidden="1">{#N/A,#N/A,FALSE,"Sheet1 (2)"}</definedName>
    <definedName name="khjklşhl_2" localSheetId="0" hidden="1">{#N/A,#N/A,FALSE,"Sheet1 (2)"}</definedName>
    <definedName name="khjklşhl_2" hidden="1">{#N/A,#N/A,FALSE,"Sheet1 (2)"}</definedName>
    <definedName name="khjklşhl_2_1" localSheetId="0" hidden="1">{#N/A,#N/A,FALSE,"Sheet1 (2)"}</definedName>
    <definedName name="khjklşhl_2_1" hidden="1">{#N/A,#N/A,FALSE,"Sheet1 (2)"}</definedName>
    <definedName name="khjklşhl_2_2" localSheetId="0" hidden="1">{#N/A,#N/A,FALSE,"Sheet1 (2)"}</definedName>
    <definedName name="khjklşhl_2_2" hidden="1">{#N/A,#N/A,FALSE,"Sheet1 (2)"}</definedName>
    <definedName name="khjklşhl_3" localSheetId="0" hidden="1">{#N/A,#N/A,FALSE,"Sheet1 (2)"}</definedName>
    <definedName name="khjklşhl_3" hidden="1">{#N/A,#N/A,FALSE,"Sheet1 (2)"}</definedName>
    <definedName name="khjklşhl_4" localSheetId="0" hidden="1">{#N/A,#N/A,FALSE,"Sheet1 (2)"}</definedName>
    <definedName name="khjklşhl_4" hidden="1">{#N/A,#N/A,FALSE,"Sheet1 (2)"}</definedName>
    <definedName name="KHK">#REF!</definedName>
    <definedName name="KİLİS">#REF!</definedName>
    <definedName name="KiloRateIndex">1000</definedName>
    <definedName name="KIRIKKALE">#REF!</definedName>
    <definedName name="KIRKLARELİ">#REF!</definedName>
    <definedName name="KIRŞEHİR">#REF!</definedName>
    <definedName name="KISSTV">#REF!</definedName>
    <definedName name="KISSTV_2">#REF!</definedName>
    <definedName name="KISSTV_3">#REF!</definedName>
    <definedName name="KISSTV_4">#REF!</definedName>
    <definedName name="KISSTV_5">#REF!</definedName>
    <definedName name="KISSTV_6">#REF!</definedName>
    <definedName name="KISSTV_7">#REF!</definedName>
    <definedName name="kj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kj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kj_1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kj_1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kj_1_1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kj_1_1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kj_1_2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kj_1_2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kj_1_3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kj_1_3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kj_2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kj_2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kj_2_1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kj_2_1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kj_2_2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kj_2_2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kj_3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kj_3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kj_4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kj_4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kjdasf" localSheetId="0">'Haziran Gerçekleşen Plan'!kjdasf</definedName>
    <definedName name="kjdasf">[0]!kjdasf</definedName>
    <definedName name="KJH" localSheetId="0" hidden="1">{#N/A,#N/A,FALSE,"Sheet1 (2)"}</definedName>
    <definedName name="KJH" hidden="1">{#N/A,#N/A,FALSE,"Sheet1 (2)"}</definedName>
    <definedName name="KJH_1" localSheetId="0" hidden="1">{#N/A,#N/A,FALSE,"Sheet1 (2)"}</definedName>
    <definedName name="KJH_1" hidden="1">{#N/A,#N/A,FALSE,"Sheet1 (2)"}</definedName>
    <definedName name="KJH_1_1" localSheetId="0" hidden="1">{#N/A,#N/A,FALSE,"Sheet1 (2)"}</definedName>
    <definedName name="KJH_1_1" hidden="1">{#N/A,#N/A,FALSE,"Sheet1 (2)"}</definedName>
    <definedName name="KJH_1_2" localSheetId="0" hidden="1">{#N/A,#N/A,FALSE,"Sheet1 (2)"}</definedName>
    <definedName name="KJH_1_2" hidden="1">{#N/A,#N/A,FALSE,"Sheet1 (2)"}</definedName>
    <definedName name="KJH_1_3" localSheetId="0" hidden="1">{#N/A,#N/A,FALSE,"Sheet1 (2)"}</definedName>
    <definedName name="KJH_1_3" hidden="1">{#N/A,#N/A,FALSE,"Sheet1 (2)"}</definedName>
    <definedName name="KJH_2" localSheetId="0" hidden="1">{#N/A,#N/A,FALSE,"Sheet1 (2)"}</definedName>
    <definedName name="KJH_2" hidden="1">{#N/A,#N/A,FALSE,"Sheet1 (2)"}</definedName>
    <definedName name="KJH_2_1" localSheetId="0" hidden="1">{#N/A,#N/A,FALSE,"Sheet1 (2)"}</definedName>
    <definedName name="KJH_2_1" hidden="1">{#N/A,#N/A,FALSE,"Sheet1 (2)"}</definedName>
    <definedName name="KJH_2_2" localSheetId="0" hidden="1">{#N/A,#N/A,FALSE,"Sheet1 (2)"}</definedName>
    <definedName name="KJH_2_2" hidden="1">{#N/A,#N/A,FALSE,"Sheet1 (2)"}</definedName>
    <definedName name="KJH_3" localSheetId="0" hidden="1">{#N/A,#N/A,FALSE,"Sheet1 (2)"}</definedName>
    <definedName name="KJH_3" hidden="1">{#N/A,#N/A,FALSE,"Sheet1 (2)"}</definedName>
    <definedName name="KJH_4" localSheetId="0" hidden="1">{#N/A,#N/A,FALSE,"Sheet1 (2)"}</definedName>
    <definedName name="KJH_4" hidden="1">{#N/A,#N/A,FALSE,"Sheet1 (2)"}</definedName>
    <definedName name="KJK" localSheetId="0" hidden="1">{#N/A,#N/A,FALSE,"Sheet1 (2)"}</definedName>
    <definedName name="KJK" hidden="1">{#N/A,#N/A,FALSE,"Sheet1 (2)"}</definedName>
    <definedName name="kjkjrj" localSheetId="0" hidden="1">{#N/A,#N/A,FALSE,"Sheet1 (2)"}</definedName>
    <definedName name="kjkjrj" hidden="1">{#N/A,#N/A,FALSE,"Sheet1 (2)"}</definedName>
    <definedName name="kk" localSheetId="0" hidden="1">{#N/A,#N/A,FALSE,"Sheet1 (2)"}</definedName>
    <definedName name="kk" hidden="1">{#N/A,#N/A,FALSE,"Sheet1 (2)"}</definedName>
    <definedName name="kk_1" localSheetId="0" hidden="1">{#N/A,#N/A,FALSE,"Sheet1 (2)"}</definedName>
    <definedName name="kk_1" hidden="1">{#N/A,#N/A,FALSE,"Sheet1 (2)"}</definedName>
    <definedName name="kk_1_1" localSheetId="0" hidden="1">{#N/A,#N/A,FALSE,"Sheet1 (2)"}</definedName>
    <definedName name="kk_1_1" hidden="1">{#N/A,#N/A,FALSE,"Sheet1 (2)"}</definedName>
    <definedName name="kk_1_2" localSheetId="0" hidden="1">{#N/A,#N/A,FALSE,"Sheet1 (2)"}</definedName>
    <definedName name="kk_1_2" hidden="1">{#N/A,#N/A,FALSE,"Sheet1 (2)"}</definedName>
    <definedName name="kk_1_3" localSheetId="0" hidden="1">{#N/A,#N/A,FALSE,"Sheet1 (2)"}</definedName>
    <definedName name="kk_1_3" hidden="1">{#N/A,#N/A,FALSE,"Sheet1 (2)"}</definedName>
    <definedName name="kk_2" localSheetId="0" hidden="1">{#N/A,#N/A,FALSE,"Sheet1 (2)"}</definedName>
    <definedName name="kk_2" hidden="1">{#N/A,#N/A,FALSE,"Sheet1 (2)"}</definedName>
    <definedName name="kk_2_1" localSheetId="0" hidden="1">{#N/A,#N/A,FALSE,"Sheet1 (2)"}</definedName>
    <definedName name="kk_2_1" hidden="1">{#N/A,#N/A,FALSE,"Sheet1 (2)"}</definedName>
    <definedName name="kk_2_2" localSheetId="0" hidden="1">{#N/A,#N/A,FALSE,"Sheet1 (2)"}</definedName>
    <definedName name="kk_2_2" hidden="1">{#N/A,#N/A,FALSE,"Sheet1 (2)"}</definedName>
    <definedName name="kk_3" localSheetId="0" hidden="1">{#N/A,#N/A,FALSE,"Sheet1 (2)"}</definedName>
    <definedName name="kk_3" hidden="1">{#N/A,#N/A,FALSE,"Sheet1 (2)"}</definedName>
    <definedName name="kk_4" localSheetId="0" hidden="1">{#N/A,#N/A,FALSE,"Sheet1 (2)"}</definedName>
    <definedName name="kk_4" hidden="1">{#N/A,#N/A,FALSE,"Sheet1 (2)"}</definedName>
    <definedName name="kkk" localSheetId="0">'Haziran Gerçekleşen Plan'!kkk</definedName>
    <definedName name="kkk">[0]!kkk</definedName>
    <definedName name="KKKK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KKKK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KKL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KKL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kl" localSheetId="0" hidden="1">{#N/A,#N/A,FALSE,"MALİTABLOLAR";#N/A,#N/A,FALSE,"PERS MSRMRZ";#N/A,#N/A,FALSE,"MALİTABLOLAR";#N/A,#N/A,FALSE,"İskonto"}</definedName>
    <definedName name="kl" hidden="1">{#N/A,#N/A,FALSE,"MALİTABLOLAR";#N/A,#N/A,FALSE,"PERS MSRMRZ";#N/A,#N/A,FALSE,"MALİTABLOLAR";#N/A,#N/A,FALSE,"İskonto"}</definedName>
    <definedName name="KLER">[38]tanimlar!#REF!</definedName>
    <definedName name="kljkl" localSheetId="0" hidden="1">{#N/A,#N/A,FALSE,"Sheet1 (2)"}</definedName>
    <definedName name="kljkl" hidden="1">{#N/A,#N/A,FALSE,"Sheet1 (2)"}</definedName>
    <definedName name="kljkl_1" localSheetId="0" hidden="1">{#N/A,#N/A,FALSE,"Sheet1 (2)"}</definedName>
    <definedName name="kljkl_1" hidden="1">{#N/A,#N/A,FALSE,"Sheet1 (2)"}</definedName>
    <definedName name="kljkl_1_1" localSheetId="0" hidden="1">{#N/A,#N/A,FALSE,"Sheet1 (2)"}</definedName>
    <definedName name="kljkl_1_1" hidden="1">{#N/A,#N/A,FALSE,"Sheet1 (2)"}</definedName>
    <definedName name="kljkl_1_2" localSheetId="0" hidden="1">{#N/A,#N/A,FALSE,"Sheet1 (2)"}</definedName>
    <definedName name="kljkl_1_2" hidden="1">{#N/A,#N/A,FALSE,"Sheet1 (2)"}</definedName>
    <definedName name="kljkl_1_3" localSheetId="0" hidden="1">{#N/A,#N/A,FALSE,"Sheet1 (2)"}</definedName>
    <definedName name="kljkl_1_3" hidden="1">{#N/A,#N/A,FALSE,"Sheet1 (2)"}</definedName>
    <definedName name="kljkl_2" localSheetId="0" hidden="1">{#N/A,#N/A,FALSE,"Sheet1 (2)"}</definedName>
    <definedName name="kljkl_2" hidden="1">{#N/A,#N/A,FALSE,"Sheet1 (2)"}</definedName>
    <definedName name="kljkl_2_1" localSheetId="0" hidden="1">{#N/A,#N/A,FALSE,"Sheet1 (2)"}</definedName>
    <definedName name="kljkl_2_1" hidden="1">{#N/A,#N/A,FALSE,"Sheet1 (2)"}</definedName>
    <definedName name="kljkl_2_2" localSheetId="0" hidden="1">{#N/A,#N/A,FALSE,"Sheet1 (2)"}</definedName>
    <definedName name="kljkl_2_2" hidden="1">{#N/A,#N/A,FALSE,"Sheet1 (2)"}</definedName>
    <definedName name="kljkl_3" localSheetId="0" hidden="1">{#N/A,#N/A,FALSE,"Sheet1 (2)"}</definedName>
    <definedName name="kljkl_3" hidden="1">{#N/A,#N/A,FALSE,"Sheet1 (2)"}</definedName>
    <definedName name="kljkl_4" localSheetId="0" hidden="1">{#N/A,#N/A,FALSE,"Sheet1 (2)"}</definedName>
    <definedName name="kljkl_4" hidden="1">{#N/A,#N/A,FALSE,"Sheet1 (2)"}</definedName>
    <definedName name="KLKHJHJHJK" localSheetId="0" hidden="1">{#N/A,#N/A,FALSE,"Sheet1 (2)"}</definedName>
    <definedName name="KLKHJHJHJK" hidden="1">{#N/A,#N/A,FALSE,"Sheet1 (2)"}</definedName>
    <definedName name="KLŞŞ" localSheetId="0" hidden="1">{#N/A,#N/A,FALSE,"Sheet1 (2)"}</definedName>
    <definedName name="KLŞŞ" hidden="1">{#N/A,#N/A,FALSE,"Sheet1 (2)"}</definedName>
    <definedName name="KN6_BRÜT">#REF!</definedName>
    <definedName name="KN6_NET">#REF!</definedName>
    <definedName name="KND_BRÜT">#REF!</definedName>
    <definedName name="KND_NET">#REF!</definedName>
    <definedName name="KND2_BRÜT">#REF!</definedName>
    <definedName name="KND2_NET">#REF!</definedName>
    <definedName name="KÖ1">#REF!</definedName>
    <definedName name="KÖ1_2">#REF!</definedName>
    <definedName name="KÖ1_3">#REF!</definedName>
    <definedName name="KÖ1_4">#REF!</definedName>
    <definedName name="KÖ1_5">#REF!</definedName>
    <definedName name="KÖ1_6">#REF!</definedName>
    <definedName name="KÖ1_7">#REF!</definedName>
    <definedName name="KÖ10">#REF!</definedName>
    <definedName name="KÖ10_2">#REF!</definedName>
    <definedName name="KÖ10_3">#REF!</definedName>
    <definedName name="KÖ10_4">#REF!</definedName>
    <definedName name="KÖ10_5">#REF!</definedName>
    <definedName name="KÖ10_6">#REF!</definedName>
    <definedName name="KÖ10_7">#REF!</definedName>
    <definedName name="KÖ11">#REF!</definedName>
    <definedName name="KÖ11_2">#REF!</definedName>
    <definedName name="KÖ11_3">#REF!</definedName>
    <definedName name="KÖ11_4">#REF!</definedName>
    <definedName name="KÖ11_5">#REF!</definedName>
    <definedName name="KÖ11_6">#REF!</definedName>
    <definedName name="KÖ11_7">#REF!</definedName>
    <definedName name="KÖ12">#REF!</definedName>
    <definedName name="KÖ12_2">#REF!</definedName>
    <definedName name="KÖ12_3">#REF!</definedName>
    <definedName name="KÖ12_4">#REF!</definedName>
    <definedName name="KÖ12_5">#REF!</definedName>
    <definedName name="KÖ12_6">#REF!</definedName>
    <definedName name="KÖ12_7">#REF!</definedName>
    <definedName name="KÖ13">#REF!</definedName>
    <definedName name="KÖ13_2">#REF!</definedName>
    <definedName name="KÖ13_3">#REF!</definedName>
    <definedName name="KÖ13_4">#REF!</definedName>
    <definedName name="KÖ13_5">#REF!</definedName>
    <definedName name="KÖ13_6">#REF!</definedName>
    <definedName name="KÖ13_7">#REF!</definedName>
    <definedName name="KÖ14">#REF!</definedName>
    <definedName name="KÖ14_2">#REF!</definedName>
    <definedName name="KÖ14_3">#REF!</definedName>
    <definedName name="KÖ14_4">#REF!</definedName>
    <definedName name="KÖ14_5">#REF!</definedName>
    <definedName name="KÖ14_6">#REF!</definedName>
    <definedName name="KÖ14_7">#REF!</definedName>
    <definedName name="KÖ15">#REF!</definedName>
    <definedName name="KÖ15_2">#REF!</definedName>
    <definedName name="KÖ15_3">#REF!</definedName>
    <definedName name="KÖ15_4">#REF!</definedName>
    <definedName name="KÖ15_5">#REF!</definedName>
    <definedName name="KÖ15_6">#REF!</definedName>
    <definedName name="KÖ15_7">#REF!</definedName>
    <definedName name="KÖ16">#REF!</definedName>
    <definedName name="KÖ16_2">#REF!</definedName>
    <definedName name="KÖ16_3">#REF!</definedName>
    <definedName name="KÖ16_4">#REF!</definedName>
    <definedName name="KÖ16_5">#REF!</definedName>
    <definedName name="KÖ16_6">#REF!</definedName>
    <definedName name="KÖ16_7">#REF!</definedName>
    <definedName name="KÖ17">#REF!</definedName>
    <definedName name="KÖ17_2">#REF!</definedName>
    <definedName name="KÖ17_3">#REF!</definedName>
    <definedName name="KÖ17_4">#REF!</definedName>
    <definedName name="KÖ17_5">#REF!</definedName>
    <definedName name="KÖ17_6">#REF!</definedName>
    <definedName name="KÖ17_7">#REF!</definedName>
    <definedName name="KÖ18">#REF!</definedName>
    <definedName name="KÖ18_2">#REF!</definedName>
    <definedName name="KÖ18_3">#REF!</definedName>
    <definedName name="KÖ18_4">#REF!</definedName>
    <definedName name="KÖ18_5">#REF!</definedName>
    <definedName name="KÖ18_6">#REF!</definedName>
    <definedName name="KÖ18_7">#REF!</definedName>
    <definedName name="KÖ19">#REF!</definedName>
    <definedName name="KÖ19_2">#REF!</definedName>
    <definedName name="KÖ19_3">#REF!</definedName>
    <definedName name="KÖ19_4">#REF!</definedName>
    <definedName name="KÖ19_5">#REF!</definedName>
    <definedName name="KÖ19_6">#REF!</definedName>
    <definedName name="KÖ19_7">#REF!</definedName>
    <definedName name="KÖ2">#REF!</definedName>
    <definedName name="KÖ2_2">#REF!</definedName>
    <definedName name="KÖ2_3">#REF!</definedName>
    <definedName name="KÖ2_4">#REF!</definedName>
    <definedName name="KÖ2_5">#REF!</definedName>
    <definedName name="KÖ2_6">#REF!</definedName>
    <definedName name="KÖ2_7">#REF!</definedName>
    <definedName name="KÖ20">#REF!</definedName>
    <definedName name="KÖ20_2">#REF!</definedName>
    <definedName name="KÖ20_3">#REF!</definedName>
    <definedName name="KÖ20_4">#REF!</definedName>
    <definedName name="KÖ20_5">#REF!</definedName>
    <definedName name="KÖ20_6">#REF!</definedName>
    <definedName name="KÖ20_7">#REF!</definedName>
    <definedName name="KÖ21">#REF!</definedName>
    <definedName name="KÖ21_2">#REF!</definedName>
    <definedName name="KÖ21_3">#REF!</definedName>
    <definedName name="KÖ21_4">#REF!</definedName>
    <definedName name="KÖ21_5">#REF!</definedName>
    <definedName name="KÖ21_6">#REF!</definedName>
    <definedName name="KÖ21_7">#REF!</definedName>
    <definedName name="KÖ22">#REF!</definedName>
    <definedName name="KÖ22_2">#REF!</definedName>
    <definedName name="KÖ22_3">#REF!</definedName>
    <definedName name="KÖ22_4">#REF!</definedName>
    <definedName name="KÖ22_5">#REF!</definedName>
    <definedName name="KÖ22_6">#REF!</definedName>
    <definedName name="KÖ22_7">#REF!</definedName>
    <definedName name="KÖ3">#REF!</definedName>
    <definedName name="KÖ3_2">#REF!</definedName>
    <definedName name="KÖ3_3">#REF!</definedName>
    <definedName name="KÖ3_4">#REF!</definedName>
    <definedName name="KÖ3_5">#REF!</definedName>
    <definedName name="KÖ3_6">#REF!</definedName>
    <definedName name="KÖ3_7">#REF!</definedName>
    <definedName name="KÖ4">#REF!</definedName>
    <definedName name="KÖ4_2">#REF!</definedName>
    <definedName name="KÖ4_3">#REF!</definedName>
    <definedName name="KÖ4_4">#REF!</definedName>
    <definedName name="KÖ4_5">#REF!</definedName>
    <definedName name="KÖ4_6">#REF!</definedName>
    <definedName name="KÖ4_7">#REF!</definedName>
    <definedName name="KÖ5">#REF!</definedName>
    <definedName name="KÖ5_2">#REF!</definedName>
    <definedName name="KÖ5_3">#REF!</definedName>
    <definedName name="KÖ5_4">#REF!</definedName>
    <definedName name="KÖ5_5">#REF!</definedName>
    <definedName name="KÖ5_6">#REF!</definedName>
    <definedName name="KÖ5_7">#REF!</definedName>
    <definedName name="KÖ6">#REF!</definedName>
    <definedName name="KÖ6_2">#REF!</definedName>
    <definedName name="KÖ6_3">#REF!</definedName>
    <definedName name="KÖ6_4">#REF!</definedName>
    <definedName name="KÖ6_5">#REF!</definedName>
    <definedName name="KÖ6_6">#REF!</definedName>
    <definedName name="KÖ6_7">#REF!</definedName>
    <definedName name="KÖ7">#REF!</definedName>
    <definedName name="KÖ7_2">#REF!</definedName>
    <definedName name="KÖ7_3">#REF!</definedName>
    <definedName name="KÖ7_4">#REF!</definedName>
    <definedName name="KÖ7_5">#REF!</definedName>
    <definedName name="KÖ7_6">#REF!</definedName>
    <definedName name="KÖ7_7">#REF!</definedName>
    <definedName name="KÖ8">#REF!</definedName>
    <definedName name="KÖ8_2">#REF!</definedName>
    <definedName name="KÖ8_3">#REF!</definedName>
    <definedName name="KÖ8_4">#REF!</definedName>
    <definedName name="KÖ8_5">#REF!</definedName>
    <definedName name="KÖ8_6">#REF!</definedName>
    <definedName name="KÖ8_7">#REF!</definedName>
    <definedName name="KÖ9">#REF!</definedName>
    <definedName name="KÖ9_2">#REF!</definedName>
    <definedName name="KÖ9_3">#REF!</definedName>
    <definedName name="KÖ9_4">#REF!</definedName>
    <definedName name="KÖ9_5">#REF!</definedName>
    <definedName name="KÖ9_6">#REF!</definedName>
    <definedName name="KÖ9_7">#REF!</definedName>
    <definedName name="kobetwoflow">#REF!</definedName>
    <definedName name="KOCAELİ">#REF!</definedName>
    <definedName name="KOD">#REF!</definedName>
    <definedName name="koj">#REF!</definedName>
    <definedName name="kola" localSheetId="0" hidden="1">{#N/A,#N/A,FALSE,"Sheet1 (2)"}</definedName>
    <definedName name="kola" hidden="1">{#N/A,#N/A,FALSE,"Sheet1 (2)"}</definedName>
    <definedName name="kola_1" localSheetId="0" hidden="1">{#N/A,#N/A,FALSE,"Sheet1 (2)"}</definedName>
    <definedName name="kola_1" hidden="1">{#N/A,#N/A,FALSE,"Sheet1 (2)"}</definedName>
    <definedName name="kola_1_1" localSheetId="0" hidden="1">{#N/A,#N/A,FALSE,"Sheet1 (2)"}</definedName>
    <definedName name="kola_1_1" hidden="1">{#N/A,#N/A,FALSE,"Sheet1 (2)"}</definedName>
    <definedName name="kola_1_2" localSheetId="0" hidden="1">{#N/A,#N/A,FALSE,"Sheet1 (2)"}</definedName>
    <definedName name="kola_1_2" hidden="1">{#N/A,#N/A,FALSE,"Sheet1 (2)"}</definedName>
    <definedName name="kola_1_3" localSheetId="0" hidden="1">{#N/A,#N/A,FALSE,"Sheet1 (2)"}</definedName>
    <definedName name="kola_1_3" hidden="1">{#N/A,#N/A,FALSE,"Sheet1 (2)"}</definedName>
    <definedName name="kola_2" localSheetId="0" hidden="1">{#N/A,#N/A,FALSE,"Sheet1 (2)"}</definedName>
    <definedName name="kola_2" hidden="1">{#N/A,#N/A,FALSE,"Sheet1 (2)"}</definedName>
    <definedName name="kola_2_1" localSheetId="0" hidden="1">{#N/A,#N/A,FALSE,"Sheet1 (2)"}</definedName>
    <definedName name="kola_2_1" hidden="1">{#N/A,#N/A,FALSE,"Sheet1 (2)"}</definedName>
    <definedName name="kola_2_2" localSheetId="0" hidden="1">{#N/A,#N/A,FALSE,"Sheet1 (2)"}</definedName>
    <definedName name="kola_2_2" hidden="1">{#N/A,#N/A,FALSE,"Sheet1 (2)"}</definedName>
    <definedName name="kola_3" localSheetId="0" hidden="1">{#N/A,#N/A,FALSE,"Sheet1 (2)"}</definedName>
    <definedName name="kola_3" hidden="1">{#N/A,#N/A,FALSE,"Sheet1 (2)"}</definedName>
    <definedName name="kola_4" localSheetId="0" hidden="1">{#N/A,#N/A,FALSE,"Sheet1 (2)"}</definedName>
    <definedName name="kola_4" hidden="1">{#N/A,#N/A,FALSE,"Sheet1 (2)"}</definedName>
    <definedName name="KOLŞ" localSheetId="0" hidden="1">{#N/A,#N/A,FALSE,"Sheet1 (2)"}</definedName>
    <definedName name="KOLŞ" hidden="1">{#N/A,#N/A,FALSE,"Sheet1 (2)"}</definedName>
    <definedName name="KOLŞ_1" localSheetId="0" hidden="1">{#N/A,#N/A,FALSE,"Sheet1 (2)"}</definedName>
    <definedName name="KOLŞ_1" hidden="1">{#N/A,#N/A,FALSE,"Sheet1 (2)"}</definedName>
    <definedName name="KOLŞ_1_1" localSheetId="0" hidden="1">{#N/A,#N/A,FALSE,"Sheet1 (2)"}</definedName>
    <definedName name="KOLŞ_1_1" hidden="1">{#N/A,#N/A,FALSE,"Sheet1 (2)"}</definedName>
    <definedName name="KOLŞ_1_2" localSheetId="0" hidden="1">{#N/A,#N/A,FALSE,"Sheet1 (2)"}</definedName>
    <definedName name="KOLŞ_1_2" hidden="1">{#N/A,#N/A,FALSE,"Sheet1 (2)"}</definedName>
    <definedName name="KOLŞ_1_3" localSheetId="0" hidden="1">{#N/A,#N/A,FALSE,"Sheet1 (2)"}</definedName>
    <definedName name="KOLŞ_1_3" hidden="1">{#N/A,#N/A,FALSE,"Sheet1 (2)"}</definedName>
    <definedName name="KOLŞ_2" localSheetId="0" hidden="1">{#N/A,#N/A,FALSE,"Sheet1 (2)"}</definedName>
    <definedName name="KOLŞ_2" hidden="1">{#N/A,#N/A,FALSE,"Sheet1 (2)"}</definedName>
    <definedName name="KOLŞ_2_1" localSheetId="0" hidden="1">{#N/A,#N/A,FALSE,"Sheet1 (2)"}</definedName>
    <definedName name="KOLŞ_2_1" hidden="1">{#N/A,#N/A,FALSE,"Sheet1 (2)"}</definedName>
    <definedName name="KOLŞ_2_2" localSheetId="0" hidden="1">{#N/A,#N/A,FALSE,"Sheet1 (2)"}</definedName>
    <definedName name="KOLŞ_2_2" hidden="1">{#N/A,#N/A,FALSE,"Sheet1 (2)"}</definedName>
    <definedName name="KOLŞ_3" localSheetId="0" hidden="1">{#N/A,#N/A,FALSE,"Sheet1 (2)"}</definedName>
    <definedName name="KOLŞ_3" hidden="1">{#N/A,#N/A,FALSE,"Sheet1 (2)"}</definedName>
    <definedName name="KOLŞ_4" localSheetId="0" hidden="1">{#N/A,#N/A,FALSE,"Sheet1 (2)"}</definedName>
    <definedName name="KOLŞ_4" hidden="1">{#N/A,#N/A,FALSE,"Sheet1 (2)"}</definedName>
    <definedName name="Konu">'[99]Fatura Giriş Tablosu'!#REF!</definedName>
    <definedName name="KONUTKREDİSİ">#REF!</definedName>
    <definedName name="KONYA">#REF!</definedName>
    <definedName name="KOP" localSheetId="0" hidden="1">{#N/A,#N/A,FALSE,"Sheet1 (2)"}</definedName>
    <definedName name="KOP" hidden="1">{#N/A,#N/A,FALSE,"Sheet1 (2)"}</definedName>
    <definedName name="KOP_1" localSheetId="0" hidden="1">{#N/A,#N/A,FALSE,"Sheet1 (2)"}</definedName>
    <definedName name="KOP_1" hidden="1">{#N/A,#N/A,FALSE,"Sheet1 (2)"}</definedName>
    <definedName name="KOP_1_1" localSheetId="0" hidden="1">{#N/A,#N/A,FALSE,"Sheet1 (2)"}</definedName>
    <definedName name="KOP_1_1" hidden="1">{#N/A,#N/A,FALSE,"Sheet1 (2)"}</definedName>
    <definedName name="KOP_1_2" localSheetId="0" hidden="1">{#N/A,#N/A,FALSE,"Sheet1 (2)"}</definedName>
    <definedName name="KOP_1_2" hidden="1">{#N/A,#N/A,FALSE,"Sheet1 (2)"}</definedName>
    <definedName name="KOP_1_3" localSheetId="0" hidden="1">{#N/A,#N/A,FALSE,"Sheet1 (2)"}</definedName>
    <definedName name="KOP_1_3" hidden="1">{#N/A,#N/A,FALSE,"Sheet1 (2)"}</definedName>
    <definedName name="KOP_2" localSheetId="0" hidden="1">{#N/A,#N/A,FALSE,"Sheet1 (2)"}</definedName>
    <definedName name="KOP_2" hidden="1">{#N/A,#N/A,FALSE,"Sheet1 (2)"}</definedName>
    <definedName name="KOP_2_1" localSheetId="0" hidden="1">{#N/A,#N/A,FALSE,"Sheet1 (2)"}</definedName>
    <definedName name="KOP_2_1" hidden="1">{#N/A,#N/A,FALSE,"Sheet1 (2)"}</definedName>
    <definedName name="KOP_2_2" localSheetId="0" hidden="1">{#N/A,#N/A,FALSE,"Sheet1 (2)"}</definedName>
    <definedName name="KOP_2_2" hidden="1">{#N/A,#N/A,FALSE,"Sheet1 (2)"}</definedName>
    <definedName name="KOP_3" localSheetId="0" hidden="1">{#N/A,#N/A,FALSE,"Sheet1 (2)"}</definedName>
    <definedName name="KOP_3" hidden="1">{#N/A,#N/A,FALSE,"Sheet1 (2)"}</definedName>
    <definedName name="KOP_4" localSheetId="0" hidden="1">{#N/A,#N/A,FALSE,"Sheet1 (2)"}</definedName>
    <definedName name="KOP_4" hidden="1">{#N/A,#N/A,FALSE,"Sheet1 (2)"}</definedName>
    <definedName name="krakeer" localSheetId="0" hidden="1">{#N/A,#N/A,FALSE,"Sheet1 (2)"}</definedName>
    <definedName name="krakeer" hidden="1">{#N/A,#N/A,FALSE,"Sheet1 (2)"}</definedName>
    <definedName name="krakeer_1" localSheetId="0" hidden="1">{#N/A,#N/A,FALSE,"Sheet1 (2)"}</definedName>
    <definedName name="krakeer_1" hidden="1">{#N/A,#N/A,FALSE,"Sheet1 (2)"}</definedName>
    <definedName name="KREA">#REF!</definedName>
    <definedName name="kreatifler">[100]tanımlar!$A$1:$A$34</definedName>
    <definedName name="KRIT1">[4]Foglio1!#REF!</definedName>
    <definedName name="KRIT10">[4]Foglio1!#REF!</definedName>
    <definedName name="KRIT2">[4]Foglio1!#REF!</definedName>
    <definedName name="KRIT3">[4]Foglio1!#REF!</definedName>
    <definedName name="KRIT4">[4]Foglio1!#REF!</definedName>
    <definedName name="KRIT5">[4]Foglio1!#REF!</definedName>
    <definedName name="KRIT6">[4]Foglio1!#REF!</definedName>
    <definedName name="KRIT7">[4]Foglio1!#REF!</definedName>
    <definedName name="KRIT8">[4]Foglio1!#REF!</definedName>
    <definedName name="KRIT9">[4]Foglio1!#REF!</definedName>
    <definedName name="Kriter">#REF!</definedName>
    <definedName name="krju" localSheetId="0" hidden="1">{#N/A,#N/A,FALSE,"Sheet1 (2)"}</definedName>
    <definedName name="krju" hidden="1">{#N/A,#N/A,FALSE,"Sheet1 (2)"}</definedName>
    <definedName name="krkrkrkrk">#N/A</definedName>
    <definedName name="kşkş" localSheetId="0" hidden="1">{#N/A,#N/A,FALSE,"Sheet1 (2)"}</definedName>
    <definedName name="kşkş" hidden="1">{#N/A,#N/A,FALSE,"Sheet1 (2)"}</definedName>
    <definedName name="KŞLKL" localSheetId="0" hidden="1">{#N/A,#N/A,FALSE,"Sheet1 (2)"}</definedName>
    <definedName name="KŞLKL" hidden="1">{#N/A,#N/A,FALSE,"Sheet1 (2)"}</definedName>
    <definedName name="kullan">#REF!</definedName>
    <definedName name="kulmulmlulmlmlm" localSheetId="0" hidden="1">{#N/A,#N/A,FALSE,"Sheet1 (2)"}</definedName>
    <definedName name="kulmulmlulmlmlm" hidden="1">{#N/A,#N/A,FALSE,"Sheet1 (2)"}</definedName>
    <definedName name="KÜMBIM">#REF!</definedName>
    <definedName name="KÜMBİM10">#REF!</definedName>
    <definedName name="KÜMBİM11">#REF!</definedName>
    <definedName name="KÜMBİM12">#REF!</definedName>
    <definedName name="KÜMBİM2">#REF!</definedName>
    <definedName name="KÜMBİM3">#REF!</definedName>
    <definedName name="KÜMBİM4">#REF!</definedName>
    <definedName name="KÜMBİM5">#REF!</definedName>
    <definedName name="KÜMBİM6">#REF!</definedName>
    <definedName name="KÜMBİM7">#REF!</definedName>
    <definedName name="KÜMBİM8">#REF!</definedName>
    <definedName name="KÜMBİM9">#REF!</definedName>
    <definedName name="KUR">#REF!</definedName>
    <definedName name="KUR_AY">#REF!</definedName>
    <definedName name="KÜTAHYA">#REF!</definedName>
    <definedName name="Kuwait">#REF!</definedName>
    <definedName name="kuyk" localSheetId="0" hidden="1">{#N/A,#N/A,FALSE,"Sheet1 (2)"}</definedName>
    <definedName name="kuyk" hidden="1">{#N/A,#N/A,FALSE,"Sheet1 (2)"}</definedName>
    <definedName name="KWT">#REF!</definedName>
    <definedName name="kyukyuk" localSheetId="0" hidden="1">{#N/A,#N/A,FALSE,"Sheet1 (2)"}</definedName>
    <definedName name="kyukyuk" hidden="1">{#N/A,#N/A,FALSE,"Sheet1 (2)"}</definedName>
    <definedName name="L" hidden="1">#REF!</definedName>
    <definedName name="L_E">#REF!</definedName>
    <definedName name="L_Eq_new">#REF!</definedName>
    <definedName name="LactumOlculmeyen">#REF!</definedName>
    <definedName name="LACTUMOLCULMEYENACTUAL">#REF!</definedName>
    <definedName name="LANG_CELL">#REF!</definedName>
    <definedName name="LANG_STRS_RNG">'[40]Resource-Strings'!$E$1:$G$65536</definedName>
    <definedName name="LanguageCodeLookup">(([63]Language!$B$2):(INDEX([63]Language!$C$2:$C$102,MATCH("",[63]Language!$C$2:$C$102,-1),0)))</definedName>
    <definedName name="Languages">(([63]Language!$B$2):(INDEX([63]Language!$B$2:$B$102,MATCH("",[63]Language!$B$2:$B$102,-1),0)))</definedName>
    <definedName name="lansman" localSheetId="0" hidden="1">{#N/A,#N/A,FALSE,"Sheet1 (2)"}</definedName>
    <definedName name="lansman" hidden="1">{#N/A,#N/A,FALSE,"Sheet1 (2)"}</definedName>
    <definedName name="lansman_1" localSheetId="0" hidden="1">{#N/A,#N/A,FALSE,"Sheet1 (2)"}</definedName>
    <definedName name="lansman_1" hidden="1">{#N/A,#N/A,FALSE,"Sheet1 (2)"}</definedName>
    <definedName name="lansman_1_1" localSheetId="0" hidden="1">{#N/A,#N/A,FALSE,"Sheet1 (2)"}</definedName>
    <definedName name="lansman_1_1" hidden="1">{#N/A,#N/A,FALSE,"Sheet1 (2)"}</definedName>
    <definedName name="lansman_1_2" localSheetId="0" hidden="1">{#N/A,#N/A,FALSE,"Sheet1 (2)"}</definedName>
    <definedName name="lansman_1_2" hidden="1">{#N/A,#N/A,FALSE,"Sheet1 (2)"}</definedName>
    <definedName name="lansman_1_3" localSheetId="0" hidden="1">{#N/A,#N/A,FALSE,"Sheet1 (2)"}</definedName>
    <definedName name="lansman_1_3" hidden="1">{#N/A,#N/A,FALSE,"Sheet1 (2)"}</definedName>
    <definedName name="lansman_2" localSheetId="0" hidden="1">{#N/A,#N/A,FALSE,"Sheet1 (2)"}</definedName>
    <definedName name="lansman_2" hidden="1">{#N/A,#N/A,FALSE,"Sheet1 (2)"}</definedName>
    <definedName name="lansman_2_1" localSheetId="0" hidden="1">{#N/A,#N/A,FALSE,"Sheet1 (2)"}</definedName>
    <definedName name="lansman_2_1" hidden="1">{#N/A,#N/A,FALSE,"Sheet1 (2)"}</definedName>
    <definedName name="lansman_2_2" localSheetId="0" hidden="1">{#N/A,#N/A,FALSE,"Sheet1 (2)"}</definedName>
    <definedName name="lansman_2_2" hidden="1">{#N/A,#N/A,FALSE,"Sheet1 (2)"}</definedName>
    <definedName name="lansman_3" localSheetId="0" hidden="1">{#N/A,#N/A,FALSE,"Sheet1 (2)"}</definedName>
    <definedName name="lansman_3" hidden="1">{#N/A,#N/A,FALSE,"Sheet1 (2)"}</definedName>
    <definedName name="lansman_4" localSheetId="0" hidden="1">{#N/A,#N/A,FALSE,"Sheet1 (2)"}</definedName>
    <definedName name="lansman_4" hidden="1">{#N/A,#N/A,FALSE,"Sheet1 (2)"}</definedName>
    <definedName name="LAR" hidden="1">#REF!</definedName>
    <definedName name="Latin_America">#REF!</definedName>
    <definedName name="ldksjf">#REF!</definedName>
    <definedName name="lig" localSheetId="0" hidden="1">{#N/A,#N/A,FALSE,"Sheet1 (2)"}</definedName>
    <definedName name="lig" hidden="1">{#N/A,#N/A,FALSE,"Sheet1 (2)"}</definedName>
    <definedName name="lig_1" localSheetId="0" hidden="1">{#N/A,#N/A,FALSE,"Sheet1 (2)"}</definedName>
    <definedName name="lig_1" hidden="1">{#N/A,#N/A,FALSE,"Sheet1 (2)"}</definedName>
    <definedName name="lig_1_1" localSheetId="0" hidden="1">{#N/A,#N/A,FALSE,"Sheet1 (2)"}</definedName>
    <definedName name="lig_1_1" hidden="1">{#N/A,#N/A,FALSE,"Sheet1 (2)"}</definedName>
    <definedName name="lig_1_2" localSheetId="0" hidden="1">{#N/A,#N/A,FALSE,"Sheet1 (2)"}</definedName>
    <definedName name="lig_1_2" hidden="1">{#N/A,#N/A,FALSE,"Sheet1 (2)"}</definedName>
    <definedName name="lig_1_3" localSheetId="0" hidden="1">{#N/A,#N/A,FALSE,"Sheet1 (2)"}</definedName>
    <definedName name="lig_1_3" hidden="1">{#N/A,#N/A,FALSE,"Sheet1 (2)"}</definedName>
    <definedName name="lig_2" localSheetId="0" hidden="1">{#N/A,#N/A,FALSE,"Sheet1 (2)"}</definedName>
    <definedName name="lig_2" hidden="1">{#N/A,#N/A,FALSE,"Sheet1 (2)"}</definedName>
    <definedName name="lig_2_1" localSheetId="0" hidden="1">{#N/A,#N/A,FALSE,"Sheet1 (2)"}</definedName>
    <definedName name="lig_2_1" hidden="1">{#N/A,#N/A,FALSE,"Sheet1 (2)"}</definedName>
    <definedName name="lig_2_2" localSheetId="0" hidden="1">{#N/A,#N/A,FALSE,"Sheet1 (2)"}</definedName>
    <definedName name="lig_2_2" hidden="1">{#N/A,#N/A,FALSE,"Sheet1 (2)"}</definedName>
    <definedName name="lig_3" localSheetId="0" hidden="1">{#N/A,#N/A,FALSE,"Sheet1 (2)"}</definedName>
    <definedName name="lig_3" hidden="1">{#N/A,#N/A,FALSE,"Sheet1 (2)"}</definedName>
    <definedName name="lig_4" localSheetId="0" hidden="1">{#N/A,#N/A,FALSE,"Sheet1 (2)"}</definedName>
    <definedName name="lig_4" hidden="1">{#N/A,#N/A,FALSE,"Sheet1 (2)"}</definedName>
    <definedName name="Light" localSheetId="0" hidden="1">{#N/A,#N/A,FALSE,"MALİTABLOLAR"}</definedName>
    <definedName name="Light" hidden="1">{#N/A,#N/A,FALSE,"MALİTABLOLAR"}</definedName>
    <definedName name="Light_1" localSheetId="0" hidden="1">{#N/A,#N/A,FALSE,"MALİTABLOLAR"}</definedName>
    <definedName name="Light_1" hidden="1">{#N/A,#N/A,FALSE,"MALİTABLOLAR"}</definedName>
    <definedName name="Light_1_1" localSheetId="0" hidden="1">{#N/A,#N/A,FALSE,"MALİTABLOLAR"}</definedName>
    <definedName name="Light_1_1" hidden="1">{#N/A,#N/A,FALSE,"MALİTABLOLAR"}</definedName>
    <definedName name="Light_1_2" localSheetId="0" hidden="1">{#N/A,#N/A,FALSE,"MALİTABLOLAR"}</definedName>
    <definedName name="Light_1_2" hidden="1">{#N/A,#N/A,FALSE,"MALİTABLOLAR"}</definedName>
    <definedName name="Light_1_3" localSheetId="0" hidden="1">{#N/A,#N/A,FALSE,"MALİTABLOLAR"}</definedName>
    <definedName name="Light_1_3" hidden="1">{#N/A,#N/A,FALSE,"MALİTABLOLAR"}</definedName>
    <definedName name="Light_2" localSheetId="0" hidden="1">{#N/A,#N/A,FALSE,"MALİTABLOLAR"}</definedName>
    <definedName name="Light_2" hidden="1">{#N/A,#N/A,FALSE,"MALİTABLOLAR"}</definedName>
    <definedName name="Light_2_1" localSheetId="0" hidden="1">{#N/A,#N/A,FALSE,"MALİTABLOLAR"}</definedName>
    <definedName name="Light_2_1" hidden="1">{#N/A,#N/A,FALSE,"MALİTABLOLAR"}</definedName>
    <definedName name="Light_2_2" localSheetId="0" hidden="1">{#N/A,#N/A,FALSE,"MALİTABLOLAR"}</definedName>
    <definedName name="Light_2_2" hidden="1">{#N/A,#N/A,FALSE,"MALİTABLOLAR"}</definedName>
    <definedName name="Light_3" localSheetId="0" hidden="1">{#N/A,#N/A,FALSE,"MALİTABLOLAR"}</definedName>
    <definedName name="Light_3" hidden="1">{#N/A,#N/A,FALSE,"MALİTABLOLAR"}</definedName>
    <definedName name="Light_4" localSheetId="0" hidden="1">{#N/A,#N/A,FALSE,"MALİTABLOLAR"}</definedName>
    <definedName name="Light_4" hidden="1">{#N/A,#N/A,FALSE,"MALİTABLOLAR"}</definedName>
    <definedName name="lin" localSheetId="0" hidden="1">{#N/A,#N/A,FALSE,"Sheet1 (2)"}</definedName>
    <definedName name="lin" hidden="1">{#N/A,#N/A,FALSE,"Sheet1 (2)"}</definedName>
    <definedName name="LineItemBudgetHeader">#REF!</definedName>
    <definedName name="LineItemRateHeader">#REF!</definedName>
    <definedName name="linkz">#REF!</definedName>
    <definedName name="LIST" localSheetId="0">[47]Kategoriler!$A$1:$B$44</definedName>
    <definedName name="List">'[101]Data KAND'!$A$3:$A$185</definedName>
    <definedName name="liste">#REF!</definedName>
    <definedName name="ListStart">#REF!</definedName>
    <definedName name="ListStart_2">#REF!</definedName>
    <definedName name="ListStart_3">#REF!</definedName>
    <definedName name="ListStart_4">#REF!</definedName>
    <definedName name="ListStart_5">#REF!</definedName>
    <definedName name="ListStart_6">#REF!</definedName>
    <definedName name="ListStart_7">#REF!</definedName>
    <definedName name="ljgjjkjtg" localSheetId="0" hidden="1">{"'Jan - March 2000'!$A$5:$J$46"}</definedName>
    <definedName name="ljgjjkjtg" hidden="1">{"'Jan - March 2000'!$A$5:$J$46"}</definedName>
    <definedName name="LJK">#REF!</definedName>
    <definedName name="ljkll" localSheetId="0" hidden="1">{#N/A,#N/A,FALSE,"Sheet1 (2)"}</definedName>
    <definedName name="ljkll" hidden="1">{#N/A,#N/A,FALSE,"Sheet1 (2)"}</definedName>
    <definedName name="ljkll_1" localSheetId="0" hidden="1">{#N/A,#N/A,FALSE,"Sheet1 (2)"}</definedName>
    <definedName name="ljkll_1" hidden="1">{#N/A,#N/A,FALSE,"Sheet1 (2)"}</definedName>
    <definedName name="ljkll_1_1" localSheetId="0" hidden="1">{#N/A,#N/A,FALSE,"Sheet1 (2)"}</definedName>
    <definedName name="ljkll_1_1" hidden="1">{#N/A,#N/A,FALSE,"Sheet1 (2)"}</definedName>
    <definedName name="ljkll_1_2" localSheetId="0" hidden="1">{#N/A,#N/A,FALSE,"Sheet1 (2)"}</definedName>
    <definedName name="ljkll_1_2" hidden="1">{#N/A,#N/A,FALSE,"Sheet1 (2)"}</definedName>
    <definedName name="ljkll_1_3" localSheetId="0" hidden="1">{#N/A,#N/A,FALSE,"Sheet1 (2)"}</definedName>
    <definedName name="ljkll_1_3" hidden="1">{#N/A,#N/A,FALSE,"Sheet1 (2)"}</definedName>
    <definedName name="ljkll_2" localSheetId="0" hidden="1">{#N/A,#N/A,FALSE,"Sheet1 (2)"}</definedName>
    <definedName name="ljkll_2" hidden="1">{#N/A,#N/A,FALSE,"Sheet1 (2)"}</definedName>
    <definedName name="ljkll_2_1" localSheetId="0" hidden="1">{#N/A,#N/A,FALSE,"Sheet1 (2)"}</definedName>
    <definedName name="ljkll_2_1" hidden="1">{#N/A,#N/A,FALSE,"Sheet1 (2)"}</definedName>
    <definedName name="ljkll_2_2" localSheetId="0" hidden="1">{#N/A,#N/A,FALSE,"Sheet1 (2)"}</definedName>
    <definedName name="ljkll_2_2" hidden="1">{#N/A,#N/A,FALSE,"Sheet1 (2)"}</definedName>
    <definedName name="ljkll_3" localSheetId="0" hidden="1">{#N/A,#N/A,FALSE,"Sheet1 (2)"}</definedName>
    <definedName name="ljkll_3" hidden="1">{#N/A,#N/A,FALSE,"Sheet1 (2)"}</definedName>
    <definedName name="ljkll_4" localSheetId="0" hidden="1">{#N/A,#N/A,FALSE,"Sheet1 (2)"}</definedName>
    <definedName name="ljkll_4" hidden="1">{#N/A,#N/A,FALSE,"Sheet1 (2)"}</definedName>
    <definedName name="lk" localSheetId="0" hidden="1">{#N/A,#N/A,FALSE,"Sheet1 (2)"}</definedName>
    <definedName name="lk" hidden="1">{#N/A,#N/A,FALSE,"Sheet1 (2)"}</definedName>
    <definedName name="LKJH" localSheetId="0" hidden="1">{#N/A,#N/A,FALSE,"Sheet1 (2)"}</definedName>
    <definedName name="LKJH" hidden="1">{#N/A,#N/A,FALSE,"Sheet1 (2)"}</definedName>
    <definedName name="lkjhhhhhhhhhhhhhhhhhj" localSheetId="0" hidden="1">{"'Jan - March 2000'!$A$5:$J$46"}</definedName>
    <definedName name="lkjhhhhhhhhhhhhhhhhhj" hidden="1">{"'Jan - March 2000'!$A$5:$J$46"}</definedName>
    <definedName name="LKJK" localSheetId="0" hidden="1">{#N/A,#N/A,FALSE,"Sheet1 (2)"}</definedName>
    <definedName name="LKJK" hidden="1">{#N/A,#N/A,FALSE,"Sheet1 (2)"}</definedName>
    <definedName name="LKLLJK" localSheetId="0" hidden="1">{#N/A,#N/A,FALSE,"Sheet1 (2)"}</definedName>
    <definedName name="LKLLJK" hidden="1">{#N/A,#N/A,FALSE,"Sheet1 (2)"}</definedName>
    <definedName name="ll" localSheetId="0" hidden="1">{#N/A,#N/A,FALSE,"Sheet1 (2)"}</definedName>
    <definedName name="ll" hidden="1">{#N/A,#N/A,FALSE,"Sheet1 (2)"}</definedName>
    <definedName name="LLJJK" localSheetId="0" hidden="1">{#N/A,#N/A,FALSE,"Sheet1 (2)"}</definedName>
    <definedName name="LLJJK" hidden="1">{#N/A,#N/A,FALSE,"Sheet1 (2)"}</definedName>
    <definedName name="lll" localSheetId="0" hidden="1">{#N/A,#N/A,FALSE,"Sheet1 (2)"}</definedName>
    <definedName name="lll" hidden="1">{#N/A,#N/A,FALSE,"Sheet1 (2)"}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op_Count">#REF!</definedName>
    <definedName name="Los_Angeles">'[102]Proposal 1'!#REF!</definedName>
    <definedName name="LŞLİŞL" localSheetId="0" hidden="1">{#N/A,#N/A,FALSE,"Sheet1 (2)"}</definedName>
    <definedName name="LŞLİŞL" hidden="1">{#N/A,#N/A,FALSE,"Sheet1 (2)"}</definedName>
    <definedName name="LŞLŞLŞLKLK" localSheetId="0" hidden="1">{#N/A,#N/A,FALSE,"Sheet1 (2)"}</definedName>
    <definedName name="LŞLŞLŞLKLK" hidden="1">{#N/A,#N/A,FALSE,"Sheet1 (2)"}</definedName>
    <definedName name="lyt" localSheetId="0" hidden="1">{#N/A,#N/A,FALSE,"Sheet1 (2)"}</definedName>
    <definedName name="lyt" hidden="1">{#N/A,#N/A,FALSE,"Sheet1 (2)"}</definedName>
    <definedName name="M" localSheetId="0" hidden="1">{#N/A,#N/A,FALSE,"Sheet1 (2)"}</definedName>
    <definedName name="M" hidden="1">{#N/A,#N/A,FALSE,"Sheet1 (2)"}</definedName>
    <definedName name="M_1" localSheetId="0" hidden="1">{#N/A,#N/A,FALSE,"Sheet1 (2)"}</definedName>
    <definedName name="M_1" hidden="1">{#N/A,#N/A,FALSE,"Sheet1 (2)"}</definedName>
    <definedName name="M_1_1" localSheetId="0" hidden="1">{#N/A,#N/A,FALSE,"Sheet1 (2)"}</definedName>
    <definedName name="M_1_1" hidden="1">{#N/A,#N/A,FALSE,"Sheet1 (2)"}</definedName>
    <definedName name="M_1_2" localSheetId="0" hidden="1">{#N/A,#N/A,FALSE,"Sheet1 (2)"}</definedName>
    <definedName name="M_1_2" hidden="1">{#N/A,#N/A,FALSE,"Sheet1 (2)"}</definedName>
    <definedName name="M_1_3" localSheetId="0" hidden="1">{#N/A,#N/A,FALSE,"Sheet1 (2)"}</definedName>
    <definedName name="M_1_3" hidden="1">{#N/A,#N/A,FALSE,"Sheet1 (2)"}</definedName>
    <definedName name="M_2" localSheetId="0" hidden="1">{#N/A,#N/A,FALSE,"Sheet1 (2)"}</definedName>
    <definedName name="M_2" hidden="1">{#N/A,#N/A,FALSE,"Sheet1 (2)"}</definedName>
    <definedName name="M_2_1" localSheetId="0" hidden="1">{#N/A,#N/A,FALSE,"Sheet1 (2)"}</definedName>
    <definedName name="M_2_1" hidden="1">{#N/A,#N/A,FALSE,"Sheet1 (2)"}</definedName>
    <definedName name="M_2_2" localSheetId="0" hidden="1">{#N/A,#N/A,FALSE,"Sheet1 (2)"}</definedName>
    <definedName name="M_2_2" hidden="1">{#N/A,#N/A,FALSE,"Sheet1 (2)"}</definedName>
    <definedName name="M_3" localSheetId="0" hidden="1">{#N/A,#N/A,FALSE,"Sheet1 (2)"}</definedName>
    <definedName name="M_3" hidden="1">{#N/A,#N/A,FALSE,"Sheet1 (2)"}</definedName>
    <definedName name="M_4" localSheetId="0" hidden="1">{#N/A,#N/A,FALSE,"Sheet1 (2)"}</definedName>
    <definedName name="M_4" hidden="1">{#N/A,#N/A,FALSE,"Sheet1 (2)"}</definedName>
    <definedName name="macros_message">#REF!</definedName>
    <definedName name="mag" localSheetId="0" hidden="1">{#N/A,#N/A,FALSE,"Sheet1 (2)"}</definedName>
    <definedName name="mag" hidden="1">{#N/A,#N/A,FALSE,"Sheet1 (2)"}</definedName>
    <definedName name="mag_1" localSheetId="0" hidden="1">{#N/A,#N/A,FALSE,"Sheet1 (2)"}</definedName>
    <definedName name="mag_1" hidden="1">{#N/A,#N/A,FALSE,"Sheet1 (2)"}</definedName>
    <definedName name="mag_1_1" localSheetId="0" hidden="1">{#N/A,#N/A,FALSE,"Sheet1 (2)"}</definedName>
    <definedName name="mag_1_1" hidden="1">{#N/A,#N/A,FALSE,"Sheet1 (2)"}</definedName>
    <definedName name="mag_1_2" localSheetId="0" hidden="1">{#N/A,#N/A,FALSE,"Sheet1 (2)"}</definedName>
    <definedName name="mag_1_2" hidden="1">{#N/A,#N/A,FALSE,"Sheet1 (2)"}</definedName>
    <definedName name="mag_1_3" localSheetId="0" hidden="1">{#N/A,#N/A,FALSE,"Sheet1 (2)"}</definedName>
    <definedName name="mag_1_3" hidden="1">{#N/A,#N/A,FALSE,"Sheet1 (2)"}</definedName>
    <definedName name="mag_2" localSheetId="0" hidden="1">{#N/A,#N/A,FALSE,"Sheet1 (2)"}</definedName>
    <definedName name="mag_2" hidden="1">{#N/A,#N/A,FALSE,"Sheet1 (2)"}</definedName>
    <definedName name="mag_2_1" localSheetId="0" hidden="1">{#N/A,#N/A,FALSE,"Sheet1 (2)"}</definedName>
    <definedName name="mag_2_1" hidden="1">{#N/A,#N/A,FALSE,"Sheet1 (2)"}</definedName>
    <definedName name="mag_2_2" localSheetId="0" hidden="1">{#N/A,#N/A,FALSE,"Sheet1 (2)"}</definedName>
    <definedName name="mag_2_2" hidden="1">{#N/A,#N/A,FALSE,"Sheet1 (2)"}</definedName>
    <definedName name="mag_3" localSheetId="0" hidden="1">{#N/A,#N/A,FALSE,"Sheet1 (2)"}</definedName>
    <definedName name="mag_3" hidden="1">{#N/A,#N/A,FALSE,"Sheet1 (2)"}</definedName>
    <definedName name="mag_4" localSheetId="0" hidden="1">{#N/A,#N/A,FALSE,"Sheet1 (2)"}</definedName>
    <definedName name="mag_4" hidden="1">{#N/A,#N/A,FALSE,"Sheet1 (2)"}</definedName>
    <definedName name="MAG." localSheetId="0" hidden="1">{#N/A,#N/A,FALSE,"Sheet1 (2)"}</definedName>
    <definedName name="MAG." hidden="1">{#N/A,#N/A,FALSE,"Sheet1 (2)"}</definedName>
    <definedName name="MAG._1" localSheetId="0" hidden="1">{#N/A,#N/A,FALSE,"Sheet1 (2)"}</definedName>
    <definedName name="MAG._1" hidden="1">{#N/A,#N/A,FALSE,"Sheet1 (2)"}</definedName>
    <definedName name="MAG._1_1" localSheetId="0" hidden="1">{#N/A,#N/A,FALSE,"Sheet1 (2)"}</definedName>
    <definedName name="MAG._1_1" hidden="1">{#N/A,#N/A,FALSE,"Sheet1 (2)"}</definedName>
    <definedName name="MAG._1_2" localSheetId="0" hidden="1">{#N/A,#N/A,FALSE,"Sheet1 (2)"}</definedName>
    <definedName name="MAG._1_2" hidden="1">{#N/A,#N/A,FALSE,"Sheet1 (2)"}</definedName>
    <definedName name="MAG._1_3" localSheetId="0" hidden="1">{#N/A,#N/A,FALSE,"Sheet1 (2)"}</definedName>
    <definedName name="MAG._1_3" hidden="1">{#N/A,#N/A,FALSE,"Sheet1 (2)"}</definedName>
    <definedName name="MAG._2" localSheetId="0" hidden="1">{#N/A,#N/A,FALSE,"Sheet1 (2)"}</definedName>
    <definedName name="MAG._2" hidden="1">{#N/A,#N/A,FALSE,"Sheet1 (2)"}</definedName>
    <definedName name="MAG._2_1" localSheetId="0" hidden="1">{#N/A,#N/A,FALSE,"Sheet1 (2)"}</definedName>
    <definedName name="MAG._2_1" hidden="1">{#N/A,#N/A,FALSE,"Sheet1 (2)"}</definedName>
    <definedName name="MAG._2_2" localSheetId="0" hidden="1">{#N/A,#N/A,FALSE,"Sheet1 (2)"}</definedName>
    <definedName name="MAG._2_2" hidden="1">{#N/A,#N/A,FALSE,"Sheet1 (2)"}</definedName>
    <definedName name="MAG._3" localSheetId="0" hidden="1">{#N/A,#N/A,FALSE,"Sheet1 (2)"}</definedName>
    <definedName name="MAG._3" hidden="1">{#N/A,#N/A,FALSE,"Sheet1 (2)"}</definedName>
    <definedName name="MAG._4" localSheetId="0" hidden="1">{#N/A,#N/A,FALSE,"Sheet1 (2)"}</definedName>
    <definedName name="MAG._4" hidden="1">{#N/A,#N/A,FALSE,"Sheet1 (2)"}</definedName>
    <definedName name="maga" localSheetId="0" hidden="1">{#N/A,#N/A,FALSE,"Sheet1 (2)"}</definedName>
    <definedName name="maga" hidden="1">{#N/A,#N/A,FALSE,"Sheet1 (2)"}</definedName>
    <definedName name="maga_1" localSheetId="0" hidden="1">{#N/A,#N/A,FALSE,"Sheet1 (2)"}</definedName>
    <definedName name="maga_1" hidden="1">{#N/A,#N/A,FALSE,"Sheet1 (2)"}</definedName>
    <definedName name="maga_1_1" localSheetId="0" hidden="1">{#N/A,#N/A,FALSE,"Sheet1 (2)"}</definedName>
    <definedName name="maga_1_1" hidden="1">{#N/A,#N/A,FALSE,"Sheet1 (2)"}</definedName>
    <definedName name="maga_1_2" localSheetId="0" hidden="1">{#N/A,#N/A,FALSE,"Sheet1 (2)"}</definedName>
    <definedName name="maga_1_2" hidden="1">{#N/A,#N/A,FALSE,"Sheet1 (2)"}</definedName>
    <definedName name="maga_1_3" localSheetId="0" hidden="1">{#N/A,#N/A,FALSE,"Sheet1 (2)"}</definedName>
    <definedName name="maga_1_3" hidden="1">{#N/A,#N/A,FALSE,"Sheet1 (2)"}</definedName>
    <definedName name="maga_2" localSheetId="0" hidden="1">{#N/A,#N/A,FALSE,"Sheet1 (2)"}</definedName>
    <definedName name="maga_2" hidden="1">{#N/A,#N/A,FALSE,"Sheet1 (2)"}</definedName>
    <definedName name="maga_2_1" localSheetId="0" hidden="1">{#N/A,#N/A,FALSE,"Sheet1 (2)"}</definedName>
    <definedName name="maga_2_1" hidden="1">{#N/A,#N/A,FALSE,"Sheet1 (2)"}</definedName>
    <definedName name="maga_2_2" localSheetId="0" hidden="1">{#N/A,#N/A,FALSE,"Sheet1 (2)"}</definedName>
    <definedName name="maga_2_2" hidden="1">{#N/A,#N/A,FALSE,"Sheet1 (2)"}</definedName>
    <definedName name="maga_3" localSheetId="0" hidden="1">{#N/A,#N/A,FALSE,"Sheet1 (2)"}</definedName>
    <definedName name="maga_3" hidden="1">{#N/A,#N/A,FALSE,"Sheet1 (2)"}</definedName>
    <definedName name="maga_4" localSheetId="0" hidden="1">{#N/A,#N/A,FALSE,"Sheet1 (2)"}</definedName>
    <definedName name="maga_4" hidden="1">{#N/A,#N/A,FALSE,"Sheet1 (2)"}</definedName>
    <definedName name="MAGGERYAYINCILIK">#REF!</definedName>
    <definedName name="MAIN">[58]DATA!$A$3:$R$41</definedName>
    <definedName name="MajorHeader">[73]P3!#REF!</definedName>
    <definedName name="MAKRO">#REF!</definedName>
    <definedName name="MAKSİMUM">#REF!</definedName>
    <definedName name="MALATYA">#REF!</definedName>
    <definedName name="MALIGELIRSUT" localSheetId="0" hidden="1">{#N/A,#N/A,FALSE,"MALİTABLOLAR";#N/A,#N/A,FALSE,"PERS MSRMRZ";#N/A,#N/A,FALSE,"MALİTABLOLAR";#N/A,#N/A,FALSE,"İskonto"}</definedName>
    <definedName name="MALIGELIRSUT" hidden="1">{#N/A,#N/A,FALSE,"MALİTABLOLAR";#N/A,#N/A,FALSE,"PERS MSRMRZ";#N/A,#N/A,FALSE,"MALİTABLOLAR";#N/A,#N/A,FALSE,"İskonto"}</definedName>
    <definedName name="MALIGELIRSUT_1" localSheetId="0" hidden="1">{#N/A,#N/A,FALSE,"MALİTABLOLAR";#N/A,#N/A,FALSE,"PERS MSRMRZ";#N/A,#N/A,FALSE,"MALİTABLOLAR";#N/A,#N/A,FALSE,"İskonto"}</definedName>
    <definedName name="MALIGELIRSUT_1" hidden="1">{#N/A,#N/A,FALSE,"MALİTABLOLAR";#N/A,#N/A,FALSE,"PERS MSRMRZ";#N/A,#N/A,FALSE,"MALİTABLOLAR";#N/A,#N/A,FALSE,"İskonto"}</definedName>
    <definedName name="MALIGELIRSUT_1_1" localSheetId="0" hidden="1">{#N/A,#N/A,FALSE,"MALİTABLOLAR";#N/A,#N/A,FALSE,"PERS MSRMRZ";#N/A,#N/A,FALSE,"MALİTABLOLAR";#N/A,#N/A,FALSE,"İskonto"}</definedName>
    <definedName name="MALIGELIRSUT_1_1" hidden="1">{#N/A,#N/A,FALSE,"MALİTABLOLAR";#N/A,#N/A,FALSE,"PERS MSRMRZ";#N/A,#N/A,FALSE,"MALİTABLOLAR";#N/A,#N/A,FALSE,"İskonto"}</definedName>
    <definedName name="MALIGELIRSUT_1_2" localSheetId="0" hidden="1">{#N/A,#N/A,FALSE,"MALİTABLOLAR";#N/A,#N/A,FALSE,"PERS MSRMRZ";#N/A,#N/A,FALSE,"MALİTABLOLAR";#N/A,#N/A,FALSE,"İskonto"}</definedName>
    <definedName name="MALIGELIRSUT_1_2" hidden="1">{#N/A,#N/A,FALSE,"MALİTABLOLAR";#N/A,#N/A,FALSE,"PERS MSRMRZ";#N/A,#N/A,FALSE,"MALİTABLOLAR";#N/A,#N/A,FALSE,"İskonto"}</definedName>
    <definedName name="MALIGELIRSUT_1_3" localSheetId="0" hidden="1">{#N/A,#N/A,FALSE,"MALİTABLOLAR";#N/A,#N/A,FALSE,"PERS MSRMRZ";#N/A,#N/A,FALSE,"MALİTABLOLAR";#N/A,#N/A,FALSE,"İskonto"}</definedName>
    <definedName name="MALIGELIRSUT_1_3" hidden="1">{#N/A,#N/A,FALSE,"MALİTABLOLAR";#N/A,#N/A,FALSE,"PERS MSRMRZ";#N/A,#N/A,FALSE,"MALİTABLOLAR";#N/A,#N/A,FALSE,"İskonto"}</definedName>
    <definedName name="MALIGELIRSUT_2" localSheetId="0" hidden="1">{#N/A,#N/A,FALSE,"MALİTABLOLAR";#N/A,#N/A,FALSE,"PERS MSRMRZ";#N/A,#N/A,FALSE,"MALİTABLOLAR";#N/A,#N/A,FALSE,"İskonto"}</definedName>
    <definedName name="MALIGELIRSUT_2" hidden="1">{#N/A,#N/A,FALSE,"MALİTABLOLAR";#N/A,#N/A,FALSE,"PERS MSRMRZ";#N/A,#N/A,FALSE,"MALİTABLOLAR";#N/A,#N/A,FALSE,"İskonto"}</definedName>
    <definedName name="MALIGELIRSUT_2_1" localSheetId="0" hidden="1">{#N/A,#N/A,FALSE,"MALİTABLOLAR";#N/A,#N/A,FALSE,"PERS MSRMRZ";#N/A,#N/A,FALSE,"MALİTABLOLAR";#N/A,#N/A,FALSE,"İskonto"}</definedName>
    <definedName name="MALIGELIRSUT_2_1" hidden="1">{#N/A,#N/A,FALSE,"MALİTABLOLAR";#N/A,#N/A,FALSE,"PERS MSRMRZ";#N/A,#N/A,FALSE,"MALİTABLOLAR";#N/A,#N/A,FALSE,"İskonto"}</definedName>
    <definedName name="MALIGELIRSUT_2_2" localSheetId="0" hidden="1">{#N/A,#N/A,FALSE,"MALİTABLOLAR";#N/A,#N/A,FALSE,"PERS MSRMRZ";#N/A,#N/A,FALSE,"MALİTABLOLAR";#N/A,#N/A,FALSE,"İskonto"}</definedName>
    <definedName name="MALIGELIRSUT_2_2" hidden="1">{#N/A,#N/A,FALSE,"MALİTABLOLAR";#N/A,#N/A,FALSE,"PERS MSRMRZ";#N/A,#N/A,FALSE,"MALİTABLOLAR";#N/A,#N/A,FALSE,"İskonto"}</definedName>
    <definedName name="MALIGELIRSUT_3" localSheetId="0" hidden="1">{#N/A,#N/A,FALSE,"MALİTABLOLAR";#N/A,#N/A,FALSE,"PERS MSRMRZ";#N/A,#N/A,FALSE,"MALİTABLOLAR";#N/A,#N/A,FALSE,"İskonto"}</definedName>
    <definedName name="MALIGELIRSUT_3" hidden="1">{#N/A,#N/A,FALSE,"MALİTABLOLAR";#N/A,#N/A,FALSE,"PERS MSRMRZ";#N/A,#N/A,FALSE,"MALİTABLOLAR";#N/A,#N/A,FALSE,"İskonto"}</definedName>
    <definedName name="MALIGELIRSUT_4" localSheetId="0" hidden="1">{#N/A,#N/A,FALSE,"MALİTABLOLAR";#N/A,#N/A,FALSE,"PERS MSRMRZ";#N/A,#N/A,FALSE,"MALİTABLOLAR";#N/A,#N/A,FALSE,"İskonto"}</definedName>
    <definedName name="MALIGELIRSUT_4" hidden="1">{#N/A,#N/A,FALSE,"MALİTABLOLAR";#N/A,#N/A,FALSE,"PERS MSRMRZ";#N/A,#N/A,FALSE,"MALİTABLOLAR";#N/A,#N/A,FALSE,"İskonto"}</definedName>
    <definedName name="MANİSA">#REF!</definedName>
    <definedName name="MARDİN">#REF!</definedName>
    <definedName name="mart">#REF!</definedName>
    <definedName name="MART2">#REF!</definedName>
    <definedName name="MART2_2">#REF!</definedName>
    <definedName name="MART2_3">#REF!</definedName>
    <definedName name="MART2_4">#REF!</definedName>
    <definedName name="MART2_5">#REF!</definedName>
    <definedName name="MART2_6">#REF!</definedName>
    <definedName name="MART2_7">#REF!</definedName>
    <definedName name="MART444">#REF!</definedName>
    <definedName name="MART444_2">#REF!</definedName>
    <definedName name="MART444_3">#REF!</definedName>
    <definedName name="MART444_4">#REF!</definedName>
    <definedName name="MART444_5">#REF!</definedName>
    <definedName name="MART444_6">#REF!</definedName>
    <definedName name="MART444_7">#REF!</definedName>
    <definedName name="MARTOD2">#REF!</definedName>
    <definedName name="MARTOD2_2">#REF!</definedName>
    <definedName name="MARTOD2_3">#REF!</definedName>
    <definedName name="MARTOD2_4">#REF!</definedName>
    <definedName name="MARTOD2_5">#REF!</definedName>
    <definedName name="MARTOD2_6">#REF!</definedName>
    <definedName name="MARTOD2_7">#REF!</definedName>
    <definedName name="MARTODEME">#REF!</definedName>
    <definedName name="MARTODEME_2">#REF!</definedName>
    <definedName name="MARTODEME_3">#REF!</definedName>
    <definedName name="MARTODEME_4">#REF!</definedName>
    <definedName name="MARTODEME_5">#REF!</definedName>
    <definedName name="MARTODEME_6">#REF!</definedName>
    <definedName name="MARTODEME_7">#REF!</definedName>
    <definedName name="MATADOR1" hidden="1">#REF!</definedName>
    <definedName name="MATADOR3" hidden="1">#REF!</definedName>
    <definedName name="MATERYAL_ADI">#REF!</definedName>
    <definedName name="MATERYALLER">#REF!</definedName>
    <definedName name="matlist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matlist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matlist_1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matlist_1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matlist_1_1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matlist_1_1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matlist_1_2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matlist_1_2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matlist_1_3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matlist_1_3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matlist_2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matlist_2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matlist_2_1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matlist_2_1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matlist_2_2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matlist_2_2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matlist_3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matlist_3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matlist_4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matlist_4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max_animation">#REF!</definedName>
    <definedName name="max_file_size">#REF!</definedName>
    <definedName name="Max_File_Size_KB">#REF!</definedName>
    <definedName name="max_looping">#REF!</definedName>
    <definedName name="MaxRange">'[103]MA-BL'!#REF!</definedName>
    <definedName name="MAYIS">#REF!</definedName>
    <definedName name="MAYIS_2">#REF!</definedName>
    <definedName name="MAYIS_3">#REF!</definedName>
    <definedName name="MAYIS_4">#REF!</definedName>
    <definedName name="MAYIS_5">#REF!</definedName>
    <definedName name="MAYIS_6">#REF!</definedName>
    <definedName name="MAYIS_7">#REF!</definedName>
    <definedName name="MAYISGAZETE">#REF!</definedName>
    <definedName name="MAYISRADYO">#REF!</definedName>
    <definedName name="MAYISTV">#REF!</definedName>
    <definedName name="MCBCOM">0.92</definedName>
    <definedName name="Media_Plan_Name">#REF!</definedName>
    <definedName name="Media_Plan_Number">#REF!</definedName>
    <definedName name="mediatype">[104]Mediatype!$A$1:$A$3</definedName>
    <definedName name="MEDYA_REVİZYON">#REF!</definedName>
    <definedName name="MEDYAGÜNDEM">#REF!</definedName>
    <definedName name="MEDYANATİVE">#REF!</definedName>
    <definedName name="Mega_Shock__Ör1__Ör2">#REF!</definedName>
    <definedName name="Meio">"TV"</definedName>
    <definedName name="mele" localSheetId="0" hidden="1">{#N/A,#N/A,FALSE,"Sheet1 (2)"}</definedName>
    <definedName name="mele" hidden="1">{#N/A,#N/A,FALSE,"Sheet1 (2)"}</definedName>
    <definedName name="mele_1" localSheetId="0" hidden="1">{#N/A,#N/A,FALSE,"Sheet1 (2)"}</definedName>
    <definedName name="mele_1" hidden="1">{#N/A,#N/A,FALSE,"Sheet1 (2)"}</definedName>
    <definedName name="mele_1_1" localSheetId="0" hidden="1">{#N/A,#N/A,FALSE,"Sheet1 (2)"}</definedName>
    <definedName name="mele_1_1" hidden="1">{#N/A,#N/A,FALSE,"Sheet1 (2)"}</definedName>
    <definedName name="mele_1_2" localSheetId="0" hidden="1">{#N/A,#N/A,FALSE,"Sheet1 (2)"}</definedName>
    <definedName name="mele_1_2" hidden="1">{#N/A,#N/A,FALSE,"Sheet1 (2)"}</definedName>
    <definedName name="mele_1_3" localSheetId="0" hidden="1">{#N/A,#N/A,FALSE,"Sheet1 (2)"}</definedName>
    <definedName name="mele_1_3" hidden="1">{#N/A,#N/A,FALSE,"Sheet1 (2)"}</definedName>
    <definedName name="mele_2" localSheetId="0" hidden="1">{#N/A,#N/A,FALSE,"Sheet1 (2)"}</definedName>
    <definedName name="mele_2" hidden="1">{#N/A,#N/A,FALSE,"Sheet1 (2)"}</definedName>
    <definedName name="mele_2_1" localSheetId="0" hidden="1">{#N/A,#N/A,FALSE,"Sheet1 (2)"}</definedName>
    <definedName name="mele_2_1" hidden="1">{#N/A,#N/A,FALSE,"Sheet1 (2)"}</definedName>
    <definedName name="mele_2_2" localSheetId="0" hidden="1">{#N/A,#N/A,FALSE,"Sheet1 (2)"}</definedName>
    <definedName name="mele_2_2" hidden="1">{#N/A,#N/A,FALSE,"Sheet1 (2)"}</definedName>
    <definedName name="mele_3" localSheetId="0" hidden="1">{#N/A,#N/A,FALSE,"Sheet1 (2)"}</definedName>
    <definedName name="mele_3" hidden="1">{#N/A,#N/A,FALSE,"Sheet1 (2)"}</definedName>
    <definedName name="mele_4" localSheetId="0" hidden="1">{#N/A,#N/A,FALSE,"Sheet1 (2)"}</definedName>
    <definedName name="mele_4" hidden="1">{#N/A,#N/A,FALSE,"Sheet1 (2)"}</definedName>
    <definedName name="MELİKE" localSheetId="0">'Haziran Gerçekleşen Plan'!MELİKE</definedName>
    <definedName name="MELİKE">[0]!MELİKE</definedName>
    <definedName name="MELTEM">#REF!</definedName>
    <definedName name="memo" localSheetId="0">'Haziran Gerçekleşen Plan'!memo</definedName>
    <definedName name="memo">[0]!memo</definedName>
    <definedName name="Mepas">#REF!</definedName>
    <definedName name="Mepas_2">#REF!</definedName>
    <definedName name="Mepas_3">#REF!</definedName>
    <definedName name="Mepas_4">#REF!</definedName>
    <definedName name="Mepas_5">#REF!</definedName>
    <definedName name="Mepas_6">#REF!</definedName>
    <definedName name="Mepas_7">#REF!</definedName>
    <definedName name="MERGEDİJİTAL">#REF!</definedName>
    <definedName name="MERSİN">#REF!</definedName>
    <definedName name="mertttt" localSheetId="0" hidden="1">{#N/A,#N/A,FALSE,"Sheet1 (2)"}</definedName>
    <definedName name="mertttt" hidden="1">{#N/A,#N/A,FALSE,"Sheet1 (2)"}</definedName>
    <definedName name="merveharman" localSheetId="0" hidden="1">{#N/A,#N/A,FALSE,"Sheet1 (2)"}</definedName>
    <definedName name="merveharman" hidden="1">{#N/A,#N/A,FALSE,"Sheet1 (2)"}</definedName>
    <definedName name="Mese">[34]Ref!$B$18</definedName>
    <definedName name="Mesi">[34]Ref!$A$26:$B$37</definedName>
    <definedName name="metta" localSheetId="0" hidden="1">{#N/A,#N/A,FALSE,"Sheet1 (2)"}</definedName>
    <definedName name="metta" hidden="1">{#N/A,#N/A,FALSE,"Sheet1 (2)"}</definedName>
    <definedName name="MEVSIMSELLIK">#REF!</definedName>
    <definedName name="MEVSIMSELLIK_KANAL">#REF!</definedName>
    <definedName name="Midwest_USA">#REF!</definedName>
    <definedName name="mmm" localSheetId="0">'Haziran Gerçekleşen Plan'!mmm</definedName>
    <definedName name="mmm">[0]!mmm</definedName>
    <definedName name="MMMMMMM" localSheetId="0" hidden="1">{#N/A,#N/A,FALSE,"Sheet1 (2)"}</definedName>
    <definedName name="MMMMMMM" hidden="1">{#N/A,#N/A,FALSE,"Sheet1 (2)"}</definedName>
    <definedName name="MMMMMMM_1" localSheetId="0" hidden="1">{#N/A,#N/A,FALSE,"Sheet1 (2)"}</definedName>
    <definedName name="MMMMMMM_1" hidden="1">{#N/A,#N/A,FALSE,"Sheet1 (2)"}</definedName>
    <definedName name="MMMMMMM_1_1" localSheetId="0" hidden="1">{#N/A,#N/A,FALSE,"Sheet1 (2)"}</definedName>
    <definedName name="MMMMMMM_1_1" hidden="1">{#N/A,#N/A,FALSE,"Sheet1 (2)"}</definedName>
    <definedName name="MMMMMMM_1_2" localSheetId="0" hidden="1">{#N/A,#N/A,FALSE,"Sheet1 (2)"}</definedName>
    <definedName name="MMMMMMM_1_2" hidden="1">{#N/A,#N/A,FALSE,"Sheet1 (2)"}</definedName>
    <definedName name="MMMMMMM_1_3" localSheetId="0" hidden="1">{#N/A,#N/A,FALSE,"Sheet1 (2)"}</definedName>
    <definedName name="MMMMMMM_1_3" hidden="1">{#N/A,#N/A,FALSE,"Sheet1 (2)"}</definedName>
    <definedName name="MMMMMMM_2" localSheetId="0" hidden="1">{#N/A,#N/A,FALSE,"Sheet1 (2)"}</definedName>
    <definedName name="MMMMMMM_2" hidden="1">{#N/A,#N/A,FALSE,"Sheet1 (2)"}</definedName>
    <definedName name="MMMMMMM_2_1" localSheetId="0" hidden="1">{#N/A,#N/A,FALSE,"Sheet1 (2)"}</definedName>
    <definedName name="MMMMMMM_2_1" hidden="1">{#N/A,#N/A,FALSE,"Sheet1 (2)"}</definedName>
    <definedName name="MMMMMMM_2_2" localSheetId="0" hidden="1">{#N/A,#N/A,FALSE,"Sheet1 (2)"}</definedName>
    <definedName name="MMMMMMM_2_2" hidden="1">{#N/A,#N/A,FALSE,"Sheet1 (2)"}</definedName>
    <definedName name="MMMMMMM_3" localSheetId="0" hidden="1">{#N/A,#N/A,FALSE,"Sheet1 (2)"}</definedName>
    <definedName name="MMMMMMM_3" hidden="1">{#N/A,#N/A,FALSE,"Sheet1 (2)"}</definedName>
    <definedName name="MMMMMMM_4" localSheetId="0" hidden="1">{#N/A,#N/A,FALSE,"Sheet1 (2)"}</definedName>
    <definedName name="MMMMMMM_4" hidden="1">{#N/A,#N/A,FALSE,"Sheet1 (2)"}</definedName>
    <definedName name="Mo">#REF!</definedName>
    <definedName name="mobil1">#REF!</definedName>
    <definedName name="Mobile">#REF!</definedName>
    <definedName name="MOBİLİKEMOBİL">#REF!</definedName>
    <definedName name="MOBILYA" localSheetId="0" hidden="1">{#N/A,#N/A,FALSE,"MALİTABLOLAR"}</definedName>
    <definedName name="MOBILYA" hidden="1">{#N/A,#N/A,FALSE,"MALİTABLOLAR"}</definedName>
    <definedName name="MOBILYA_1" localSheetId="0" hidden="1">{#N/A,#N/A,FALSE,"MALİTABLOLAR"}</definedName>
    <definedName name="MOBILYA_1" hidden="1">{#N/A,#N/A,FALSE,"MALİTABLOLAR"}</definedName>
    <definedName name="MOBILYA_1_1" localSheetId="0" hidden="1">{#N/A,#N/A,FALSE,"MALİTABLOLAR"}</definedName>
    <definedName name="MOBILYA_1_1" hidden="1">{#N/A,#N/A,FALSE,"MALİTABLOLAR"}</definedName>
    <definedName name="MOBILYA_1_2" localSheetId="0" hidden="1">{#N/A,#N/A,FALSE,"MALİTABLOLAR"}</definedName>
    <definedName name="MOBILYA_1_2" hidden="1">{#N/A,#N/A,FALSE,"MALİTABLOLAR"}</definedName>
    <definedName name="MOBILYA_1_3" localSheetId="0" hidden="1">{#N/A,#N/A,FALSE,"MALİTABLOLAR"}</definedName>
    <definedName name="MOBILYA_1_3" hidden="1">{#N/A,#N/A,FALSE,"MALİTABLOLAR"}</definedName>
    <definedName name="MOBILYA_2" localSheetId="0" hidden="1">{#N/A,#N/A,FALSE,"MALİTABLOLAR"}</definedName>
    <definedName name="MOBILYA_2" hidden="1">{#N/A,#N/A,FALSE,"MALİTABLOLAR"}</definedName>
    <definedName name="MOBILYA_2_1" localSheetId="0" hidden="1">{#N/A,#N/A,FALSE,"MALİTABLOLAR"}</definedName>
    <definedName name="MOBILYA_2_1" hidden="1">{#N/A,#N/A,FALSE,"MALİTABLOLAR"}</definedName>
    <definedName name="MOBILYA_2_2" localSheetId="0" hidden="1">{#N/A,#N/A,FALSE,"MALİTABLOLAR"}</definedName>
    <definedName name="MOBILYA_2_2" hidden="1">{#N/A,#N/A,FALSE,"MALİTABLOLAR"}</definedName>
    <definedName name="MOBILYA_3" localSheetId="0" hidden="1">{#N/A,#N/A,FALSE,"MALİTABLOLAR"}</definedName>
    <definedName name="MOBILYA_3" hidden="1">{#N/A,#N/A,FALSE,"MALİTABLOLAR"}</definedName>
    <definedName name="MOBILYA_4" localSheetId="0" hidden="1">{#N/A,#N/A,FALSE,"MALİTABLOLAR"}</definedName>
    <definedName name="MOBILYA_4" hidden="1">{#N/A,#N/A,FALSE,"MALİTABLOLAR"}</definedName>
    <definedName name="mod">#REF!</definedName>
    <definedName name="Month">#REF!</definedName>
    <definedName name="monthcolumn.122010">#REF!</definedName>
    <definedName name="monthColumn.62003">#REF!</definedName>
    <definedName name="MonthDetailFormat">#REF!</definedName>
    <definedName name="MonthGrandTotalFormat">#REF!</definedName>
    <definedName name="MonthIM">#REF!</definedName>
    <definedName name="MonthLabel1">#REF!</definedName>
    <definedName name="MonthParentFormat">#REF!</definedName>
    <definedName name="MonthSubtotalFormat">#REF!</definedName>
    <definedName name="MostraConcorrenti">[105]!MostraConcorrenti</definedName>
    <definedName name="MostraVisuale">[105]!MostraVisuale</definedName>
    <definedName name="mov" localSheetId="0" hidden="1">{#N/A,#N/A,FALSE,"Sheet1 (2)"}</definedName>
    <definedName name="mov" hidden="1">{#N/A,#N/A,FALSE,"Sheet1 (2)"}</definedName>
    <definedName name="msdfmömöçsdfmöçsdfmöçmöçasdffdf" localSheetId="0" hidden="1">{#N/A,#N/A,FALSE,"Sheet1 (2)"}</definedName>
    <definedName name="msdfmömöçsdfmöçsdfmöçmöçasdffdf" hidden="1">{#N/A,#N/A,FALSE,"Sheet1 (2)"}</definedName>
    <definedName name="msdfmömöçsdfmöçsdfmöçmöçasdffdf_1" localSheetId="0" hidden="1">{#N/A,#N/A,FALSE,"Sheet1 (2)"}</definedName>
    <definedName name="msdfmömöçsdfmöçsdfmöçmöçasdffdf_1" hidden="1">{#N/A,#N/A,FALSE,"Sheet1 (2)"}</definedName>
    <definedName name="msdfmömöçsdfmöçsdfmöçmöçasdffdf_1_1" localSheetId="0" hidden="1">{#N/A,#N/A,FALSE,"Sheet1 (2)"}</definedName>
    <definedName name="msdfmömöçsdfmöçsdfmöçmöçasdffdf_1_1" hidden="1">{#N/A,#N/A,FALSE,"Sheet1 (2)"}</definedName>
    <definedName name="msdfmömöçsdfmöçsdfmöçmöçasdffdf_1_2" localSheetId="0" hidden="1">{#N/A,#N/A,FALSE,"Sheet1 (2)"}</definedName>
    <definedName name="msdfmömöçsdfmöçsdfmöçmöçasdffdf_1_2" hidden="1">{#N/A,#N/A,FALSE,"Sheet1 (2)"}</definedName>
    <definedName name="msdfmömöçsdfmöçsdfmöçmöçasdffdf_1_3" localSheetId="0" hidden="1">{#N/A,#N/A,FALSE,"Sheet1 (2)"}</definedName>
    <definedName name="msdfmömöçsdfmöçsdfmöçmöçasdffdf_1_3" hidden="1">{#N/A,#N/A,FALSE,"Sheet1 (2)"}</definedName>
    <definedName name="msdfmömöçsdfmöçsdfmöçmöçasdffdf_2" localSheetId="0" hidden="1">{#N/A,#N/A,FALSE,"Sheet1 (2)"}</definedName>
    <definedName name="msdfmömöçsdfmöçsdfmöçmöçasdffdf_2" hidden="1">{#N/A,#N/A,FALSE,"Sheet1 (2)"}</definedName>
    <definedName name="msdfmömöçsdfmöçsdfmöçmöçasdffdf_2_1" localSheetId="0" hidden="1">{#N/A,#N/A,FALSE,"Sheet1 (2)"}</definedName>
    <definedName name="msdfmömöçsdfmöçsdfmöçmöçasdffdf_2_1" hidden="1">{#N/A,#N/A,FALSE,"Sheet1 (2)"}</definedName>
    <definedName name="msdfmömöçsdfmöçsdfmöçmöçasdffdf_2_2" localSheetId="0" hidden="1">{#N/A,#N/A,FALSE,"Sheet1 (2)"}</definedName>
    <definedName name="msdfmömöçsdfmöçsdfmöçmöçasdffdf_2_2" hidden="1">{#N/A,#N/A,FALSE,"Sheet1 (2)"}</definedName>
    <definedName name="msdfmömöçsdfmöçsdfmöçmöçasdffdf_3" localSheetId="0" hidden="1">{#N/A,#N/A,FALSE,"Sheet1 (2)"}</definedName>
    <definedName name="msdfmömöçsdfmöçsdfmöçmöçasdffdf_3" hidden="1">{#N/A,#N/A,FALSE,"Sheet1 (2)"}</definedName>
    <definedName name="msdfmömöçsdfmöçsdfmöçmöçasdffdf_4" localSheetId="0" hidden="1">{#N/A,#N/A,FALSE,"Sheet1 (2)"}</definedName>
    <definedName name="msdfmömöçsdfmöçsdfmöçmöçasdffdf_4" hidden="1">{#N/A,#N/A,FALSE,"Sheet1 (2)"}</definedName>
    <definedName name="MUĞLA">#REF!</definedName>
    <definedName name="MUŞ">#REF!</definedName>
    <definedName name="MUSTAFAOZANTALAR">#REF!</definedName>
    <definedName name="MUSTER_ADI">#REF!</definedName>
    <definedName name="musteri">#REF!</definedName>
    <definedName name="MÜŞTERİ">#REF!</definedName>
    <definedName name="musteri_2">#REF!</definedName>
    <definedName name="musteri_3">#REF!</definedName>
    <definedName name="musteri_4">#REF!</definedName>
    <definedName name="musteri_5">#REF!</definedName>
    <definedName name="musteri_6">#REF!</definedName>
    <definedName name="musteri_7">#REF!</definedName>
    <definedName name="MyList">#REF!</definedName>
    <definedName name="mynet">#REF!</definedName>
    <definedName name="n">[106]Sheet2!$M$1</definedName>
    <definedName name="Nakliye_Data">#REF!</definedName>
    <definedName name="Napoliten" localSheetId="0" hidden="1">{#N/A,#N/A,FALSE,"MALİTABLOLAR"}</definedName>
    <definedName name="Napoliten" hidden="1">{#N/A,#N/A,FALSE,"MALİTABLOLAR"}</definedName>
    <definedName name="Napoliten_1" localSheetId="0" hidden="1">{#N/A,#N/A,FALSE,"MALİTABLOLAR"}</definedName>
    <definedName name="Napoliten_1" hidden="1">{#N/A,#N/A,FALSE,"MALİTABLOLAR"}</definedName>
    <definedName name="Napoliten_1_1" localSheetId="0" hidden="1">{#N/A,#N/A,FALSE,"MALİTABLOLAR"}</definedName>
    <definedName name="Napoliten_1_1" hidden="1">{#N/A,#N/A,FALSE,"MALİTABLOLAR"}</definedName>
    <definedName name="Napoliten_1_2" localSheetId="0" hidden="1">{#N/A,#N/A,FALSE,"MALİTABLOLAR"}</definedName>
    <definedName name="Napoliten_1_2" hidden="1">{#N/A,#N/A,FALSE,"MALİTABLOLAR"}</definedName>
    <definedName name="Napoliten_1_3" localSheetId="0" hidden="1">{#N/A,#N/A,FALSE,"MALİTABLOLAR"}</definedName>
    <definedName name="Napoliten_1_3" hidden="1">{#N/A,#N/A,FALSE,"MALİTABLOLAR"}</definedName>
    <definedName name="Napoliten_2" localSheetId="0" hidden="1">{#N/A,#N/A,FALSE,"MALİTABLOLAR"}</definedName>
    <definedName name="Napoliten_2" hidden="1">{#N/A,#N/A,FALSE,"MALİTABLOLAR"}</definedName>
    <definedName name="Napoliten_2_1" localSheetId="0" hidden="1">{#N/A,#N/A,FALSE,"MALİTABLOLAR"}</definedName>
    <definedName name="Napoliten_2_1" hidden="1">{#N/A,#N/A,FALSE,"MALİTABLOLAR"}</definedName>
    <definedName name="Napoliten_2_2" localSheetId="0" hidden="1">{#N/A,#N/A,FALSE,"MALİTABLOLAR"}</definedName>
    <definedName name="Napoliten_2_2" hidden="1">{#N/A,#N/A,FALSE,"MALİTABLOLAR"}</definedName>
    <definedName name="Napoliten_3" localSheetId="0" hidden="1">{#N/A,#N/A,FALSE,"MALİTABLOLAR"}</definedName>
    <definedName name="Napoliten_3" hidden="1">{#N/A,#N/A,FALSE,"MALİTABLOLAR"}</definedName>
    <definedName name="Napoliten_4" localSheetId="0" hidden="1">{#N/A,#N/A,FALSE,"MALİTABLOLAR"}</definedName>
    <definedName name="Napoliten_4" hidden="1">{#N/A,#N/A,FALSE,"MALİTABLOLAR"}</definedName>
    <definedName name="NascondiConcorrenti">[105]!NascondiConcorrenti</definedName>
    <definedName name="NascondiVisuale">[105]!NascondiVisuale</definedName>
    <definedName name="nb">[77]Programlar!$A$2:$B$121</definedName>
    <definedName name="NEREDEKAL">#REF!</definedName>
    <definedName name="Net_Ilan_M">#REF!</definedName>
    <definedName name="NET_TOTAL">#REF!</definedName>
    <definedName name="Net_Tutar">#REF!</definedName>
    <definedName name="NETCOM">#REF!</definedName>
    <definedName name="NetCost">'[21]Proposal Details'!$L$1:$L$65536</definedName>
    <definedName name="NetCost2">[21]Hidden_Data!$L$1:$L$65536</definedName>
    <definedName name="NetCostBasis">#REF!</definedName>
    <definedName name="netnews">#REF!</definedName>
    <definedName name="netnews_2">#REF!</definedName>
    <definedName name="netnews_3">#REF!</definedName>
    <definedName name="netnews_4">#REF!</definedName>
    <definedName name="netnews_5">#REF!</definedName>
    <definedName name="netnews_6">#REF!</definedName>
    <definedName name="netnews_7">#REF!</definedName>
    <definedName name="NetRate">'[21]Proposal Details'!$K$1:$K$65536</definedName>
    <definedName name="NETTL">#REF!</definedName>
    <definedName name="NETTL05">#REF!</definedName>
    <definedName name="Netto">#REF!</definedName>
    <definedName name="NETWORK">[50]Network!$A$1:$A$65536</definedName>
    <definedName name="NEVŞEHİR">#REF!</definedName>
    <definedName name="new" hidden="1">#REF!</definedName>
    <definedName name="News">#REF!</definedName>
    <definedName name="newspaper" localSheetId="0" hidden="1">{#N/A,#N/A,FALSE,"Sheet1 (2)"}</definedName>
    <definedName name="newspaper" hidden="1">{#N/A,#N/A,FALSE,"Sheet1 (2)"}</definedName>
    <definedName name="nhg" localSheetId="0" hidden="1">{#N/A,#N/A,FALSE,"Sheet1 (2)"}</definedName>
    <definedName name="nhg" hidden="1">{#N/A,#N/A,FALSE,"Sheet1 (2)"}</definedName>
    <definedName name="nhg_1" localSheetId="0" hidden="1">{#N/A,#N/A,FALSE,"Sheet1 (2)"}</definedName>
    <definedName name="nhg_1" hidden="1">{#N/A,#N/A,FALSE,"Sheet1 (2)"}</definedName>
    <definedName name="nhg_1_1" localSheetId="0" hidden="1">{#N/A,#N/A,FALSE,"Sheet1 (2)"}</definedName>
    <definedName name="nhg_1_1" hidden="1">{#N/A,#N/A,FALSE,"Sheet1 (2)"}</definedName>
    <definedName name="nhg_1_2" localSheetId="0" hidden="1">{#N/A,#N/A,FALSE,"Sheet1 (2)"}</definedName>
    <definedName name="nhg_1_2" hidden="1">{#N/A,#N/A,FALSE,"Sheet1 (2)"}</definedName>
    <definedName name="nhg_1_3" localSheetId="0" hidden="1">{#N/A,#N/A,FALSE,"Sheet1 (2)"}</definedName>
    <definedName name="nhg_1_3" hidden="1">{#N/A,#N/A,FALSE,"Sheet1 (2)"}</definedName>
    <definedName name="nhg_2" localSheetId="0" hidden="1">{#N/A,#N/A,FALSE,"Sheet1 (2)"}</definedName>
    <definedName name="nhg_2" hidden="1">{#N/A,#N/A,FALSE,"Sheet1 (2)"}</definedName>
    <definedName name="nhg_2_1" localSheetId="0" hidden="1">{#N/A,#N/A,FALSE,"Sheet1 (2)"}</definedName>
    <definedName name="nhg_2_1" hidden="1">{#N/A,#N/A,FALSE,"Sheet1 (2)"}</definedName>
    <definedName name="nhg_2_2" localSheetId="0" hidden="1">{#N/A,#N/A,FALSE,"Sheet1 (2)"}</definedName>
    <definedName name="nhg_2_2" hidden="1">{#N/A,#N/A,FALSE,"Sheet1 (2)"}</definedName>
    <definedName name="nhg_3" localSheetId="0" hidden="1">{#N/A,#N/A,FALSE,"Sheet1 (2)"}</definedName>
    <definedName name="nhg_3" hidden="1">{#N/A,#N/A,FALSE,"Sheet1 (2)"}</definedName>
    <definedName name="nhg_4" localSheetId="0" hidden="1">{#N/A,#N/A,FALSE,"Sheet1 (2)"}</definedName>
    <definedName name="nhg_4" hidden="1">{#N/A,#N/A,FALSE,"Sheet1 (2)"}</definedName>
    <definedName name="Nickolodeon">#REF!</definedName>
    <definedName name="Nickolodeon_2">#REF!</definedName>
    <definedName name="Nickolodeon_3">#REF!</definedName>
    <definedName name="Nickolodeon_4">#REF!</definedName>
    <definedName name="Nickolodeon_5">#REF!</definedName>
    <definedName name="Nickolodeon_6">#REF!</definedName>
    <definedName name="Nickolodeon_7">#REF!</definedName>
    <definedName name="NİĞDE">#REF!</definedName>
    <definedName name="nisan">[107]Foglio1!$AI$2:$AJ$13</definedName>
    <definedName name="Nisssss" hidden="1">#REF!</definedName>
    <definedName name="NM">[89]!NM</definedName>
    <definedName name="NMNM" localSheetId="0" hidden="1">{"'Jan - March 2000'!$A$5:$J$46"}</definedName>
    <definedName name="NMNM" hidden="1">{"'Jan - March 2000'!$A$5:$J$46"}</definedName>
    <definedName name="nn" hidden="1">#REF!</definedName>
    <definedName name="NNN" localSheetId="0">'Haziran Gerçekleşen Plan'!NNN</definedName>
    <definedName name="NNN">[0]!NNN</definedName>
    <definedName name="NNNNN" localSheetId="0">{"VOLUME","SUM(VOLUME)","YNNNN",FALSE}</definedName>
    <definedName name="NNNNN">{"VOLUME","SUM(VOLUME)","YNNNN",FALSE}</definedName>
    <definedName name="NNNNNNNNN" localSheetId="0" hidden="1">{#N/A,#N/A,FALSE,"Sheet1 (2)"}</definedName>
    <definedName name="NNNNNNNNN" hidden="1">{#N/A,#N/A,FALSE,"Sheet1 (2)"}</definedName>
    <definedName name="NNNNNNNNN_1" localSheetId="0" hidden="1">{#N/A,#N/A,FALSE,"Sheet1 (2)"}</definedName>
    <definedName name="NNNNNNNNN_1" hidden="1">{#N/A,#N/A,FALSE,"Sheet1 (2)"}</definedName>
    <definedName name="NNNNNNNNN_1_1" localSheetId="0" hidden="1">{#N/A,#N/A,FALSE,"Sheet1 (2)"}</definedName>
    <definedName name="NNNNNNNNN_1_1" hidden="1">{#N/A,#N/A,FALSE,"Sheet1 (2)"}</definedName>
    <definedName name="NNNNNNNNN_1_2" localSheetId="0" hidden="1">{#N/A,#N/A,FALSE,"Sheet1 (2)"}</definedName>
    <definedName name="NNNNNNNNN_1_2" hidden="1">{#N/A,#N/A,FALSE,"Sheet1 (2)"}</definedName>
    <definedName name="NNNNNNNNN_1_3" localSheetId="0" hidden="1">{#N/A,#N/A,FALSE,"Sheet1 (2)"}</definedName>
    <definedName name="NNNNNNNNN_1_3" hidden="1">{#N/A,#N/A,FALSE,"Sheet1 (2)"}</definedName>
    <definedName name="NNNNNNNNN_2" localSheetId="0" hidden="1">{#N/A,#N/A,FALSE,"Sheet1 (2)"}</definedName>
    <definedName name="NNNNNNNNN_2" hidden="1">{#N/A,#N/A,FALSE,"Sheet1 (2)"}</definedName>
    <definedName name="NNNNNNNNN_2_1" localSheetId="0" hidden="1">{#N/A,#N/A,FALSE,"Sheet1 (2)"}</definedName>
    <definedName name="NNNNNNNNN_2_1" hidden="1">{#N/A,#N/A,FALSE,"Sheet1 (2)"}</definedName>
    <definedName name="NNNNNNNNN_2_2" localSheetId="0" hidden="1">{#N/A,#N/A,FALSE,"Sheet1 (2)"}</definedName>
    <definedName name="NNNNNNNNN_2_2" hidden="1">{#N/A,#N/A,FALSE,"Sheet1 (2)"}</definedName>
    <definedName name="NNNNNNNNN_3" localSheetId="0" hidden="1">{#N/A,#N/A,FALSE,"Sheet1 (2)"}</definedName>
    <definedName name="NNNNNNNNN_3" hidden="1">{#N/A,#N/A,FALSE,"Sheet1 (2)"}</definedName>
    <definedName name="NNNNNNNNN_4" localSheetId="0" hidden="1">{#N/A,#N/A,FALSE,"Sheet1 (2)"}</definedName>
    <definedName name="NNNNNNNNN_4" hidden="1">{#N/A,#N/A,FALSE,"Sheet1 (2)"}</definedName>
    <definedName name="nnnnnnnnnn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nnnnnnnn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nsn" hidden="1">#REF!</definedName>
    <definedName name="NO" localSheetId="0" hidden="1">{#N/A,#N/A,FALSE,"MALİTABLOLAR"}</definedName>
    <definedName name="NO" hidden="1">{#N/A,#N/A,FALSE,"MALİTABLOLAR"}</definedName>
    <definedName name="Női_és_családi_lapok">#REF!</definedName>
    <definedName name="NOKTACOMMEDYA">#REF!</definedName>
    <definedName name="nome1">[62]Foglio1!$B$6</definedName>
    <definedName name="nome2">[62]Foglio1!$D$6</definedName>
    <definedName name="nome3">[62]Foglio1!$F$6</definedName>
    <definedName name="nome4">[62]Foglio1!$I$6</definedName>
    <definedName name="notcovered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otcovere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TV" localSheetId="0">[47]Kategoriler!$A$46:$B$57</definedName>
    <definedName name="NTV">[48]Kategoriler!$A$46:$B$57</definedName>
    <definedName name="ntvmsnbc">#REF!</definedName>
    <definedName name="ntvno" localSheetId="0">'[108]ntv-fiyat'!$A$25:$C$41</definedName>
    <definedName name="ntvno">'[109]ntv-fiyat'!$A$25:$C$41</definedName>
    <definedName name="NumberOne">#REF!</definedName>
    <definedName name="NumberOne_2">#REF!</definedName>
    <definedName name="NumberOne_3">#REF!</definedName>
    <definedName name="NumberOne_4">#REF!</definedName>
    <definedName name="NumberOne_5">#REF!</definedName>
    <definedName name="NumberOne_6">#REF!</definedName>
    <definedName name="NumberOne_7">#REF!</definedName>
    <definedName name="Nummer">[62]Foglio1!$R$1</definedName>
    <definedName name="O" localSheetId="0" hidden="1">{#N/A,#N/A,FALSE,"Sheet1 (2)"}</definedName>
    <definedName name="O" hidden="1">{#N/A,#N/A,FALSE,"Sheet1 (2)"}</definedName>
    <definedName name="O_1" localSheetId="0" hidden="1">{#N/A,#N/A,FALSE,"Sheet1 (2)"}</definedName>
    <definedName name="O_1" hidden="1">{#N/A,#N/A,FALSE,"Sheet1 (2)"}</definedName>
    <definedName name="O_1_1" localSheetId="0" hidden="1">{#N/A,#N/A,FALSE,"Sheet1 (2)"}</definedName>
    <definedName name="O_1_1" hidden="1">{#N/A,#N/A,FALSE,"Sheet1 (2)"}</definedName>
    <definedName name="O_1_2" localSheetId="0" hidden="1">{#N/A,#N/A,FALSE,"Sheet1 (2)"}</definedName>
    <definedName name="O_1_2" hidden="1">{#N/A,#N/A,FALSE,"Sheet1 (2)"}</definedName>
    <definedName name="O_1_3" localSheetId="0" hidden="1">{#N/A,#N/A,FALSE,"Sheet1 (2)"}</definedName>
    <definedName name="O_1_3" hidden="1">{#N/A,#N/A,FALSE,"Sheet1 (2)"}</definedName>
    <definedName name="O_2" localSheetId="0" hidden="1">{#N/A,#N/A,FALSE,"Sheet1 (2)"}</definedName>
    <definedName name="O_2" hidden="1">{#N/A,#N/A,FALSE,"Sheet1 (2)"}</definedName>
    <definedName name="O_2_1" localSheetId="0" hidden="1">{#N/A,#N/A,FALSE,"Sheet1 (2)"}</definedName>
    <definedName name="O_2_1" hidden="1">{#N/A,#N/A,FALSE,"Sheet1 (2)"}</definedName>
    <definedName name="O_2_2" localSheetId="0" hidden="1">{#N/A,#N/A,FALSE,"Sheet1 (2)"}</definedName>
    <definedName name="O_2_2" hidden="1">{#N/A,#N/A,FALSE,"Sheet1 (2)"}</definedName>
    <definedName name="O_3" localSheetId="0" hidden="1">{#N/A,#N/A,FALSE,"Sheet1 (2)"}</definedName>
    <definedName name="O_3" hidden="1">{#N/A,#N/A,FALSE,"Sheet1 (2)"}</definedName>
    <definedName name="O_4" localSheetId="0" hidden="1">{#N/A,#N/A,FALSE,"Sheet1 (2)"}</definedName>
    <definedName name="O_4" hidden="1">{#N/A,#N/A,FALSE,"Sheet1 (2)"}</definedName>
    <definedName name="öaezaçü" localSheetId="0" hidden="1">{#N/A,#N/A,FALSE,"Sheet1 (2)"}</definedName>
    <definedName name="öaezaçü" hidden="1">{#N/A,#N/A,FALSE,"Sheet1 (2)"}</definedName>
    <definedName name="OCAK">#REF!</definedName>
    <definedName name="OCAK_2">#REF!</definedName>
    <definedName name="OCAK_3">#REF!</definedName>
    <definedName name="OCAK_4">#REF!</definedName>
    <definedName name="OCAK_5">#REF!</definedName>
    <definedName name="OCAK_6">#REF!</definedName>
    <definedName name="OCAK_7">#REF!</definedName>
    <definedName name="od" hidden="1">#REF!</definedName>
    <definedName name="ÖD">#REF!</definedName>
    <definedName name="ÖD_2">#REF!</definedName>
    <definedName name="ÖD_3">#REF!</definedName>
    <definedName name="ÖD_4">#REF!</definedName>
    <definedName name="ÖD_5">#REF!</definedName>
    <definedName name="ÖD_6">#REF!</definedName>
    <definedName name="ÖD_7">#REF!</definedName>
    <definedName name="Oda_Karti">#REF!</definedName>
    <definedName name="ÖDEME">#REF!</definedName>
    <definedName name="ÖDEME2">#REF!</definedName>
    <definedName name="ÖDEME3">#REF!</definedName>
    <definedName name="ÖDEME3_2">#REF!</definedName>
    <definedName name="ÖDEME3_3">#REF!</definedName>
    <definedName name="ÖDEME3_4">#REF!</definedName>
    <definedName name="ÖDEME3_5">#REF!</definedName>
    <definedName name="ÖDEME3_6">#REF!</definedName>
    <definedName name="ÖDEME3_7">#REF!</definedName>
    <definedName name="ÖDEMEVRL">#REF!</definedName>
    <definedName name="ÖDEMEVRL_2">#REF!</definedName>
    <definedName name="ÖDEMEVRL_3">#REF!</definedName>
    <definedName name="ÖDEMEVRL_4">#REF!</definedName>
    <definedName name="ÖDEMEVRL_5">#REF!</definedName>
    <definedName name="ÖDEMEVRL_6">#REF!</definedName>
    <definedName name="ÖDEMEVRL_7">#REF!</definedName>
    <definedName name="odluu" localSheetId="0" hidden="1">{#N/A,#N/A,FALSE,"Sheet1 (2)"}</definedName>
    <definedName name="odluu" hidden="1">{#N/A,#N/A,FALSE,"Sheet1 (2)"}</definedName>
    <definedName name="odluu_1" localSheetId="0" hidden="1">{#N/A,#N/A,FALSE,"Sheet1 (2)"}</definedName>
    <definedName name="odluu_1" hidden="1">{#N/A,#N/A,FALSE,"Sheet1 (2)"}</definedName>
    <definedName name="Office_Location">#REF!</definedName>
    <definedName name="ofline" hidden="1">#REF!</definedName>
    <definedName name="ogogo" localSheetId="0" hidden="1">{#N/A,#N/A,FALSE,"Sheet1 (2)"}</definedName>
    <definedName name="ogogo" hidden="1">{#N/A,#N/A,FALSE,"Sheet1 (2)"}</definedName>
    <definedName name="ogogo_1" localSheetId="0" hidden="1">{#N/A,#N/A,FALSE,"Sheet1 (2)"}</definedName>
    <definedName name="ogogo_1" hidden="1">{#N/A,#N/A,FALSE,"Sheet1 (2)"}</definedName>
    <definedName name="ogogo_1_1" localSheetId="0" hidden="1">{#N/A,#N/A,FALSE,"Sheet1 (2)"}</definedName>
    <definedName name="ogogo_1_1" hidden="1">{#N/A,#N/A,FALSE,"Sheet1 (2)"}</definedName>
    <definedName name="ogogo_1_2" localSheetId="0" hidden="1">{#N/A,#N/A,FALSE,"Sheet1 (2)"}</definedName>
    <definedName name="ogogo_1_2" hidden="1">{#N/A,#N/A,FALSE,"Sheet1 (2)"}</definedName>
    <definedName name="ogogo_1_3" localSheetId="0" hidden="1">{#N/A,#N/A,FALSE,"Sheet1 (2)"}</definedName>
    <definedName name="ogogo_1_3" hidden="1">{#N/A,#N/A,FALSE,"Sheet1 (2)"}</definedName>
    <definedName name="ogogo_2" localSheetId="0" hidden="1">{#N/A,#N/A,FALSE,"Sheet1 (2)"}</definedName>
    <definedName name="ogogo_2" hidden="1">{#N/A,#N/A,FALSE,"Sheet1 (2)"}</definedName>
    <definedName name="ogogo_2_1" localSheetId="0" hidden="1">{#N/A,#N/A,FALSE,"Sheet1 (2)"}</definedName>
    <definedName name="ogogo_2_1" hidden="1">{#N/A,#N/A,FALSE,"Sheet1 (2)"}</definedName>
    <definedName name="ogogo_2_2" localSheetId="0" hidden="1">{#N/A,#N/A,FALSE,"Sheet1 (2)"}</definedName>
    <definedName name="ogogo_2_2" hidden="1">{#N/A,#N/A,FALSE,"Sheet1 (2)"}</definedName>
    <definedName name="ogogo_3" localSheetId="0" hidden="1">{#N/A,#N/A,FALSE,"Sheet1 (2)"}</definedName>
    <definedName name="ogogo_3" hidden="1">{#N/A,#N/A,FALSE,"Sheet1 (2)"}</definedName>
    <definedName name="ogogo_4" localSheetId="0" hidden="1">{#N/A,#N/A,FALSE,"Sheet1 (2)"}</definedName>
    <definedName name="ogogo_4" hidden="1">{#N/A,#N/A,FALSE,"Sheet1 (2)"}</definedName>
    <definedName name="OIIOPUII" localSheetId="0" hidden="1">{#N/A,#N/A,FALSE,"Sheet1 (2)"}</definedName>
    <definedName name="OIIOPUII" hidden="1">{#N/A,#N/A,FALSE,"Sheet1 (2)"}</definedName>
    <definedName name="ON_IC">#REF!</definedName>
    <definedName name="ön2" localSheetId="0">'Haziran Gerçekleşen Plan'!ön2</definedName>
    <definedName name="ön2">[0]!ön2</definedName>
    <definedName name="ONEDİO">#REF!</definedName>
    <definedName name="online_plan_200K">[4]Foglio1!#REF!</definedName>
    <definedName name="Online_Video">#REF!</definedName>
    <definedName name="OnlineAudio">#REF!</definedName>
    <definedName name="onn" localSheetId="0">'Haziran Gerçekleşen Plan'!onn</definedName>
    <definedName name="onn">[0]!onn</definedName>
    <definedName name="önnnn" localSheetId="0">'Haziran Gerçekleşen Plan'!önnnn</definedName>
    <definedName name="önnnn">[0]!önnnn</definedName>
    <definedName name="onur" localSheetId="0" hidden="1">{#N/A,#N/A,FALSE,"Sheet1 (2)"}</definedName>
    <definedName name="onur" hidden="1">{#N/A,#N/A,FALSE,"Sheet1 (2)"}</definedName>
    <definedName name="onur_1" localSheetId="0" hidden="1">{#N/A,#N/A,FALSE,"Sheet1 (2)"}</definedName>
    <definedName name="onur_1" hidden="1">{#N/A,#N/A,FALSE,"Sheet1 (2)"}</definedName>
    <definedName name="onur_1_1" localSheetId="0" hidden="1">{#N/A,#N/A,FALSE,"Sheet1 (2)"}</definedName>
    <definedName name="onur_1_1" hidden="1">{#N/A,#N/A,FALSE,"Sheet1 (2)"}</definedName>
    <definedName name="onur_1_2" localSheetId="0" hidden="1">{#N/A,#N/A,FALSE,"Sheet1 (2)"}</definedName>
    <definedName name="onur_1_2" hidden="1">{#N/A,#N/A,FALSE,"Sheet1 (2)"}</definedName>
    <definedName name="onur_1_3" localSheetId="0" hidden="1">{#N/A,#N/A,FALSE,"Sheet1 (2)"}</definedName>
    <definedName name="onur_1_3" hidden="1">{#N/A,#N/A,FALSE,"Sheet1 (2)"}</definedName>
    <definedName name="onur_2" localSheetId="0" hidden="1">{#N/A,#N/A,FALSE,"Sheet1 (2)"}</definedName>
    <definedName name="onur_2" hidden="1">{#N/A,#N/A,FALSE,"Sheet1 (2)"}</definedName>
    <definedName name="onur_2_1" localSheetId="0" hidden="1">{#N/A,#N/A,FALSE,"Sheet1 (2)"}</definedName>
    <definedName name="onur_2_1" hidden="1">{#N/A,#N/A,FALSE,"Sheet1 (2)"}</definedName>
    <definedName name="onur_2_2" localSheetId="0" hidden="1">{#N/A,#N/A,FALSE,"Sheet1 (2)"}</definedName>
    <definedName name="onur_2_2" hidden="1">{#N/A,#N/A,FALSE,"Sheet1 (2)"}</definedName>
    <definedName name="onur_3" localSheetId="0" hidden="1">{#N/A,#N/A,FALSE,"Sheet1 (2)"}</definedName>
    <definedName name="onur_3" hidden="1">{#N/A,#N/A,FALSE,"Sheet1 (2)"}</definedName>
    <definedName name="onur_4" localSheetId="0" hidden="1">{#N/A,#N/A,FALSE,"Sheet1 (2)"}</definedName>
    <definedName name="onur_4" hidden="1">{#N/A,#N/A,FALSE,"Sheet1 (2)"}</definedName>
    <definedName name="oo" localSheetId="0">'Haziran Gerçekleşen Plan'!oo</definedName>
    <definedName name="oo">[0]!oo</definedName>
    <definedName name="OOH" localSheetId="0" hidden="1">{#N/A,#N/A,FALSE,"Sheet1 (2)"}</definedName>
    <definedName name="OOH" hidden="1">{#N/A,#N/A,FALSE,"Sheet1 (2)"}</definedName>
    <definedName name="oooo" localSheetId="0" hidden="1">{"payback2",#N/A,FALSE,"Wirtschaftlichkeitsberechnung"}</definedName>
    <definedName name="oooo" hidden="1">{"payback2",#N/A,FALSE,"Wirtschaftlichkeitsberechnung"}</definedName>
    <definedName name="OrderTable" hidden="1">#REF!</definedName>
    <definedName name="ORDU">#REF!</definedName>
    <definedName name="Originals">#REF!</definedName>
    <definedName name="oşıhbohyvfucö" localSheetId="0" hidden="1">{#N/A,#N/A,FALSE,"Sheet1 (2)"}</definedName>
    <definedName name="oşıhbohyvfucö" hidden="1">{#N/A,#N/A,FALSE,"Sheet1 (2)"}</definedName>
    <definedName name="OSMANİYE">#REF!</definedName>
    <definedName name="Other_Creative_Information">#REF!</definedName>
    <definedName name="OtherCostMethodPlacementRow">#REF!</definedName>
    <definedName name="OtherCostMethodRows">#REF!</definedName>
    <definedName name="OtherCostMethodSubTotalRow">#REF!</definedName>
    <definedName name="OTT">#REF!</definedName>
    <definedName name="OTTM">#REF!</definedName>
    <definedName name="otto">#REF!</definedName>
    <definedName name="OutClause">#REF!</definedName>
    <definedName name="OVERALL">#REF!</definedName>
    <definedName name="oyo" localSheetId="0" hidden="1">{#N/A,#N/A,FALSE,"Sheet1 (2)"}</definedName>
    <definedName name="oyo" hidden="1">{#N/A,#N/A,FALSE,"Sheet1 (2)"}</definedName>
    <definedName name="oyo_1" localSheetId="0" hidden="1">{#N/A,#N/A,FALSE,"Sheet1 (2)"}</definedName>
    <definedName name="oyo_1" hidden="1">{#N/A,#N/A,FALSE,"Sheet1 (2)"}</definedName>
    <definedName name="oyo_1_1" localSheetId="0" hidden="1">{#N/A,#N/A,FALSE,"Sheet1 (2)"}</definedName>
    <definedName name="oyo_1_1" hidden="1">{#N/A,#N/A,FALSE,"Sheet1 (2)"}</definedName>
    <definedName name="oyo_1_2" localSheetId="0" hidden="1">{#N/A,#N/A,FALSE,"Sheet1 (2)"}</definedName>
    <definedName name="oyo_1_2" hidden="1">{#N/A,#N/A,FALSE,"Sheet1 (2)"}</definedName>
    <definedName name="oyo_1_3" localSheetId="0" hidden="1">{#N/A,#N/A,FALSE,"Sheet1 (2)"}</definedName>
    <definedName name="oyo_1_3" hidden="1">{#N/A,#N/A,FALSE,"Sheet1 (2)"}</definedName>
    <definedName name="oyo_2" localSheetId="0" hidden="1">{#N/A,#N/A,FALSE,"Sheet1 (2)"}</definedName>
    <definedName name="oyo_2" hidden="1">{#N/A,#N/A,FALSE,"Sheet1 (2)"}</definedName>
    <definedName name="oyo_2_1" localSheetId="0" hidden="1">{#N/A,#N/A,FALSE,"Sheet1 (2)"}</definedName>
    <definedName name="oyo_2_1" hidden="1">{#N/A,#N/A,FALSE,"Sheet1 (2)"}</definedName>
    <definedName name="oyo_2_2" localSheetId="0" hidden="1">{#N/A,#N/A,FALSE,"Sheet1 (2)"}</definedName>
    <definedName name="oyo_2_2" hidden="1">{#N/A,#N/A,FALSE,"Sheet1 (2)"}</definedName>
    <definedName name="oyo_3" localSheetId="0" hidden="1">{#N/A,#N/A,FALSE,"Sheet1 (2)"}</definedName>
    <definedName name="oyo_3" hidden="1">{#N/A,#N/A,FALSE,"Sheet1 (2)"}</definedName>
    <definedName name="oyo_4" localSheetId="0" hidden="1">{#N/A,#N/A,FALSE,"Sheet1 (2)"}</definedName>
    <definedName name="oyo_4" hidden="1">{#N/A,#N/A,FALSE,"Sheet1 (2)"}</definedName>
    <definedName name="OYUN" hidden="1">#REF!</definedName>
    <definedName name="ozden">#REF!</definedName>
    <definedName name="özel">#REF!</definedName>
    <definedName name="ÖZEL_İNDİRİM">#REF!</definedName>
    <definedName name="Özeller">[110]Köprü!#REF!</definedName>
    <definedName name="özet">#REF!</definedName>
    <definedName name="ÖZGÜİLETİŞİM">#REF!</definedName>
    <definedName name="p">#REF!</definedName>
    <definedName name="P.cp_25">83.8</definedName>
    <definedName name="P.cp150.499">53.5</definedName>
    <definedName name="P.cp25.75">69.8</definedName>
    <definedName name="P.cp500">49.1</definedName>
    <definedName name="P.cp75.149">61.75</definedName>
    <definedName name="PA">#REF!</definedName>
    <definedName name="Package_Name">#REF!</definedName>
    <definedName name="Page_Placement">#REF!</definedName>
    <definedName name="Page_Placmenet">#REF!</definedName>
    <definedName name="Page_Placment">#REF!</definedName>
    <definedName name="page_views">#REF!</definedName>
    <definedName name="paket_no">#REF!</definedName>
    <definedName name="pap_inc">1.04</definedName>
    <definedName name="para">#REF!</definedName>
    <definedName name="parao">#REF!</definedName>
    <definedName name="parentcompany">[43]network!$A$1:$A$65536</definedName>
    <definedName name="ParentFormat">#REF!</definedName>
    <definedName name="PASTORİZ" localSheetId="0" hidden="1">{#N/A,#N/A,FALSE,"MALİTABLOLAR"}</definedName>
    <definedName name="PASTORİZ" hidden="1">{#N/A,#N/A,FALSE,"MALİTABLOLAR"}</definedName>
    <definedName name="PASTORİZ_1" localSheetId="0" hidden="1">{#N/A,#N/A,FALSE,"MALİTABLOLAR"}</definedName>
    <definedName name="PASTORİZ_1" hidden="1">{#N/A,#N/A,FALSE,"MALİTABLOLAR"}</definedName>
    <definedName name="PASTORİZ_1_1" localSheetId="0" hidden="1">{#N/A,#N/A,FALSE,"MALİTABLOLAR"}</definedName>
    <definedName name="PASTORİZ_1_1" hidden="1">{#N/A,#N/A,FALSE,"MALİTABLOLAR"}</definedName>
    <definedName name="PASTORİZ_1_2" localSheetId="0" hidden="1">{#N/A,#N/A,FALSE,"MALİTABLOLAR"}</definedName>
    <definedName name="PASTORİZ_1_2" hidden="1">{#N/A,#N/A,FALSE,"MALİTABLOLAR"}</definedName>
    <definedName name="PASTORİZ_1_3" localSheetId="0" hidden="1">{#N/A,#N/A,FALSE,"MALİTABLOLAR"}</definedName>
    <definedName name="PASTORİZ_1_3" hidden="1">{#N/A,#N/A,FALSE,"MALİTABLOLAR"}</definedName>
    <definedName name="PASTORİZ_2" localSheetId="0" hidden="1">{#N/A,#N/A,FALSE,"MALİTABLOLAR"}</definedName>
    <definedName name="PASTORİZ_2" hidden="1">{#N/A,#N/A,FALSE,"MALİTABLOLAR"}</definedName>
    <definedName name="PASTORİZ_2_1" localSheetId="0" hidden="1">{#N/A,#N/A,FALSE,"MALİTABLOLAR"}</definedName>
    <definedName name="PASTORİZ_2_1" hidden="1">{#N/A,#N/A,FALSE,"MALİTABLOLAR"}</definedName>
    <definedName name="PASTORİZ_2_2" localSheetId="0" hidden="1">{#N/A,#N/A,FALSE,"MALİTABLOLAR"}</definedName>
    <definedName name="PASTORİZ_2_2" hidden="1">{#N/A,#N/A,FALSE,"MALİTABLOLAR"}</definedName>
    <definedName name="PASTORİZ_3" localSheetId="0" hidden="1">{#N/A,#N/A,FALSE,"MALİTABLOLAR"}</definedName>
    <definedName name="PASTORİZ_3" hidden="1">{#N/A,#N/A,FALSE,"MALİTABLOLAR"}</definedName>
    <definedName name="PASTORİZ_4" localSheetId="0" hidden="1">{#N/A,#N/A,FALSE,"MALİTABLOLAR"}</definedName>
    <definedName name="PASTORİZ_4" hidden="1">{#N/A,#N/A,FALSE,"MALİTABLOLAR"}</definedName>
    <definedName name="PASTORİZE" localSheetId="0" hidden="1">{#N/A,#N/A,FALSE,"MALİTABLOLAR";#N/A,#N/A,FALSE,"PERS MSRMRZ";#N/A,#N/A,FALSE,"MALİTABLOLAR";#N/A,#N/A,FALSE,"İskonto"}</definedName>
    <definedName name="PASTORİZE" hidden="1">{#N/A,#N/A,FALSE,"MALİTABLOLAR";#N/A,#N/A,FALSE,"PERS MSRMRZ";#N/A,#N/A,FALSE,"MALİTABLOLAR";#N/A,#N/A,FALSE,"İskonto"}</definedName>
    <definedName name="PASTORİZE_1" localSheetId="0" hidden="1">{#N/A,#N/A,FALSE,"MALİTABLOLAR";#N/A,#N/A,FALSE,"PERS MSRMRZ";#N/A,#N/A,FALSE,"MALİTABLOLAR";#N/A,#N/A,FALSE,"İskonto"}</definedName>
    <definedName name="PASTORİZE_1" hidden="1">{#N/A,#N/A,FALSE,"MALİTABLOLAR";#N/A,#N/A,FALSE,"PERS MSRMRZ";#N/A,#N/A,FALSE,"MALİTABLOLAR";#N/A,#N/A,FALSE,"İskonto"}</definedName>
    <definedName name="PASTORİZE_1_1" localSheetId="0" hidden="1">{#N/A,#N/A,FALSE,"MALİTABLOLAR";#N/A,#N/A,FALSE,"PERS MSRMRZ";#N/A,#N/A,FALSE,"MALİTABLOLAR";#N/A,#N/A,FALSE,"İskonto"}</definedName>
    <definedName name="PASTORİZE_1_1" hidden="1">{#N/A,#N/A,FALSE,"MALİTABLOLAR";#N/A,#N/A,FALSE,"PERS MSRMRZ";#N/A,#N/A,FALSE,"MALİTABLOLAR";#N/A,#N/A,FALSE,"İskonto"}</definedName>
    <definedName name="PASTORİZE_1_2" localSheetId="0" hidden="1">{#N/A,#N/A,FALSE,"MALİTABLOLAR";#N/A,#N/A,FALSE,"PERS MSRMRZ";#N/A,#N/A,FALSE,"MALİTABLOLAR";#N/A,#N/A,FALSE,"İskonto"}</definedName>
    <definedName name="PASTORİZE_1_2" hidden="1">{#N/A,#N/A,FALSE,"MALİTABLOLAR";#N/A,#N/A,FALSE,"PERS MSRMRZ";#N/A,#N/A,FALSE,"MALİTABLOLAR";#N/A,#N/A,FALSE,"İskonto"}</definedName>
    <definedName name="PASTORİZE_1_3" localSheetId="0" hidden="1">{#N/A,#N/A,FALSE,"MALİTABLOLAR";#N/A,#N/A,FALSE,"PERS MSRMRZ";#N/A,#N/A,FALSE,"MALİTABLOLAR";#N/A,#N/A,FALSE,"İskonto"}</definedName>
    <definedName name="PASTORİZE_1_3" hidden="1">{#N/A,#N/A,FALSE,"MALİTABLOLAR";#N/A,#N/A,FALSE,"PERS MSRMRZ";#N/A,#N/A,FALSE,"MALİTABLOLAR";#N/A,#N/A,FALSE,"İskonto"}</definedName>
    <definedName name="PASTORİZE_2" localSheetId="0" hidden="1">{#N/A,#N/A,FALSE,"MALİTABLOLAR";#N/A,#N/A,FALSE,"PERS MSRMRZ";#N/A,#N/A,FALSE,"MALİTABLOLAR";#N/A,#N/A,FALSE,"İskonto"}</definedName>
    <definedName name="PASTORİZE_2" hidden="1">{#N/A,#N/A,FALSE,"MALİTABLOLAR";#N/A,#N/A,FALSE,"PERS MSRMRZ";#N/A,#N/A,FALSE,"MALİTABLOLAR";#N/A,#N/A,FALSE,"İskonto"}</definedName>
    <definedName name="PASTORİZE_2_1" localSheetId="0" hidden="1">{#N/A,#N/A,FALSE,"MALİTABLOLAR";#N/A,#N/A,FALSE,"PERS MSRMRZ";#N/A,#N/A,FALSE,"MALİTABLOLAR";#N/A,#N/A,FALSE,"İskonto"}</definedName>
    <definedName name="PASTORİZE_2_1" hidden="1">{#N/A,#N/A,FALSE,"MALİTABLOLAR";#N/A,#N/A,FALSE,"PERS MSRMRZ";#N/A,#N/A,FALSE,"MALİTABLOLAR";#N/A,#N/A,FALSE,"İskonto"}</definedName>
    <definedName name="PASTORİZE_2_2" localSheetId="0" hidden="1">{#N/A,#N/A,FALSE,"MALİTABLOLAR";#N/A,#N/A,FALSE,"PERS MSRMRZ";#N/A,#N/A,FALSE,"MALİTABLOLAR";#N/A,#N/A,FALSE,"İskonto"}</definedName>
    <definedName name="PASTORİZE_2_2" hidden="1">{#N/A,#N/A,FALSE,"MALİTABLOLAR";#N/A,#N/A,FALSE,"PERS MSRMRZ";#N/A,#N/A,FALSE,"MALİTABLOLAR";#N/A,#N/A,FALSE,"İskonto"}</definedName>
    <definedName name="PASTORİZE_3" localSheetId="0" hidden="1">{#N/A,#N/A,FALSE,"MALİTABLOLAR";#N/A,#N/A,FALSE,"PERS MSRMRZ";#N/A,#N/A,FALSE,"MALİTABLOLAR";#N/A,#N/A,FALSE,"İskonto"}</definedName>
    <definedName name="PASTORİZE_3" hidden="1">{#N/A,#N/A,FALSE,"MALİTABLOLAR";#N/A,#N/A,FALSE,"PERS MSRMRZ";#N/A,#N/A,FALSE,"MALİTABLOLAR";#N/A,#N/A,FALSE,"İskonto"}</definedName>
    <definedName name="PASTORİZE_4" localSheetId="0" hidden="1">{#N/A,#N/A,FALSE,"MALİTABLOLAR";#N/A,#N/A,FALSE,"PERS MSRMRZ";#N/A,#N/A,FALSE,"MALİTABLOLAR";#N/A,#N/A,FALSE,"İskonto"}</definedName>
    <definedName name="PASTORİZE_4" hidden="1">{#N/A,#N/A,FALSE,"MALİTABLOLAR";#N/A,#N/A,FALSE,"PERS MSRMRZ";#N/A,#N/A,FALSE,"MALİTABLOLAR";#N/A,#N/A,FALSE,"İskonto"}</definedName>
    <definedName name="PAY">#REF!</definedName>
    <definedName name="PAY_2">#REF!</definedName>
    <definedName name="PAY_3">#REF!</definedName>
    <definedName name="PAY_4">#REF!</definedName>
    <definedName name="PAY_5">#REF!</definedName>
    <definedName name="PAY_6">#REF!</definedName>
    <definedName name="PAY_7">#REF!</definedName>
    <definedName name="PaymentCodeNames">#REF!</definedName>
    <definedName name="PaymentDropOpt">#REF!</definedName>
    <definedName name="PaymentIndex">#REF!</definedName>
    <definedName name="PaymentNames">#REF!</definedName>
    <definedName name="Pazar">#REF!</definedName>
    <definedName name="Pazarlama_Şirketleri">#REF!</definedName>
    <definedName name="PER">#REF!</definedName>
    <definedName name="PER_2">#REF!</definedName>
    <definedName name="PER_3">#REF!</definedName>
    <definedName name="PER_4">#REF!</definedName>
    <definedName name="PER_5">#REF!</definedName>
    <definedName name="PER_6">#REF!</definedName>
    <definedName name="PER_7">#REF!</definedName>
    <definedName name="per3_2">#REF!</definedName>
    <definedName name="per3_3">#REF!</definedName>
    <definedName name="per3_4">#REF!</definedName>
    <definedName name="per3_5">#REF!</definedName>
    <definedName name="per3_6">#REF!</definedName>
    <definedName name="per3_7">#REF!</definedName>
    <definedName name="perger">#REF!</definedName>
    <definedName name="perger_2">#REF!</definedName>
    <definedName name="perger_3">#REF!</definedName>
    <definedName name="perger_4">#REF!</definedName>
    <definedName name="perger_5">#REF!</definedName>
    <definedName name="perger_6">#REF!</definedName>
    <definedName name="perger_7">#REF!</definedName>
    <definedName name="period">#REF!</definedName>
    <definedName name="PERIODO" localSheetId="0">VLOOKUP("ALL_MONTH_9",[0]!LANG_STRS_RNG,[111]!LANG_CELL+1,FALSE) &amp; " " &amp;  2006</definedName>
    <definedName name="PERIODO">VLOOKUP("ALL_MONTH_9",LANG_STRS_RNG,LANG_CELL+1,FALSE) &amp; " " &amp;  2006</definedName>
    <definedName name="permanent" localSheetId="0">'Haziran Gerçekleşen Plan'!permanent</definedName>
    <definedName name="permanent">[0]!permanent</definedName>
    <definedName name="PEROD">#REF!</definedName>
    <definedName name="PERÖD">#REF!</definedName>
    <definedName name="PEROD_2">#REF!</definedName>
    <definedName name="PERÖD_2">#REF!</definedName>
    <definedName name="PEROD_3">#REF!</definedName>
    <definedName name="PERÖD_3">#REF!</definedName>
    <definedName name="PEROD_4">#REF!</definedName>
    <definedName name="PERÖD_4">#REF!</definedName>
    <definedName name="PEROD_5">#REF!</definedName>
    <definedName name="PERÖD_5">#REF!</definedName>
    <definedName name="PEROD_6">#REF!</definedName>
    <definedName name="PERÖD_6">#REF!</definedName>
    <definedName name="PEROD_7">#REF!</definedName>
    <definedName name="PERÖD_7">#REF!</definedName>
    <definedName name="PerOd2">#REF!</definedName>
    <definedName name="PerOd2_2">#REF!</definedName>
    <definedName name="PerOd2_3">#REF!</definedName>
    <definedName name="PerOd2_4">#REF!</definedName>
    <definedName name="PerOd2_5">#REF!</definedName>
    <definedName name="PerOd2_6">#REF!</definedName>
    <definedName name="PerOd2_7">#REF!</definedName>
    <definedName name="persil">#REF!</definedName>
    <definedName name="persil_2">#REF!</definedName>
    <definedName name="persil_3">#REF!</definedName>
    <definedName name="persil_4">#REF!</definedName>
    <definedName name="persil_5">#REF!</definedName>
    <definedName name="persil_6">#REF!</definedName>
    <definedName name="persil_7">#REF!</definedName>
    <definedName name="PERSİL2">#REF!</definedName>
    <definedName name="PERSİL2_2">#REF!</definedName>
    <definedName name="PERSİL2_3">#REF!</definedName>
    <definedName name="PERSİL2_4">#REF!</definedName>
    <definedName name="PERSİL2_5">#REF!</definedName>
    <definedName name="PERSİL2_6">#REF!</definedName>
    <definedName name="PERSİL2_7">#REF!</definedName>
    <definedName name="PERSİLEKİM">#REF!</definedName>
    <definedName name="PERSİLEKİM_2">#REF!</definedName>
    <definedName name="PERSİLEKİM_3">#REF!</definedName>
    <definedName name="PERSİLEKİM_4">#REF!</definedName>
    <definedName name="PERSİLEKİM_5">#REF!</definedName>
    <definedName name="PERSİLEKİM_6">#REF!</definedName>
    <definedName name="PERSİLEKİM_7">#REF!</definedName>
    <definedName name="persileyl">#REF!</definedName>
    <definedName name="persileyl_2">#REF!</definedName>
    <definedName name="persileyl_3">#REF!</definedName>
    <definedName name="persileyl_4">#REF!</definedName>
    <definedName name="persileyl_5">#REF!</definedName>
    <definedName name="persileyl_6">#REF!</definedName>
    <definedName name="persileyl_7">#REF!</definedName>
    <definedName name="PERSILOCAK">#REF!</definedName>
    <definedName name="PERSILOCAK_2">#REF!</definedName>
    <definedName name="PERSILOCAK_3">#REF!</definedName>
    <definedName name="PERSILOCAK_4">#REF!</definedName>
    <definedName name="PERSILOCAK_5">#REF!</definedName>
    <definedName name="PERSILOCAK_6">#REF!</definedName>
    <definedName name="PERSILOCAK_7">#REF!</definedName>
    <definedName name="PERSILOD">#REF!</definedName>
    <definedName name="PERSILOD_2">#REF!</definedName>
    <definedName name="PERSILOD_3">#REF!</definedName>
    <definedName name="PERSILOD_4">#REF!</definedName>
    <definedName name="PERSILOD_5">#REF!</definedName>
    <definedName name="PERSILOD_6">#REF!</definedName>
    <definedName name="PERSILOD_7">#REF!</definedName>
    <definedName name="PERSİLÖDEME">#REF!</definedName>
    <definedName name="PERSİLÖDEME_2">#REF!</definedName>
    <definedName name="PERSİLÖDEME_3">#REF!</definedName>
    <definedName name="PERSİLÖDEME_4">#REF!</definedName>
    <definedName name="PERSİLÖDEME_5">#REF!</definedName>
    <definedName name="PERSİLÖDEME_6">#REF!</definedName>
    <definedName name="PERSİLÖDEME_7">#REF!</definedName>
    <definedName name="Peugeot" localSheetId="0" hidden="1">{#N/A,#N/A,FALSE,"Sheet1 (2)"}</definedName>
    <definedName name="Peugeot" hidden="1">{#N/A,#N/A,FALSE,"Sheet1 (2)"}</definedName>
    <definedName name="Peugeot_1" localSheetId="0" hidden="1">{#N/A,#N/A,FALSE,"Sheet1 (2)"}</definedName>
    <definedName name="Peugeot_1" hidden="1">{#N/A,#N/A,FALSE,"Sheet1 (2)"}</definedName>
    <definedName name="Peugeot_1_1" localSheetId="0" hidden="1">{#N/A,#N/A,FALSE,"Sheet1 (2)"}</definedName>
    <definedName name="Peugeot_1_1" hidden="1">{#N/A,#N/A,FALSE,"Sheet1 (2)"}</definedName>
    <definedName name="Peugeot_1_2" localSheetId="0" hidden="1">{#N/A,#N/A,FALSE,"Sheet1 (2)"}</definedName>
    <definedName name="Peugeot_1_2" hidden="1">{#N/A,#N/A,FALSE,"Sheet1 (2)"}</definedName>
    <definedName name="Peugeot_1_3" localSheetId="0" hidden="1">{#N/A,#N/A,FALSE,"Sheet1 (2)"}</definedName>
    <definedName name="Peugeot_1_3" hidden="1">{#N/A,#N/A,FALSE,"Sheet1 (2)"}</definedName>
    <definedName name="Peugeot_2" localSheetId="0" hidden="1">{#N/A,#N/A,FALSE,"Sheet1 (2)"}</definedName>
    <definedName name="Peugeot_2" hidden="1">{#N/A,#N/A,FALSE,"Sheet1 (2)"}</definedName>
    <definedName name="Peugeot_2_1" localSheetId="0" hidden="1">{#N/A,#N/A,FALSE,"Sheet1 (2)"}</definedName>
    <definedName name="Peugeot_2_1" hidden="1">{#N/A,#N/A,FALSE,"Sheet1 (2)"}</definedName>
    <definedName name="Peugeot_2_2" localSheetId="0" hidden="1">{#N/A,#N/A,FALSE,"Sheet1 (2)"}</definedName>
    <definedName name="Peugeot_2_2" hidden="1">{#N/A,#N/A,FALSE,"Sheet1 (2)"}</definedName>
    <definedName name="Peugeot_3" localSheetId="0" hidden="1">{#N/A,#N/A,FALSE,"Sheet1 (2)"}</definedName>
    <definedName name="Peugeot_3" hidden="1">{#N/A,#N/A,FALSE,"Sheet1 (2)"}</definedName>
    <definedName name="Peugeot_4" localSheetId="0" hidden="1">{#N/A,#N/A,FALSE,"Sheet1 (2)"}</definedName>
    <definedName name="Peugeot_4" hidden="1">{#N/A,#N/A,FALSE,"Sheet1 (2)"}</definedName>
    <definedName name="PGLF">#REF!</definedName>
    <definedName name="pglftv">[112]PG!$A$1:$U$87</definedName>
    <definedName name="Pİ">#REF!</definedName>
    <definedName name="piv3_2">#REF!</definedName>
    <definedName name="piv3_3">#REF!</definedName>
    <definedName name="piv3_4">#REF!</definedName>
    <definedName name="piv3_5">#REF!</definedName>
    <definedName name="piv3_6">#REF!</definedName>
    <definedName name="piv3_7">#REF!</definedName>
    <definedName name="PKASIM">#REF!</definedName>
    <definedName name="PKASIM_2">#REF!</definedName>
    <definedName name="PKASIM_3">#REF!</definedName>
    <definedName name="PKASIM_4">#REF!</definedName>
    <definedName name="PKASIM_5">#REF!</definedName>
    <definedName name="PKASIM_6">#REF!</definedName>
    <definedName name="PKASIM_7">#REF!</definedName>
    <definedName name="PLACEMENT">[113]Placement!$A$1:$A$65536</definedName>
    <definedName name="Placement_GUID">#REF!</definedName>
    <definedName name="Placement_Height">#REF!</definedName>
    <definedName name="placement_id">#REF!</definedName>
    <definedName name="Placement_Media_Code">#REF!</definedName>
    <definedName name="Placement_Media_Code_Enabled">#REF!</definedName>
    <definedName name="placement_name">#REF!</definedName>
    <definedName name="placement_url">#REF!</definedName>
    <definedName name="Placement_Width">#REF!</definedName>
    <definedName name="PlacementFileType_list_">[51]Meta!$AD$11:$AD$14</definedName>
    <definedName name="PlacementName">#REF!</definedName>
    <definedName name="PlacementRichMediaAccepted_list_">[51]Meta!$AK$11:$AK$12</definedName>
    <definedName name="PlacementRichMediaFeeIncluded_list_">[51]Meta!$AL$11:$AL$12</definedName>
    <definedName name="PlacementServedByThirdPartyAdServer_list_">[51]Meta!$AG$11:$AG$12</definedName>
    <definedName name="PlacementSubcategoryName">#REF!</definedName>
    <definedName name="PlacementTypeName">#REF!</definedName>
    <definedName name="PlacementTypesLookup">[21]Hidden_Data!$G$3:$G$12</definedName>
    <definedName name="PlacementURL">#REF!</definedName>
    <definedName name="plan">#REF!</definedName>
    <definedName name="plan_2">#REF!</definedName>
    <definedName name="plan_3">#REF!</definedName>
    <definedName name="plan_4">#REF!</definedName>
    <definedName name="plan_5">#REF!</definedName>
    <definedName name="plan_6">#REF!</definedName>
    <definedName name="plan_7">#REF!</definedName>
    <definedName name="PLAN_BRANDFX">#REF!</definedName>
    <definedName name="PLAN1">#REF!</definedName>
    <definedName name="PLAN1_2">#REF!</definedName>
    <definedName name="PLAN1_3">#REF!</definedName>
    <definedName name="PLAN1_4">#REF!</definedName>
    <definedName name="PLAN1_5">#REF!</definedName>
    <definedName name="PLAN1_6">#REF!</definedName>
    <definedName name="PLAN1_7">#REF!</definedName>
    <definedName name="planned_cost">#REF!</definedName>
    <definedName name="planned_unit_amount">#REF!</definedName>
    <definedName name="Plansil">[114]Macro1!$A$1</definedName>
    <definedName name="play" localSheetId="0" hidden="1">{#N/A,#N/A,FALSE,"Sheet1 (2)"}</definedName>
    <definedName name="play" hidden="1">{#N/A,#N/A,FALSE,"Sheet1 (2)"}</definedName>
    <definedName name="play_1" localSheetId="0" hidden="1">{#N/A,#N/A,FALSE,"Sheet1 (2)"}</definedName>
    <definedName name="play_1" hidden="1">{#N/A,#N/A,FALSE,"Sheet1 (2)"}</definedName>
    <definedName name="play_1_1" localSheetId="0" hidden="1">{#N/A,#N/A,FALSE,"Sheet1 (2)"}</definedName>
    <definedName name="play_1_1" hidden="1">{#N/A,#N/A,FALSE,"Sheet1 (2)"}</definedName>
    <definedName name="play_1_2" localSheetId="0" hidden="1">{#N/A,#N/A,FALSE,"Sheet1 (2)"}</definedName>
    <definedName name="play_1_2" hidden="1">{#N/A,#N/A,FALSE,"Sheet1 (2)"}</definedName>
    <definedName name="play_1_3" localSheetId="0" hidden="1">{#N/A,#N/A,FALSE,"Sheet1 (2)"}</definedName>
    <definedName name="play_1_3" hidden="1">{#N/A,#N/A,FALSE,"Sheet1 (2)"}</definedName>
    <definedName name="play_2" localSheetId="0" hidden="1">{#N/A,#N/A,FALSE,"Sheet1 (2)"}</definedName>
    <definedName name="play_2" hidden="1">{#N/A,#N/A,FALSE,"Sheet1 (2)"}</definedName>
    <definedName name="play_2_1" localSheetId="0" hidden="1">{#N/A,#N/A,FALSE,"Sheet1 (2)"}</definedName>
    <definedName name="play_2_1" hidden="1">{#N/A,#N/A,FALSE,"Sheet1 (2)"}</definedName>
    <definedName name="play_2_2" localSheetId="0" hidden="1">{#N/A,#N/A,FALSE,"Sheet1 (2)"}</definedName>
    <definedName name="play_2_2" hidden="1">{#N/A,#N/A,FALSE,"Sheet1 (2)"}</definedName>
    <definedName name="play_3" localSheetId="0" hidden="1">{#N/A,#N/A,FALSE,"Sheet1 (2)"}</definedName>
    <definedName name="play_3" hidden="1">{#N/A,#N/A,FALSE,"Sheet1 (2)"}</definedName>
    <definedName name="play_4" localSheetId="0" hidden="1">{#N/A,#N/A,FALSE,"Sheet1 (2)"}</definedName>
    <definedName name="play_4" hidden="1">{#N/A,#N/A,FALSE,"Sheet1 (2)"}</definedName>
    <definedName name="PLAY2" localSheetId="0" hidden="1">{#N/A,#N/A,FALSE,"Sheet1 (2)"}</definedName>
    <definedName name="PLAY2" hidden="1">{#N/A,#N/A,FALSE,"Sheet1 (2)"}</definedName>
    <definedName name="PLAY2_1" localSheetId="0" hidden="1">{#N/A,#N/A,FALSE,"Sheet1 (2)"}</definedName>
    <definedName name="PLAY2_1" hidden="1">{#N/A,#N/A,FALSE,"Sheet1 (2)"}</definedName>
    <definedName name="PLAY2_1_1" localSheetId="0" hidden="1">{#N/A,#N/A,FALSE,"Sheet1 (2)"}</definedName>
    <definedName name="PLAY2_1_1" hidden="1">{#N/A,#N/A,FALSE,"Sheet1 (2)"}</definedName>
    <definedName name="PLAY2_1_2" localSheetId="0" hidden="1">{#N/A,#N/A,FALSE,"Sheet1 (2)"}</definedName>
    <definedName name="PLAY2_1_2" hidden="1">{#N/A,#N/A,FALSE,"Sheet1 (2)"}</definedName>
    <definedName name="PLAY2_1_3" localSheetId="0" hidden="1">{#N/A,#N/A,FALSE,"Sheet1 (2)"}</definedName>
    <definedName name="PLAY2_1_3" hidden="1">{#N/A,#N/A,FALSE,"Sheet1 (2)"}</definedName>
    <definedName name="PLAY2_2" localSheetId="0" hidden="1">{#N/A,#N/A,FALSE,"Sheet1 (2)"}</definedName>
    <definedName name="PLAY2_2" hidden="1">{#N/A,#N/A,FALSE,"Sheet1 (2)"}</definedName>
    <definedName name="PLAY2_2_1" localSheetId="0" hidden="1">{#N/A,#N/A,FALSE,"Sheet1 (2)"}</definedName>
    <definedName name="PLAY2_2_1" hidden="1">{#N/A,#N/A,FALSE,"Sheet1 (2)"}</definedName>
    <definedName name="PLAY2_2_2" localSheetId="0" hidden="1">{#N/A,#N/A,FALSE,"Sheet1 (2)"}</definedName>
    <definedName name="PLAY2_2_2" hidden="1">{#N/A,#N/A,FALSE,"Sheet1 (2)"}</definedName>
    <definedName name="PLAY2_3" localSheetId="0" hidden="1">{#N/A,#N/A,FALSE,"Sheet1 (2)"}</definedName>
    <definedName name="PLAY2_3" hidden="1">{#N/A,#N/A,FALSE,"Sheet1 (2)"}</definedName>
    <definedName name="PLAY2_4" localSheetId="0" hidden="1">{#N/A,#N/A,FALSE,"Sheet1 (2)"}</definedName>
    <definedName name="PLAY2_4" hidden="1">{#N/A,#N/A,FALSE,"Sheet1 (2)"}</definedName>
    <definedName name="player">'[57]LR Paramter'!$C$25:$C$34</definedName>
    <definedName name="PnB.ExcelTrafficking.General_TotalGrossCost">'[21]Proposal Summary'!$A$7</definedName>
    <definedName name="PnB.ExcelTrafficking.General_TotalNetUnits">'[21]Proposal Summary'!$A$6</definedName>
    <definedName name="PnB.ExcelTrafficking.General_TotalUnits">'[21]Proposal Summary'!$A$6</definedName>
    <definedName name="PO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jıojh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pojıojh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pojıojh_1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pojıojh_1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pojıojh_1_1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pojıojh_1_1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pojıojh_1_2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pojıojh_1_2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pojıojh_1_3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pojıojh_1_3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pojıojh_2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pojıojh_2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pojıojh_2_1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pojıojh_2_1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pojıojh_2_2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pojıojh_2_2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pojıojh_3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pojıojh_3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pojıojh_4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pojıojh_4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Popkek" localSheetId="0" hidden="1">{#N/A,#N/A,FALSE,"Sheet1 (2)"}</definedName>
    <definedName name="Popkek" hidden="1">{#N/A,#N/A,FALSE,"Sheet1 (2)"}</definedName>
    <definedName name="Popkek_1" localSheetId="0" hidden="1">{#N/A,#N/A,FALSE,"Sheet1 (2)"}</definedName>
    <definedName name="Popkek_1" hidden="1">{#N/A,#N/A,FALSE,"Sheet1 (2)"}</definedName>
    <definedName name="Porttakal">#REF!</definedName>
    <definedName name="POS." localSheetId="0" hidden="1">{#N/A,#N/A,FALSE,"Sheet1 (2)"}</definedName>
    <definedName name="POS." hidden="1">{#N/A,#N/A,FALSE,"Sheet1 (2)"}</definedName>
    <definedName name="POS._1" localSheetId="0" hidden="1">{#N/A,#N/A,FALSE,"Sheet1 (2)"}</definedName>
    <definedName name="POS._1" hidden="1">{#N/A,#N/A,FALSE,"Sheet1 (2)"}</definedName>
    <definedName name="POS._1_1" localSheetId="0" hidden="1">{#N/A,#N/A,FALSE,"Sheet1 (2)"}</definedName>
    <definedName name="POS._1_1" hidden="1">{#N/A,#N/A,FALSE,"Sheet1 (2)"}</definedName>
    <definedName name="POS._1_2" localSheetId="0" hidden="1">{#N/A,#N/A,FALSE,"Sheet1 (2)"}</definedName>
    <definedName name="POS._1_2" hidden="1">{#N/A,#N/A,FALSE,"Sheet1 (2)"}</definedName>
    <definedName name="POS._1_3" localSheetId="0" hidden="1">{#N/A,#N/A,FALSE,"Sheet1 (2)"}</definedName>
    <definedName name="POS._1_3" hidden="1">{#N/A,#N/A,FALSE,"Sheet1 (2)"}</definedName>
    <definedName name="POS._2" localSheetId="0" hidden="1">{#N/A,#N/A,FALSE,"Sheet1 (2)"}</definedName>
    <definedName name="POS._2" hidden="1">{#N/A,#N/A,FALSE,"Sheet1 (2)"}</definedName>
    <definedName name="POS._2_1" localSheetId="0" hidden="1">{#N/A,#N/A,FALSE,"Sheet1 (2)"}</definedName>
    <definedName name="POS._2_1" hidden="1">{#N/A,#N/A,FALSE,"Sheet1 (2)"}</definedName>
    <definedName name="POS._2_2" localSheetId="0" hidden="1">{#N/A,#N/A,FALSE,"Sheet1 (2)"}</definedName>
    <definedName name="POS._2_2" hidden="1">{#N/A,#N/A,FALSE,"Sheet1 (2)"}</definedName>
    <definedName name="POS._3" localSheetId="0" hidden="1">{#N/A,#N/A,FALSE,"Sheet1 (2)"}</definedName>
    <definedName name="POS._3" hidden="1">{#N/A,#N/A,FALSE,"Sheet1 (2)"}</definedName>
    <definedName name="POS._4" localSheetId="0" hidden="1">{#N/A,#N/A,FALSE,"Sheet1 (2)"}</definedName>
    <definedName name="POS._4" hidden="1">{#N/A,#N/A,FALSE,"Sheet1 (2)"}</definedName>
    <definedName name="POSITION">#REF!</definedName>
    <definedName name="position_dimension_list_">[51]Meta!$A$11:$C$30</definedName>
    <definedName name="POSITION_KANAL">#REF!</definedName>
    <definedName name="positioning">#REF!</definedName>
    <definedName name="PosMercato">[115]Base!#REF!</definedName>
    <definedName name="POST_BUTCE_KOPYA_ADI">#REF!</definedName>
    <definedName name="POST_GRP_KOPYA_ADI">#REF!</definedName>
    <definedName name="POST_SPOT_KOPYA_ADI">#REF!</definedName>
    <definedName name="POWERTURK1" localSheetId="0" hidden="1">{#N/A,#N/A,FALSE,"Sheet1 (2)"}</definedName>
    <definedName name="POWERTURK1" hidden="1">{#N/A,#N/A,FALSE,"Sheet1 (2)"}</definedName>
    <definedName name="POZISYON">#REF!</definedName>
    <definedName name="ppi" localSheetId="0" hidden="1">{#N/A,#N/A,FALSE,"Sheet1 (2)"}</definedName>
    <definedName name="ppi" hidden="1">{#N/A,#N/A,FALSE,"Sheet1 (2)"}</definedName>
    <definedName name="ppl" localSheetId="0" hidden="1">{#N/A,#N/A,FALSE,"Sheet1 (2)"}</definedName>
    <definedName name="ppl" hidden="1">{#N/A,#N/A,FALSE,"Sheet1 (2)"}</definedName>
    <definedName name="ppp" localSheetId="0" hidden="1">{"'Jan - March 2000'!$A$5:$J$46"}</definedName>
    <definedName name="ppp" hidden="1">{"'Jan - March 2000'!$A$5:$J$46"}</definedName>
    <definedName name="pppppppp" localSheetId="0" hidden="1">{"'Jan - March 2000'!$A$5:$J$46"}</definedName>
    <definedName name="pppppppp" hidden="1">{"'Jan - March 2000'!$A$5:$J$46"}</definedName>
    <definedName name="ppu" localSheetId="0" hidden="1">{#N/A,#N/A,FALSE,"Sheet1 (2)"}</definedName>
    <definedName name="ppu" hidden="1">{#N/A,#N/A,FALSE,"Sheet1 (2)"}</definedName>
    <definedName name="prd" localSheetId="0" hidden="1">{#N/A,#N/A,FALSE,"Sheet1 (2)"}</definedName>
    <definedName name="prd" hidden="1">{#N/A,#N/A,FALSE,"Sheet1 (2)"}</definedName>
    <definedName name="prd_1" localSheetId="0" hidden="1">{#N/A,#N/A,FALSE,"Sheet1 (2)"}</definedName>
    <definedName name="prd_1" hidden="1">{#N/A,#N/A,FALSE,"Sheet1 (2)"}</definedName>
    <definedName name="prd_1_1" localSheetId="0" hidden="1">{#N/A,#N/A,FALSE,"Sheet1 (2)"}</definedName>
    <definedName name="prd_1_1" hidden="1">{#N/A,#N/A,FALSE,"Sheet1 (2)"}</definedName>
    <definedName name="prd_1_2" localSheetId="0" hidden="1">{#N/A,#N/A,FALSE,"Sheet1 (2)"}</definedName>
    <definedName name="prd_1_2" hidden="1">{#N/A,#N/A,FALSE,"Sheet1 (2)"}</definedName>
    <definedName name="prd_1_3" localSheetId="0" hidden="1">{#N/A,#N/A,FALSE,"Sheet1 (2)"}</definedName>
    <definedName name="prd_1_3" hidden="1">{#N/A,#N/A,FALSE,"Sheet1 (2)"}</definedName>
    <definedName name="prd_2" localSheetId="0" hidden="1">{#N/A,#N/A,FALSE,"Sheet1 (2)"}</definedName>
    <definedName name="prd_2" hidden="1">{#N/A,#N/A,FALSE,"Sheet1 (2)"}</definedName>
    <definedName name="prd_2_1" localSheetId="0" hidden="1">{#N/A,#N/A,FALSE,"Sheet1 (2)"}</definedName>
    <definedName name="prd_2_1" hidden="1">{#N/A,#N/A,FALSE,"Sheet1 (2)"}</definedName>
    <definedName name="prd_2_2" localSheetId="0" hidden="1">{#N/A,#N/A,FALSE,"Sheet1 (2)"}</definedName>
    <definedName name="prd_2_2" hidden="1">{#N/A,#N/A,FALSE,"Sheet1 (2)"}</definedName>
    <definedName name="prd_3" localSheetId="0" hidden="1">{#N/A,#N/A,FALSE,"Sheet1 (2)"}</definedName>
    <definedName name="prd_3" hidden="1">{#N/A,#N/A,FALSE,"Sheet1 (2)"}</definedName>
    <definedName name="prd_4" localSheetId="0" hidden="1">{#N/A,#N/A,FALSE,"Sheet1 (2)"}</definedName>
    <definedName name="prd_4" hidden="1">{#N/A,#N/A,FALSE,"Sheet1 (2)"}</definedName>
    <definedName name="PRE_BUTCE_KOPYA_ADI">#REF!</definedName>
    <definedName name="PRE_GRP_KOPYA_ADI">#REF!</definedName>
    <definedName name="PRE_KOPYA_ADI">#REF!</definedName>
    <definedName name="PRE_SPOT_KOPYA_ADI">#REF!</definedName>
    <definedName name="price">#N/A</definedName>
    <definedName name="priceinput">#REF!</definedName>
    <definedName name="prices">#REF!</definedName>
    <definedName name="PRIL">#REF!</definedName>
    <definedName name="PRIL_2">#REF!</definedName>
    <definedName name="PRIL_3">#REF!</definedName>
    <definedName name="PRIL_4">#REF!</definedName>
    <definedName name="PRIL_5">#REF!</definedName>
    <definedName name="PRIL_6">#REF!</definedName>
    <definedName name="PRIL_7">#REF!</definedName>
    <definedName name="primary_placement">#REF!</definedName>
    <definedName name="PRINT">#N/A</definedName>
    <definedName name="_xlnm.Print_Area">#REF!</definedName>
    <definedName name="Print_Area_MI">[116]CKD!$B$1:$Y$25</definedName>
    <definedName name="_xlnm.Print_Titles">#REF!</definedName>
    <definedName name="PRNT">#REF!</definedName>
    <definedName name="PROD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O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oddahilahkharicTL">#REF!</definedName>
    <definedName name="ProdForm" hidden="1">#REF!</definedName>
    <definedName name="prodHaziran" localSheetId="0">'Haziran Gerçekleşen Plan'!prodHaziran</definedName>
    <definedName name="prodHaziran">[0]!prodHaziran</definedName>
    <definedName name="ProdMay.Haz" localSheetId="0">'Haziran Gerçekleşen Plan'!ProdMay.Haz</definedName>
    <definedName name="ProdMay.Haz">[0]!ProdMay.Haz</definedName>
    <definedName name="Product" hidden="1">#REF!</definedName>
    <definedName name="Production_Email">#REF!</definedName>
    <definedName name="Production_Items_2">[117]Data!$AC$5:$AC$85</definedName>
    <definedName name="Production_Name">#REF!</definedName>
    <definedName name="PRODUCTS">#REF!</definedName>
    <definedName name="productsson">#REF!</definedName>
    <definedName name="PRODUTO">#REF!</definedName>
    <definedName name="Prog_List">#REF!</definedName>
    <definedName name="Prog_List_2">#REF!</definedName>
    <definedName name="Prog_List_3">#REF!</definedName>
    <definedName name="Prog_List_4">#REF!</definedName>
    <definedName name="Prog_List_5">#REF!</definedName>
    <definedName name="Prog_List_6">#REF!</definedName>
    <definedName name="Prog_List_7">#REF!</definedName>
    <definedName name="PROGADI">#REF!</definedName>
    <definedName name="ProggramaticHedefleme" hidden="1">#REF!</definedName>
    <definedName name="Program_Bilgileri">[98]Köprü!$E$1:$I$206</definedName>
    <definedName name="Program_Listesi">[98]Köprü!$E$2:$E$206</definedName>
    <definedName name="Programmatic">#REF!</definedName>
    <definedName name="projout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rojout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roposal_Expiration_Date">'[21]Proposal Summary'!$B$4</definedName>
    <definedName name="Proposal_Name">'[21]Proposal Summary'!$B$3</definedName>
    <definedName name="Proposal_Notes">'[21]Proposal Summary'!$B$15</definedName>
    <definedName name="ProposalSummary_TemplateRange_Header">'[21]Proposal Summary'!$B$1</definedName>
    <definedName name="ProposalSummary_TemplateRange_TotalGrossCost">'[21]Proposal Summary'!$A$7</definedName>
    <definedName name="ProposalSummary_TemplateRange_TotalNetCost">'[21]Proposal Summary'!$A$13</definedName>
    <definedName name="ProposalSummary_TemplateRange_TotalUnits">'[21]Proposal Summary'!$A$6</definedName>
    <definedName name="PrposalDetails_TemplateRange_Header">'[21]Proposal Details'!$B$1</definedName>
    <definedName name="ps1cost">[54]PlanSheet!$AN$10:$AN$8044</definedName>
    <definedName name="psChannel">[54]PlanSheet!$B$10:$B$8044</definedName>
    <definedName name="psCopycode">[54]PlanSheet!$P$10:$P$8044</definedName>
    <definedName name="psCopylength">[54]PlanSheet!$N$10:$N$8044</definedName>
    <definedName name="psDates">[54]PlanSheet!$C$10:$C$8044</definedName>
    <definedName name="psDaypart">[54]PlanSheet!$K$10:$K$8044</definedName>
    <definedName name="psDeal">[54]PlanSheet!$R$10:$R$8044</definedName>
    <definedName name="psEnd">[54]PlanSheet!$AO$8044</definedName>
    <definedName name="psGRP">[54]PlanSheet!$AI$10:$AI$8044</definedName>
    <definedName name="psMeasuredchannel">[54]PlanSheet!$AK$10:$AK$8044</definedName>
    <definedName name="PŞP" localSheetId="0" hidden="1">{#N/A,#N/A,FALSE,"Sheet1 (2)"}</definedName>
    <definedName name="PŞP" hidden="1">{#N/A,#N/A,FALSE,"Sheet1 (2)"}</definedName>
    <definedName name="psPaiddeal">[54]PlanSheet!$AL$10:$AL$8044</definedName>
    <definedName name="psPosition">[54]PlanSheet!$L$10:$L$8044</definedName>
    <definedName name="psPrime">[54]PlanSheet!$J$10:$J$8044</definedName>
    <definedName name="psSelectedprogram">[54]PlanSheet!$AM$10:$AM$8044</definedName>
    <definedName name="psspotcost">[54]PlanSheet!$V$10:$V$8044</definedName>
    <definedName name="psStart">[54]PlanSheet!$A$10</definedName>
    <definedName name="psTargets">[54]PlanSheet!$W$9:$AE$9</definedName>
    <definedName name="psTL">[54]PlanSheet!$AO$10:$AO$8044</definedName>
    <definedName name="PT">'[74]SpotList (2)'!$I$11:$I$500</definedName>
    <definedName name="PT_OPT">#REF!</definedName>
    <definedName name="PUB">#N/A</definedName>
    <definedName name="pub_ad_server_order_num">#REF!</definedName>
    <definedName name="pub_order_date">#REF!</definedName>
    <definedName name="pub_placement_ref">#REF!</definedName>
    <definedName name="pub_sales_order_ref">#REF!</definedName>
    <definedName name="pub_sales_order_version">#REF!</definedName>
    <definedName name="pub_valid_until_date">#REF!</definedName>
    <definedName name="Publisher">#REF!</definedName>
    <definedName name="Publisher_Name">#REF!</definedName>
    <definedName name="publisher_product_name">#REF!</definedName>
    <definedName name="PublishingSiteName">#REF!</definedName>
    <definedName name="pubs">[118]YuMe!$A$2:$B$1185</definedName>
    <definedName name="PULSEMEDYA">#REF!</definedName>
    <definedName name="q" localSheetId="0" hidden="1">{#N/A,#N/A,FALSE,"Sheet1 (2)"}</definedName>
    <definedName name="q" hidden="1">{#N/A,#N/A,FALSE,"Sheet1 (2)"}</definedName>
    <definedName name="Q.cp_25">29.35</definedName>
    <definedName name="Q.cp150.499">18.75</definedName>
    <definedName name="Q.cp25.75">24.4</definedName>
    <definedName name="Q.cp500">17.25</definedName>
    <definedName name="Q.cp75.149">21.65</definedName>
    <definedName name="QDWE" localSheetId="0" hidden="1">{#N/A,#N/A,FALSE,"Sheet1 (2)"}</definedName>
    <definedName name="QDWE" hidden="1">{#N/A,#N/A,FALSE,"Sheet1 (2)"}</definedName>
    <definedName name="qq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qq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qqq" localSheetId="0" hidden="1">{#N/A,#N/A,FALSE,"Sheet1 (2)"}</definedName>
    <definedName name="qqq" hidden="1">{#N/A,#N/A,FALSE,"Sheet1 (2)"}</definedName>
    <definedName name="qqq_1" localSheetId="0" hidden="1">{#N/A,#N/A,FALSE,"Sheet1 (2)"}</definedName>
    <definedName name="qqq_1" hidden="1">{#N/A,#N/A,FALSE,"Sheet1 (2)"}</definedName>
    <definedName name="qqq_1_1" localSheetId="0" hidden="1">{#N/A,#N/A,FALSE,"Sheet1 (2)"}</definedName>
    <definedName name="qqq_1_1" hidden="1">{#N/A,#N/A,FALSE,"Sheet1 (2)"}</definedName>
    <definedName name="qqq_1_2" localSheetId="0" hidden="1">{#N/A,#N/A,FALSE,"Sheet1 (2)"}</definedName>
    <definedName name="qqq_1_2" hidden="1">{#N/A,#N/A,FALSE,"Sheet1 (2)"}</definedName>
    <definedName name="qqq_1_3" localSheetId="0" hidden="1">{#N/A,#N/A,FALSE,"Sheet1 (2)"}</definedName>
    <definedName name="qqq_1_3" hidden="1">{#N/A,#N/A,FALSE,"Sheet1 (2)"}</definedName>
    <definedName name="qqq_2" localSheetId="0" hidden="1">{#N/A,#N/A,FALSE,"Sheet1 (2)"}</definedName>
    <definedName name="qqq_2" hidden="1">{#N/A,#N/A,FALSE,"Sheet1 (2)"}</definedName>
    <definedName name="qqq_2_1" localSheetId="0" hidden="1">{#N/A,#N/A,FALSE,"Sheet1 (2)"}</definedName>
    <definedName name="qqq_2_1" hidden="1">{#N/A,#N/A,FALSE,"Sheet1 (2)"}</definedName>
    <definedName name="qqq_2_2" localSheetId="0" hidden="1">{#N/A,#N/A,FALSE,"Sheet1 (2)"}</definedName>
    <definedName name="qqq_2_2" hidden="1">{#N/A,#N/A,FALSE,"Sheet1 (2)"}</definedName>
    <definedName name="qqq_3" localSheetId="0" hidden="1">{#N/A,#N/A,FALSE,"Sheet1 (2)"}</definedName>
    <definedName name="qqq_3" hidden="1">{#N/A,#N/A,FALSE,"Sheet1 (2)"}</definedName>
    <definedName name="qqq_4" localSheetId="0" hidden="1">{#N/A,#N/A,FALSE,"Sheet1 (2)"}</definedName>
    <definedName name="qqq_4" hidden="1">{#N/A,#N/A,FALSE,"Sheet1 (2)"}</definedName>
    <definedName name="qqqq" localSheetId="0" hidden="1">{#N/A,#N/A,FALSE,"Sheet1 (2)"}</definedName>
    <definedName name="qqqq" hidden="1">{#N/A,#N/A,FALSE,"Sheet1 (2)"}</definedName>
    <definedName name="qqqq_1" localSheetId="0" hidden="1">{#N/A,#N/A,FALSE,"Sheet1 (2)"}</definedName>
    <definedName name="qqqq_1" hidden="1">{#N/A,#N/A,FALSE,"Sheet1 (2)"}</definedName>
    <definedName name="qqqq_1_1" localSheetId="0" hidden="1">{#N/A,#N/A,FALSE,"Sheet1 (2)"}</definedName>
    <definedName name="qqqq_1_1" hidden="1">{#N/A,#N/A,FALSE,"Sheet1 (2)"}</definedName>
    <definedName name="qqqq_1_2" localSheetId="0" hidden="1">{#N/A,#N/A,FALSE,"Sheet1 (2)"}</definedName>
    <definedName name="qqqq_1_2" hidden="1">{#N/A,#N/A,FALSE,"Sheet1 (2)"}</definedName>
    <definedName name="qqqq_1_3" localSheetId="0" hidden="1">{#N/A,#N/A,FALSE,"Sheet1 (2)"}</definedName>
    <definedName name="qqqq_1_3" hidden="1">{#N/A,#N/A,FALSE,"Sheet1 (2)"}</definedName>
    <definedName name="qqqq_2" localSheetId="0" hidden="1">{#N/A,#N/A,FALSE,"Sheet1 (2)"}</definedName>
    <definedName name="qqqq_2" hidden="1">{#N/A,#N/A,FALSE,"Sheet1 (2)"}</definedName>
    <definedName name="qqqq_2_1" localSheetId="0" hidden="1">{#N/A,#N/A,FALSE,"Sheet1 (2)"}</definedName>
    <definedName name="qqqq_2_1" hidden="1">{#N/A,#N/A,FALSE,"Sheet1 (2)"}</definedName>
    <definedName name="qqqq_2_2" localSheetId="0" hidden="1">{#N/A,#N/A,FALSE,"Sheet1 (2)"}</definedName>
    <definedName name="qqqq_2_2" hidden="1">{#N/A,#N/A,FALSE,"Sheet1 (2)"}</definedName>
    <definedName name="qqqq_3" localSheetId="0" hidden="1">{#N/A,#N/A,FALSE,"Sheet1 (2)"}</definedName>
    <definedName name="qqqq_3" hidden="1">{#N/A,#N/A,FALSE,"Sheet1 (2)"}</definedName>
    <definedName name="qqqq_4" localSheetId="0" hidden="1">{#N/A,#N/A,FALSE,"Sheet1 (2)"}</definedName>
    <definedName name="qqqq_4" hidden="1">{#N/A,#N/A,FALSE,"Sheet1 (2)"}</definedName>
    <definedName name="qryPriceOnRoadSortExcel">'[119]Prezzi volumi Agosto'!$A$1:$G$242</definedName>
    <definedName name="qsdCDw">#REF!</definedName>
    <definedName name="QSxSsdsd">#REF!</definedName>
    <definedName name="Quantity">#REF!</definedName>
    <definedName name="QUATTR">#REF!</definedName>
    <definedName name="QUATTRM">#REF!</definedName>
    <definedName name="quattro">#REF!</definedName>
    <definedName name="qwe" localSheetId="0" hidden="1">{#N/A,#N/A,FALSE,"Sheet1 (2)"}</definedName>
    <definedName name="qwe" hidden="1">{#N/A,#N/A,FALSE,"Sheet1 (2)"}</definedName>
    <definedName name="qwe_1" localSheetId="0" hidden="1">{#N/A,#N/A,FALSE,"Sheet1 (2)"}</definedName>
    <definedName name="qwe_1" hidden="1">{#N/A,#N/A,FALSE,"Sheet1 (2)"}</definedName>
    <definedName name="qwe_1_1" localSheetId="0" hidden="1">{#N/A,#N/A,FALSE,"Sheet1 (2)"}</definedName>
    <definedName name="qwe_1_1" hidden="1">{#N/A,#N/A,FALSE,"Sheet1 (2)"}</definedName>
    <definedName name="qwe_1_2" localSheetId="0" hidden="1">{#N/A,#N/A,FALSE,"Sheet1 (2)"}</definedName>
    <definedName name="qwe_1_2" hidden="1">{#N/A,#N/A,FALSE,"Sheet1 (2)"}</definedName>
    <definedName name="qwe_1_3" localSheetId="0" hidden="1">{#N/A,#N/A,FALSE,"Sheet1 (2)"}</definedName>
    <definedName name="qwe_1_3" hidden="1">{#N/A,#N/A,FALSE,"Sheet1 (2)"}</definedName>
    <definedName name="qwe_2" localSheetId="0" hidden="1">{#N/A,#N/A,FALSE,"Sheet1 (2)"}</definedName>
    <definedName name="qwe_2" hidden="1">{#N/A,#N/A,FALSE,"Sheet1 (2)"}</definedName>
    <definedName name="qwe_2_1" localSheetId="0" hidden="1">{#N/A,#N/A,FALSE,"Sheet1 (2)"}</definedName>
    <definedName name="qwe_2_1" hidden="1">{#N/A,#N/A,FALSE,"Sheet1 (2)"}</definedName>
    <definedName name="qwe_2_2" localSheetId="0" hidden="1">{#N/A,#N/A,FALSE,"Sheet1 (2)"}</definedName>
    <definedName name="qwe_2_2" hidden="1">{#N/A,#N/A,FALSE,"Sheet1 (2)"}</definedName>
    <definedName name="qwe_3" localSheetId="0" hidden="1">{#N/A,#N/A,FALSE,"Sheet1 (2)"}</definedName>
    <definedName name="qwe_3" hidden="1">{#N/A,#N/A,FALSE,"Sheet1 (2)"}</definedName>
    <definedName name="qwe_4" localSheetId="0" hidden="1">{#N/A,#N/A,FALSE,"Sheet1 (2)"}</definedName>
    <definedName name="qwe_4" hidden="1">{#N/A,#N/A,FALSE,"Sheet1 (2)"}</definedName>
    <definedName name="qweer" localSheetId="0" hidden="1">{#N/A,#N/A,FALSE,"Sheet1 (2)"}</definedName>
    <definedName name="qweer" hidden="1">{#N/A,#N/A,FALSE,"Sheet1 (2)"}</definedName>
    <definedName name="qweer_1" localSheetId="0" hidden="1">{#N/A,#N/A,FALSE,"Sheet1 (2)"}</definedName>
    <definedName name="qweer_1" hidden="1">{#N/A,#N/A,FALSE,"Sheet1 (2)"}</definedName>
    <definedName name="qweer_1_1" localSheetId="0" hidden="1">{#N/A,#N/A,FALSE,"Sheet1 (2)"}</definedName>
    <definedName name="qweer_1_1" hidden="1">{#N/A,#N/A,FALSE,"Sheet1 (2)"}</definedName>
    <definedName name="qweer_1_2" localSheetId="0" hidden="1">{#N/A,#N/A,FALSE,"Sheet1 (2)"}</definedName>
    <definedName name="qweer_1_2" hidden="1">{#N/A,#N/A,FALSE,"Sheet1 (2)"}</definedName>
    <definedName name="qweer_1_3" localSheetId="0" hidden="1">{#N/A,#N/A,FALSE,"Sheet1 (2)"}</definedName>
    <definedName name="qweer_1_3" hidden="1">{#N/A,#N/A,FALSE,"Sheet1 (2)"}</definedName>
    <definedName name="qweer_2" localSheetId="0" hidden="1">{#N/A,#N/A,FALSE,"Sheet1 (2)"}</definedName>
    <definedName name="qweer_2" hidden="1">{#N/A,#N/A,FALSE,"Sheet1 (2)"}</definedName>
    <definedName name="qweer_2_1" localSheetId="0" hidden="1">{#N/A,#N/A,FALSE,"Sheet1 (2)"}</definedName>
    <definedName name="qweer_2_1" hidden="1">{#N/A,#N/A,FALSE,"Sheet1 (2)"}</definedName>
    <definedName name="qweer_2_2" localSheetId="0" hidden="1">{#N/A,#N/A,FALSE,"Sheet1 (2)"}</definedName>
    <definedName name="qweer_2_2" hidden="1">{#N/A,#N/A,FALSE,"Sheet1 (2)"}</definedName>
    <definedName name="qweer_3" localSheetId="0" hidden="1">{#N/A,#N/A,FALSE,"Sheet1 (2)"}</definedName>
    <definedName name="qweer_3" hidden="1">{#N/A,#N/A,FALSE,"Sheet1 (2)"}</definedName>
    <definedName name="qweer_4" localSheetId="0" hidden="1">{#N/A,#N/A,FALSE,"Sheet1 (2)"}</definedName>
    <definedName name="qweer_4" hidden="1">{#N/A,#N/A,FALSE,"Sheet1 (2)"}</definedName>
    <definedName name="qwer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qwer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qwer_1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qwer_1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qwer_1_1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qwer_1_1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qwer_1_2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qwer_1_2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qwer_1_3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qwer_1_3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qwer_2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qwer_2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qwer_2_1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qwer_2_1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qwer_2_2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qwer_2_2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qwer_3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qwer_3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qwer_4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qwer_4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RAA" localSheetId="0" hidden="1">{#N/A,#N/A,FALSE,"Sheet1 (2)"}</definedName>
    <definedName name="RAA" hidden="1">{#N/A,#N/A,FALSE,"Sheet1 (2)"}</definedName>
    <definedName name="RAA_1" localSheetId="0" hidden="1">{#N/A,#N/A,FALSE,"Sheet1 (2)"}</definedName>
    <definedName name="RAA_1" hidden="1">{#N/A,#N/A,FALSE,"Sheet1 (2)"}</definedName>
    <definedName name="RAA_1_1" localSheetId="0" hidden="1">{#N/A,#N/A,FALSE,"Sheet1 (2)"}</definedName>
    <definedName name="RAA_1_1" hidden="1">{#N/A,#N/A,FALSE,"Sheet1 (2)"}</definedName>
    <definedName name="RAA_1_2" localSheetId="0" hidden="1">{#N/A,#N/A,FALSE,"Sheet1 (2)"}</definedName>
    <definedName name="RAA_1_2" hidden="1">{#N/A,#N/A,FALSE,"Sheet1 (2)"}</definedName>
    <definedName name="RAA_1_3" localSheetId="0" hidden="1">{#N/A,#N/A,FALSE,"Sheet1 (2)"}</definedName>
    <definedName name="RAA_1_3" hidden="1">{#N/A,#N/A,FALSE,"Sheet1 (2)"}</definedName>
    <definedName name="RAA_2" localSheetId="0" hidden="1">{#N/A,#N/A,FALSE,"Sheet1 (2)"}</definedName>
    <definedName name="RAA_2" hidden="1">{#N/A,#N/A,FALSE,"Sheet1 (2)"}</definedName>
    <definedName name="RAA_2_1" localSheetId="0" hidden="1">{#N/A,#N/A,FALSE,"Sheet1 (2)"}</definedName>
    <definedName name="RAA_2_1" hidden="1">{#N/A,#N/A,FALSE,"Sheet1 (2)"}</definedName>
    <definedName name="RAA_2_2" localSheetId="0" hidden="1">{#N/A,#N/A,FALSE,"Sheet1 (2)"}</definedName>
    <definedName name="RAA_2_2" hidden="1">{#N/A,#N/A,FALSE,"Sheet1 (2)"}</definedName>
    <definedName name="RAA_3" localSheetId="0" hidden="1">{#N/A,#N/A,FALSE,"Sheet1 (2)"}</definedName>
    <definedName name="RAA_3" hidden="1">{#N/A,#N/A,FALSE,"Sheet1 (2)"}</definedName>
    <definedName name="RAA_4" localSheetId="0" hidden="1">{#N/A,#N/A,FALSE,"Sheet1 (2)"}</definedName>
    <definedName name="RAA_4" hidden="1">{#N/A,#N/A,FALSE,"Sheet1 (2)"}</definedName>
    <definedName name="RAD">#REF!</definedName>
    <definedName name="RADIO">#REF!</definedName>
    <definedName name="RADTO_14BT">#REF!</definedName>
    <definedName name="RADYO" localSheetId="0" hidden="1">{#N/A,#N/A,FALSE,"Sheet1 (2)"}</definedName>
    <definedName name="RADYO">#REF!</definedName>
    <definedName name="radyo_06">#REF!</definedName>
    <definedName name="radyo_07">#REF!</definedName>
    <definedName name="radyo_08">#REF!</definedName>
    <definedName name="RADYO_1">#REF!</definedName>
    <definedName name="RADYO_10">#REF!</definedName>
    <definedName name="RADYO_10ADI">#REF!</definedName>
    <definedName name="RADYO_10BT">#REF!</definedName>
    <definedName name="RADYO_10İİ">#REF!</definedName>
    <definedName name="RADYO_10KUR">#REF!</definedName>
    <definedName name="RADYO_10NT">#REF!</definedName>
    <definedName name="RADYO_10Öİ">#REF!</definedName>
    <definedName name="RADYO_10SPOT">#REF!</definedName>
    <definedName name="RADYO_11">#REF!</definedName>
    <definedName name="RADYO_11ADI">#REF!</definedName>
    <definedName name="RADYO_11BT">#REF!</definedName>
    <definedName name="RADYO_11İİ">#REF!</definedName>
    <definedName name="RADYO_11KUR">#REF!</definedName>
    <definedName name="RADYO_11NT">#REF!</definedName>
    <definedName name="RADYO_11Öİ">#REF!</definedName>
    <definedName name="RADYO_11SPOT">#REF!</definedName>
    <definedName name="RADYO_12">#REF!</definedName>
    <definedName name="RADYO_12ADI">#REF!</definedName>
    <definedName name="RADYO_12BT">#REF!</definedName>
    <definedName name="RADYO_12İİ">#REF!</definedName>
    <definedName name="RADYO_12KUR">#REF!</definedName>
    <definedName name="RADYO_12NT">#REF!</definedName>
    <definedName name="RADYO_12Öİ">#REF!</definedName>
    <definedName name="RADYO_12SPOT">#REF!</definedName>
    <definedName name="RADYO_13">#REF!</definedName>
    <definedName name="RADYO_13ADI">#REF!</definedName>
    <definedName name="RADYO_13BT">#REF!</definedName>
    <definedName name="RADYO_13İİ">#REF!</definedName>
    <definedName name="RADYO_13KUR">#REF!</definedName>
    <definedName name="RADYO_13NT">#REF!</definedName>
    <definedName name="RADYO_13Öİ">#REF!</definedName>
    <definedName name="RADYO_13SPOT">#REF!</definedName>
    <definedName name="RADYO_14">#REF!</definedName>
    <definedName name="RADYO_14ADI">#REF!</definedName>
    <definedName name="RADYO_14BT">#REF!</definedName>
    <definedName name="RADYO_14İİ">#REF!</definedName>
    <definedName name="RADYO_14KUR">#REF!</definedName>
    <definedName name="RADYO_14NT">#REF!</definedName>
    <definedName name="RADYO_14Öİ">#REF!</definedName>
    <definedName name="RADYO_14SPOT">#REF!</definedName>
    <definedName name="RADYO_15">#REF!</definedName>
    <definedName name="RADYO_15ADI">#REF!</definedName>
    <definedName name="RADYO_15BT">#REF!</definedName>
    <definedName name="RADYO_15İİ">#REF!</definedName>
    <definedName name="RADYO_15KUR">#REF!</definedName>
    <definedName name="RADYO_15NT">#REF!</definedName>
    <definedName name="RADYO_15Öİ">#REF!</definedName>
    <definedName name="RADYO_15SPOT">#REF!</definedName>
    <definedName name="RADYO_1ADI">#REF!</definedName>
    <definedName name="RADYO_1BT">#REF!</definedName>
    <definedName name="RADYO_1İİ">#REF!</definedName>
    <definedName name="RADYO_1KUR">#REF!</definedName>
    <definedName name="RADYO_1NT">#REF!</definedName>
    <definedName name="RADYO_1Öİ">#REF!</definedName>
    <definedName name="RADYO_1SPOT">#REF!</definedName>
    <definedName name="RADYO_2">#REF!</definedName>
    <definedName name="RADYO_2ADI">#REF!</definedName>
    <definedName name="RADYO_2BT">#REF!</definedName>
    <definedName name="RADYO_2İİ">#REF!</definedName>
    <definedName name="RADYO_2KUR">#REF!</definedName>
    <definedName name="RADYO_2NT">#REF!</definedName>
    <definedName name="RADYO_2Öİ">#REF!</definedName>
    <definedName name="RADYO_2SPOT">#REF!</definedName>
    <definedName name="RADYO_3">#REF!</definedName>
    <definedName name="RADYO_3ADI">#REF!</definedName>
    <definedName name="RADYO_3BT">#REF!</definedName>
    <definedName name="RADYO_3İİ">#REF!</definedName>
    <definedName name="RADYO_3KUR">#REF!</definedName>
    <definedName name="RADYO_3NT">#REF!</definedName>
    <definedName name="RADYO_3Öİ">#REF!</definedName>
    <definedName name="RADYO_3SPOT">#REF!</definedName>
    <definedName name="RADYO_4">#REF!</definedName>
    <definedName name="RADYO_4ADI">#REF!</definedName>
    <definedName name="RADYO_4BT">#REF!</definedName>
    <definedName name="RADYO_4İİ">#REF!</definedName>
    <definedName name="RADYO_4KUR">#REF!</definedName>
    <definedName name="RADYO_4NT">#REF!</definedName>
    <definedName name="RADYO_4Öİ">#REF!</definedName>
    <definedName name="RADYO_4SPOT">#REF!</definedName>
    <definedName name="RADYO_5">#REF!</definedName>
    <definedName name="RADYO_5ADI">#REF!</definedName>
    <definedName name="RADYO_5BT">#REF!</definedName>
    <definedName name="RADYO_5İİ">#REF!</definedName>
    <definedName name="RADYO_5KUR">#REF!</definedName>
    <definedName name="RADYO_5NT">#REF!</definedName>
    <definedName name="RADYO_5Öİ">#REF!</definedName>
    <definedName name="RADYO_5SPOT">#REF!</definedName>
    <definedName name="RADYO_6">#REF!</definedName>
    <definedName name="RADYO_6ADI">#REF!</definedName>
    <definedName name="RADYO_6BT">#REF!</definedName>
    <definedName name="RADYO_6İİ">#REF!</definedName>
    <definedName name="RADYO_6KUR">#REF!</definedName>
    <definedName name="RADYO_6NT">#REF!</definedName>
    <definedName name="RADYO_6Öİ">#REF!</definedName>
    <definedName name="RADYO_6SPOT">#REF!</definedName>
    <definedName name="RADYO_7">#REF!</definedName>
    <definedName name="RADYO_7ADI">#REF!</definedName>
    <definedName name="RADYO_7BT">#REF!</definedName>
    <definedName name="RADYO_7İİ">#REF!</definedName>
    <definedName name="RADYO_7KUR">#REF!</definedName>
    <definedName name="RADYO_7NT">#REF!</definedName>
    <definedName name="RADYO_7Öİ">#REF!</definedName>
    <definedName name="RADYO_7SPOT">#REF!</definedName>
    <definedName name="RADYO_8">#REF!</definedName>
    <definedName name="RADYO_8ADI">#REF!</definedName>
    <definedName name="RADYO_8BT">#REF!</definedName>
    <definedName name="RADYO_8İİ">#REF!</definedName>
    <definedName name="RADYO_8KUR">#REF!</definedName>
    <definedName name="RADYO_8NT">#REF!</definedName>
    <definedName name="RADYO_8Öİ">#REF!</definedName>
    <definedName name="RADYO_8SPOT">#REF!</definedName>
    <definedName name="RADYO_9">#REF!</definedName>
    <definedName name="RADYO_9ADI">#REF!</definedName>
    <definedName name="RADYO_9BT">#REF!</definedName>
    <definedName name="RADYO_9İİ">#REF!</definedName>
    <definedName name="RADYO_9KUR">#REF!</definedName>
    <definedName name="RADYO_9NT">#REF!</definedName>
    <definedName name="RADYO_9Öİ">#REF!</definedName>
    <definedName name="RADYO_9SPOT">#REF!</definedName>
    <definedName name="radyo2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radyo2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RADYOLAND">#REF!</definedName>
    <definedName name="radyooo" hidden="1">#REF!</definedName>
    <definedName name="RADYOOOO" localSheetId="0" hidden="1">{#N/A,#N/A,FALSE,"Sheet1 (2)"}</definedName>
    <definedName name="RADYOOOO" hidden="1">{#N/A,#N/A,FALSE,"Sheet1 (2)"}</definedName>
    <definedName name="RADYOOOO_1" localSheetId="0" hidden="1">{#N/A,#N/A,FALSE,"Sheet1 (2)"}</definedName>
    <definedName name="RADYOOOO_1" hidden="1">{#N/A,#N/A,FALSE,"Sheet1 (2)"}</definedName>
    <definedName name="RADYOOOO_1_1" localSheetId="0" hidden="1">{#N/A,#N/A,FALSE,"Sheet1 (2)"}</definedName>
    <definedName name="RADYOOOO_1_1" hidden="1">{#N/A,#N/A,FALSE,"Sheet1 (2)"}</definedName>
    <definedName name="RADYOOOO_1_2" localSheetId="0" hidden="1">{#N/A,#N/A,FALSE,"Sheet1 (2)"}</definedName>
    <definedName name="RADYOOOO_1_2" hidden="1">{#N/A,#N/A,FALSE,"Sheet1 (2)"}</definedName>
    <definedName name="RADYOOOO_1_3" localSheetId="0" hidden="1">{#N/A,#N/A,FALSE,"Sheet1 (2)"}</definedName>
    <definedName name="RADYOOOO_1_3" hidden="1">{#N/A,#N/A,FALSE,"Sheet1 (2)"}</definedName>
    <definedName name="RADYOOOO_2" localSheetId="0" hidden="1">{#N/A,#N/A,FALSE,"Sheet1 (2)"}</definedName>
    <definedName name="RADYOOOO_2" hidden="1">{#N/A,#N/A,FALSE,"Sheet1 (2)"}</definedName>
    <definedName name="RADYOOOO_2_1" localSheetId="0" hidden="1">{#N/A,#N/A,FALSE,"Sheet1 (2)"}</definedName>
    <definedName name="RADYOOOO_2_1" hidden="1">{#N/A,#N/A,FALSE,"Sheet1 (2)"}</definedName>
    <definedName name="RADYOOOO_2_2" localSheetId="0" hidden="1">{#N/A,#N/A,FALSE,"Sheet1 (2)"}</definedName>
    <definedName name="RADYOOOO_2_2" hidden="1">{#N/A,#N/A,FALSE,"Sheet1 (2)"}</definedName>
    <definedName name="RADYOOOO_3" localSheetId="0" hidden="1">{#N/A,#N/A,FALSE,"Sheet1 (2)"}</definedName>
    <definedName name="RADYOOOO_3" hidden="1">{#N/A,#N/A,FALSE,"Sheet1 (2)"}</definedName>
    <definedName name="RADYOOOO_4" localSheetId="0" hidden="1">{#N/A,#N/A,FALSE,"Sheet1 (2)"}</definedName>
    <definedName name="RADYOOOO_4" hidden="1">{#N/A,#N/A,FALSE,"Sheet1 (2)"}</definedName>
    <definedName name="RAI">#N/A</definedName>
    <definedName name="range">#REF!</definedName>
    <definedName name="Range_Discounts_Percentage">'[21]Proposal Summary'!$C$8:$C$12</definedName>
    <definedName name="RApor2">#REF!</definedName>
    <definedName name="rate">#REF!</definedName>
    <definedName name="RateCategoryNames">#REF!</definedName>
    <definedName name="RATING">#REF!</definedName>
    <definedName name="RATING_2">#REF!</definedName>
    <definedName name="RATING_3">#REF!</definedName>
    <definedName name="RATING_4">#REF!</definedName>
    <definedName name="RATING_5">#REF!</definedName>
    <definedName name="RATING_6">#REF!</definedName>
    <definedName name="RATING_7">#REF!</definedName>
    <definedName name="Rating_IDX">'[42]İndirimler ve Tanımlar'!$B$5</definedName>
    <definedName name="RCArea" hidden="1">#REF!</definedName>
    <definedName name="rcc_Target1">'[120]Kanal Performans'!#REF!</definedName>
    <definedName name="rcc_Target2">'[120]Kanal Performans'!#REF!</definedName>
    <definedName name="RDAYO_14ADI">#REF!</definedName>
    <definedName name="reee">#REF!</definedName>
    <definedName name="referans" localSheetId="0" hidden="1">{#N/A,#N/A,FALSE,"Sheet1 (2)"}</definedName>
    <definedName name="referans" hidden="1">{#N/A,#N/A,FALSE,"Sheet1 (2)"}</definedName>
    <definedName name="referans_1" localSheetId="0" hidden="1">{#N/A,#N/A,FALSE,"Sheet1 (2)"}</definedName>
    <definedName name="referans_1" hidden="1">{#N/A,#N/A,FALSE,"Sheet1 (2)"}</definedName>
    <definedName name="referans_1_1" localSheetId="0" hidden="1">{#N/A,#N/A,FALSE,"Sheet1 (2)"}</definedName>
    <definedName name="referans_1_1" hidden="1">{#N/A,#N/A,FALSE,"Sheet1 (2)"}</definedName>
    <definedName name="referans_1_2" localSheetId="0" hidden="1">{#N/A,#N/A,FALSE,"Sheet1 (2)"}</definedName>
    <definedName name="referans_1_2" hidden="1">{#N/A,#N/A,FALSE,"Sheet1 (2)"}</definedName>
    <definedName name="referans_1_3" localSheetId="0" hidden="1">{#N/A,#N/A,FALSE,"Sheet1 (2)"}</definedName>
    <definedName name="referans_1_3" hidden="1">{#N/A,#N/A,FALSE,"Sheet1 (2)"}</definedName>
    <definedName name="referans_2" localSheetId="0" hidden="1">{#N/A,#N/A,FALSE,"Sheet1 (2)"}</definedName>
    <definedName name="referans_2" hidden="1">{#N/A,#N/A,FALSE,"Sheet1 (2)"}</definedName>
    <definedName name="referans_2_1" localSheetId="0" hidden="1">{#N/A,#N/A,FALSE,"Sheet1 (2)"}</definedName>
    <definedName name="referans_2_1" hidden="1">{#N/A,#N/A,FALSE,"Sheet1 (2)"}</definedName>
    <definedName name="referans_2_2" localSheetId="0" hidden="1">{#N/A,#N/A,FALSE,"Sheet1 (2)"}</definedName>
    <definedName name="referans_2_2" hidden="1">{#N/A,#N/A,FALSE,"Sheet1 (2)"}</definedName>
    <definedName name="referans_3" localSheetId="0" hidden="1">{#N/A,#N/A,FALSE,"Sheet1 (2)"}</definedName>
    <definedName name="referans_3" hidden="1">{#N/A,#N/A,FALSE,"Sheet1 (2)"}</definedName>
    <definedName name="referans_4" localSheetId="0" hidden="1">{#N/A,#N/A,FALSE,"Sheet1 (2)"}</definedName>
    <definedName name="referans_4" hidden="1">{#N/A,#N/A,FALSE,"Sheet1 (2)"}</definedName>
    <definedName name="RefMonat">[62]Foglio1!$AI$2:$AI$13</definedName>
    <definedName name="RefMonat1">[62]Foglio1!$AI$2:$AJ$13</definedName>
    <definedName name="REFZONE">#REF!</definedName>
    <definedName name="Region_CodeStart">#REF!</definedName>
    <definedName name="REKLAM">[42]Ayarlar!$M$3:$M$5</definedName>
    <definedName name="REKLAMAJANS">#REF!</definedName>
    <definedName name="REKLAMPİRİ">#REF!</definedName>
    <definedName name="rete4">#REF!,#REF!,#REF!,#REF!,#REF!,#REF!,#REF!,#REF!,#REF!,#REF!,#REF!,#REF!</definedName>
    <definedName name="reviewrtpages">'[39]ED Upper Funnel'!#REF!</definedName>
    <definedName name="reyhan" localSheetId="0">'Haziran Gerçekleşen Plan'!reyhan</definedName>
    <definedName name="reyhan">[0]!reyhan</definedName>
    <definedName name="REZ_IDX">#REF!</definedName>
    <definedName name="rfghty" localSheetId="0" hidden="1">{#N/A,#N/A,FALSE,"Sheet1 (2)"}</definedName>
    <definedName name="rfghty" hidden="1">{#N/A,#N/A,FALSE,"Sheet1 (2)"}</definedName>
    <definedName name="rg" hidden="1">#REF!</definedName>
    <definedName name="RHH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RHH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RHHR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RHH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rhj11k13ukl1o3l">#REF!</definedName>
    <definedName name="RHR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RHR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rich_media_accepted">#REF!</definedName>
    <definedName name="rich_media_included_rate">#REF!</definedName>
    <definedName name="Rich_Media_Products">#REF!</definedName>
    <definedName name="Rich_Media_Type">[31]Data!$C$6:$C$17</definedName>
    <definedName name="Rif.A">[55]Index!$D$6</definedName>
    <definedName name="Rif.A100">[55]Index!$D$7</definedName>
    <definedName name="Rif.B">[55]Index!$D$9</definedName>
    <definedName name="Rif.B100">[55]Index!$D$10</definedName>
    <definedName name="Rif.B200">[55]Index!$D$11</definedName>
    <definedName name="Rif.B300">[55]Index!#REF!</definedName>
    <definedName name="Rif.B400">[55]Index!$D$13</definedName>
    <definedName name="Rif.B500">[55]Index!#REF!</definedName>
    <definedName name="Rif.B600">[55]Index!$D$14</definedName>
    <definedName name="Rif.B700">[55]Index!$D$15</definedName>
    <definedName name="Rif.B800">[55]Index!$D$16</definedName>
    <definedName name="Rif.C">[55]Index!$D$17</definedName>
    <definedName name="Rif.C100">[55]Index!$D$18</definedName>
    <definedName name="Rif.D">[55]Index!$D$21</definedName>
    <definedName name="Rif.D100">[55]Index!$D$22</definedName>
    <definedName name="Rif.D200">[55]Index!$D$23</definedName>
    <definedName name="Rif.D300">[55]Index!#REF!</definedName>
    <definedName name="Rif.D400">[55]Index!$D$24</definedName>
    <definedName name="Rif.D500">[55]Index!$D$25</definedName>
    <definedName name="Rif.D550">[55]Index!$D$26</definedName>
    <definedName name="Rif.D600">[55]Index!$D$27</definedName>
    <definedName name="Rif.D650">[55]Index!$D$28</definedName>
    <definedName name="Rif.D700">[55]Index!$D$29</definedName>
    <definedName name="Rif.E">[55]Index!$D$30</definedName>
    <definedName name="Rif.E100">[55]Index!#REF!</definedName>
    <definedName name="Rif.F">[55]Index!$D$38</definedName>
    <definedName name="Rif.F100">[55]Index!#REF!</definedName>
    <definedName name="Rif.F200">[55]Index!#REF!</definedName>
    <definedName name="Rif.G">[55]Index!$D$39</definedName>
    <definedName name="Rif.G100">[55]Index!$D$40</definedName>
    <definedName name="Rif.G150">[55]Index!$D$44</definedName>
    <definedName name="Rif.G200">[55]Index!$D$41</definedName>
    <definedName name="Rif.G225">[55]Index!$D$45</definedName>
    <definedName name="Rif.G250">[55]Index!$D$46</definedName>
    <definedName name="Rif.G275">[55]Index!$D$47</definedName>
    <definedName name="Rif.G300">[55]Index!$D$49</definedName>
    <definedName name="Rif.G350">[55]Index!$D$50</definedName>
    <definedName name="Rif.G400">[55]Index!$D$51</definedName>
    <definedName name="Rif.G450">[55]Index!$D$52</definedName>
    <definedName name="Rif.G500">[55]Index!#REF!</definedName>
    <definedName name="Rif.G550">[55]Index!#REF!</definedName>
    <definedName name="Rif.G600">[55]Index!$D$53</definedName>
    <definedName name="Rif.G650">[55]Index!$D$54</definedName>
    <definedName name="Rif.H">[55]Index!$D$42</definedName>
    <definedName name="Rif.H100">[55]Index!$D$43</definedName>
    <definedName name="Rif.H150">[55]Index!$D$44</definedName>
    <definedName name="Rif.H200">[55]Index!#REF!</definedName>
    <definedName name="Rif.H225">[55]Index!$D$45</definedName>
    <definedName name="Rif.H250">[55]Index!$D$46</definedName>
    <definedName name="Rif.H275">[55]Index!$D$47</definedName>
    <definedName name="Rif.H300">[55]Index!$D$49</definedName>
    <definedName name="Rif.H350">[55]Index!$D$50</definedName>
    <definedName name="Rif.H400">[55]Index!$D$51</definedName>
    <definedName name="Rif.H450">[55]Index!$D$52</definedName>
    <definedName name="Rif.H500">[55]Index!#REF!</definedName>
    <definedName name="Rif.H550">[55]Index!#REF!</definedName>
    <definedName name="Rif.H600">[55]Index!$D$53</definedName>
    <definedName name="Rif.H650">[55]Index!$D$54</definedName>
    <definedName name="Rif.I">[55]Index!$D$55</definedName>
    <definedName name="Rif.I100">[55]Index!#REF!</definedName>
    <definedName name="Rif.I200">[55]Index!$C$59</definedName>
    <definedName name="Rif.I300">[55]Index!$C$60</definedName>
    <definedName name="Rif.I400">[55]Index!$C$61</definedName>
    <definedName name="Rif.I500">[55]Index!$C$62</definedName>
    <definedName name="Rif.I600">[55]Index!$C$63</definedName>
    <definedName name="Rif.I700">[55]Index!$C$64</definedName>
    <definedName name="Rif.L">[55]Index!$D$57</definedName>
    <definedName name="Rif.L100">[55]Index!$D$58</definedName>
    <definedName name="Rif.L200">[55]Index!$D$59</definedName>
    <definedName name="Rif.L300">[55]Index!$D$60</definedName>
    <definedName name="Rif.L400">[55]Index!$D$61</definedName>
    <definedName name="Rif.L500">[55]Index!$D$62</definedName>
    <definedName name="Rif.L600">[55]Index!$D$63</definedName>
    <definedName name="Rif.L700">[55]Index!$D$64</definedName>
    <definedName name="Rif.M100">[55]Index!$D$56</definedName>
    <definedName name="rin">[59]!rin</definedName>
    <definedName name="RİZE">#REF!</definedName>
    <definedName name="rmcAccount">3975</definedName>
    <definedName name="rmcApplication">"FIN1"</definedName>
    <definedName name="rmcCategory">"PRYR02"</definedName>
    <definedName name="rmcFrequency">"MON"</definedName>
    <definedName name="rmcName">"DUKENT"</definedName>
    <definedName name="RMCOptions">"*000000000000000"</definedName>
    <definedName name="rmcPeriod">9501</definedName>
    <definedName name="ROTA">#REF!</definedName>
    <definedName name="rotasyonbirim">#REF!</definedName>
    <definedName name="row_number">#REF!</definedName>
    <definedName name="rows_array" localSheetId="0">{"BRAND",0,"Auto","Auto","";"CTY",0,"Auto","Auto",""}</definedName>
    <definedName name="rows_array">{"BRAND",0,"Auto","Auto","";"CTY",0,"Auto","Auto",""}</definedName>
    <definedName name="ROWS_ARRAY2" localSheetId="0">{"BRAND",0,"Auto","Auto","";"CTY",0,"Auto","Auto",""}</definedName>
    <definedName name="ROWS_ARRAY2">{"BRAND",0,"Auto","Auto","";"CTY",0,"Auto","Auto",""}</definedName>
    <definedName name="rrgyhyj">#REF!</definedName>
    <definedName name="rrr" localSheetId="0" hidden="1">{#N/A,#N/A,FALSE,"Sheet1 (2)"}</definedName>
    <definedName name="rrr" hidden="1">{#N/A,#N/A,FALSE,"Sheet1 (2)"}</definedName>
    <definedName name="rrr_1" localSheetId="0" hidden="1">{#N/A,#N/A,FALSE,"Sheet1 (2)"}</definedName>
    <definedName name="rrr_1" hidden="1">{#N/A,#N/A,FALSE,"Sheet1 (2)"}</definedName>
    <definedName name="rrr_1_1" localSheetId="0" hidden="1">{#N/A,#N/A,FALSE,"Sheet1 (2)"}</definedName>
    <definedName name="rrr_1_1" hidden="1">{#N/A,#N/A,FALSE,"Sheet1 (2)"}</definedName>
    <definedName name="rrr_1_2" localSheetId="0" hidden="1">{#N/A,#N/A,FALSE,"Sheet1 (2)"}</definedName>
    <definedName name="rrr_1_2" hidden="1">{#N/A,#N/A,FALSE,"Sheet1 (2)"}</definedName>
    <definedName name="rrr_1_3" localSheetId="0" hidden="1">{#N/A,#N/A,FALSE,"Sheet1 (2)"}</definedName>
    <definedName name="rrr_1_3" hidden="1">{#N/A,#N/A,FALSE,"Sheet1 (2)"}</definedName>
    <definedName name="rrr_2" localSheetId="0" hidden="1">{#N/A,#N/A,FALSE,"Sheet1 (2)"}</definedName>
    <definedName name="rrr_2" hidden="1">{#N/A,#N/A,FALSE,"Sheet1 (2)"}</definedName>
    <definedName name="rrr_2_1" localSheetId="0" hidden="1">{#N/A,#N/A,FALSE,"Sheet1 (2)"}</definedName>
    <definedName name="rrr_2_1" hidden="1">{#N/A,#N/A,FALSE,"Sheet1 (2)"}</definedName>
    <definedName name="rrr_2_2" localSheetId="0" hidden="1">{#N/A,#N/A,FALSE,"Sheet1 (2)"}</definedName>
    <definedName name="rrr_2_2" hidden="1">{#N/A,#N/A,FALSE,"Sheet1 (2)"}</definedName>
    <definedName name="rrr_3" localSheetId="0" hidden="1">{#N/A,#N/A,FALSE,"Sheet1 (2)"}</definedName>
    <definedName name="rrr_3" hidden="1">{#N/A,#N/A,FALSE,"Sheet1 (2)"}</definedName>
    <definedName name="rrr_4" localSheetId="0" hidden="1">{#N/A,#N/A,FALSE,"Sheet1 (2)"}</definedName>
    <definedName name="rrr_4" hidden="1">{#N/A,#N/A,FALSE,"Sheet1 (2)"}</definedName>
    <definedName name="RRRR" localSheetId="0" hidden="1">{#N/A,#N/A,FALSE,"Sheet1 (2)"}</definedName>
    <definedName name="RRRR" hidden="1">{#N/A,#N/A,FALSE,"Sheet1 (2)"}</definedName>
    <definedName name="RRRR_1" localSheetId="0" hidden="1">{#N/A,#N/A,FALSE,"Sheet1 (2)"}</definedName>
    <definedName name="RRRR_1" hidden="1">{#N/A,#N/A,FALSE,"Sheet1 (2)"}</definedName>
    <definedName name="RRRR_1_1" localSheetId="0" hidden="1">{#N/A,#N/A,FALSE,"Sheet1 (2)"}</definedName>
    <definedName name="RRRR_1_1" hidden="1">{#N/A,#N/A,FALSE,"Sheet1 (2)"}</definedName>
    <definedName name="RRRR_1_2" localSheetId="0" hidden="1">{#N/A,#N/A,FALSE,"Sheet1 (2)"}</definedName>
    <definedName name="RRRR_1_2" hidden="1">{#N/A,#N/A,FALSE,"Sheet1 (2)"}</definedName>
    <definedName name="RRRR_1_3" localSheetId="0" hidden="1">{#N/A,#N/A,FALSE,"Sheet1 (2)"}</definedName>
    <definedName name="RRRR_1_3" hidden="1">{#N/A,#N/A,FALSE,"Sheet1 (2)"}</definedName>
    <definedName name="RRRR_2" localSheetId="0" hidden="1">{#N/A,#N/A,FALSE,"Sheet1 (2)"}</definedName>
    <definedName name="RRRR_2" hidden="1">{#N/A,#N/A,FALSE,"Sheet1 (2)"}</definedName>
    <definedName name="RRRR_2_1" localSheetId="0" hidden="1">{#N/A,#N/A,FALSE,"Sheet1 (2)"}</definedName>
    <definedName name="RRRR_2_1" hidden="1">{#N/A,#N/A,FALSE,"Sheet1 (2)"}</definedName>
    <definedName name="RRRR_2_2" localSheetId="0" hidden="1">{#N/A,#N/A,FALSE,"Sheet1 (2)"}</definedName>
    <definedName name="RRRR_2_2" hidden="1">{#N/A,#N/A,FALSE,"Sheet1 (2)"}</definedName>
    <definedName name="RRRR_3" localSheetId="0" hidden="1">{#N/A,#N/A,FALSE,"Sheet1 (2)"}</definedName>
    <definedName name="RRRR_3" hidden="1">{#N/A,#N/A,FALSE,"Sheet1 (2)"}</definedName>
    <definedName name="RRRR_4" localSheetId="0" hidden="1">{#N/A,#N/A,FALSE,"Sheet1 (2)"}</definedName>
    <definedName name="RRRR_4" hidden="1">{#N/A,#N/A,FALSE,"Sheet1 (2)"}</definedName>
    <definedName name="RRRRRRRR" localSheetId="0" hidden="1">{#N/A,#N/A,FALSE,"Sheet1 (2)"}</definedName>
    <definedName name="RRRRRRRR" hidden="1">{#N/A,#N/A,FALSE,"Sheet1 (2)"}</definedName>
    <definedName name="RRRRRRRR_1" localSheetId="0" hidden="1">{#N/A,#N/A,FALSE,"Sheet1 (2)"}</definedName>
    <definedName name="RRRRRRRR_1" hidden="1">{#N/A,#N/A,FALSE,"Sheet1 (2)"}</definedName>
    <definedName name="RRRRRRRR_1_1" localSheetId="0" hidden="1">{#N/A,#N/A,FALSE,"Sheet1 (2)"}</definedName>
    <definedName name="RRRRRRRR_1_1" hidden="1">{#N/A,#N/A,FALSE,"Sheet1 (2)"}</definedName>
    <definedName name="RRRRRRRR_1_2" localSheetId="0" hidden="1">{#N/A,#N/A,FALSE,"Sheet1 (2)"}</definedName>
    <definedName name="RRRRRRRR_1_2" hidden="1">{#N/A,#N/A,FALSE,"Sheet1 (2)"}</definedName>
    <definedName name="RRRRRRRR_1_3" localSheetId="0" hidden="1">{#N/A,#N/A,FALSE,"Sheet1 (2)"}</definedName>
    <definedName name="RRRRRRRR_1_3" hidden="1">{#N/A,#N/A,FALSE,"Sheet1 (2)"}</definedName>
    <definedName name="RRRRRRRR_2" localSheetId="0" hidden="1">{#N/A,#N/A,FALSE,"Sheet1 (2)"}</definedName>
    <definedName name="RRRRRRRR_2" hidden="1">{#N/A,#N/A,FALSE,"Sheet1 (2)"}</definedName>
    <definedName name="RRRRRRRR_2_1" localSheetId="0" hidden="1">{#N/A,#N/A,FALSE,"Sheet1 (2)"}</definedName>
    <definedName name="RRRRRRRR_2_1" hidden="1">{#N/A,#N/A,FALSE,"Sheet1 (2)"}</definedName>
    <definedName name="RRRRRRRR_2_2" localSheetId="0" hidden="1">{#N/A,#N/A,FALSE,"Sheet1 (2)"}</definedName>
    <definedName name="RRRRRRRR_2_2" hidden="1">{#N/A,#N/A,FALSE,"Sheet1 (2)"}</definedName>
    <definedName name="RRRRRRRR_3" localSheetId="0" hidden="1">{#N/A,#N/A,FALSE,"Sheet1 (2)"}</definedName>
    <definedName name="RRRRRRRR_3" hidden="1">{#N/A,#N/A,FALSE,"Sheet1 (2)"}</definedName>
    <definedName name="RRRRRRRR_4" localSheetId="0" hidden="1">{#N/A,#N/A,FALSE,"Sheet1 (2)"}</definedName>
    <definedName name="RRRRRRRR_4" hidden="1">{#N/A,#N/A,FALSE,"Sheet1 (2)"}</definedName>
    <definedName name="rrrrrrrrrr" localSheetId="0" hidden="1">{#N/A,#N/A,FALSE,"Sheet1 (2)"}</definedName>
    <definedName name="rrrrrrrrrr" hidden="1">{#N/A,#N/A,FALSE,"Sheet1 (2)"}</definedName>
    <definedName name="rrrrrrrrrr_1" localSheetId="0" hidden="1">{#N/A,#N/A,FALSE,"Sheet1 (2)"}</definedName>
    <definedName name="rrrrrrrrrr_1" hidden="1">{#N/A,#N/A,FALSE,"Sheet1 (2)"}</definedName>
    <definedName name="rrrrrrrrrr_1_1" localSheetId="0" hidden="1">{#N/A,#N/A,FALSE,"Sheet1 (2)"}</definedName>
    <definedName name="rrrrrrrrrr_1_1" hidden="1">{#N/A,#N/A,FALSE,"Sheet1 (2)"}</definedName>
    <definedName name="rrrrrrrrrr_1_2" localSheetId="0" hidden="1">{#N/A,#N/A,FALSE,"Sheet1 (2)"}</definedName>
    <definedName name="rrrrrrrrrr_1_2" hidden="1">{#N/A,#N/A,FALSE,"Sheet1 (2)"}</definedName>
    <definedName name="rrrrrrrrrr_1_3" localSheetId="0" hidden="1">{#N/A,#N/A,FALSE,"Sheet1 (2)"}</definedName>
    <definedName name="rrrrrrrrrr_1_3" hidden="1">{#N/A,#N/A,FALSE,"Sheet1 (2)"}</definedName>
    <definedName name="rrrrrrrrrr_2" localSheetId="0" hidden="1">{#N/A,#N/A,FALSE,"Sheet1 (2)"}</definedName>
    <definedName name="rrrrrrrrrr_2" hidden="1">{#N/A,#N/A,FALSE,"Sheet1 (2)"}</definedName>
    <definedName name="rrrrrrrrrr_2_1" localSheetId="0" hidden="1">{#N/A,#N/A,FALSE,"Sheet1 (2)"}</definedName>
    <definedName name="rrrrrrrrrr_2_1" hidden="1">{#N/A,#N/A,FALSE,"Sheet1 (2)"}</definedName>
    <definedName name="rrrrrrrrrr_2_2" localSheetId="0" hidden="1">{#N/A,#N/A,FALSE,"Sheet1 (2)"}</definedName>
    <definedName name="rrrrrrrrrr_2_2" hidden="1">{#N/A,#N/A,FALSE,"Sheet1 (2)"}</definedName>
    <definedName name="rrrrrrrrrr_3" localSheetId="0" hidden="1">{#N/A,#N/A,FALSE,"Sheet1 (2)"}</definedName>
    <definedName name="rrrrrrrrrr_3" hidden="1">{#N/A,#N/A,FALSE,"Sheet1 (2)"}</definedName>
    <definedName name="rrrrrrrrrr_4" localSheetId="0" hidden="1">{#N/A,#N/A,FALSE,"Sheet1 (2)"}</definedName>
    <definedName name="rrrrrrrrrr_4" hidden="1">{#N/A,#N/A,FALSE,"Sheet1 (2)"}</definedName>
    <definedName name="rt" localSheetId="0" hidden="1">{#N/A,#N/A,FALSE,"Sheet1 (2)"}</definedName>
    <definedName name="rt" hidden="1">{#N/A,#N/A,FALSE,"Sheet1 (2)"}</definedName>
    <definedName name="rtery" localSheetId="0" hidden="1">{#N/A,#N/A,FALSE,"Sheet1 (2)"}</definedName>
    <definedName name="rtery" hidden="1">{#N/A,#N/A,FALSE,"Sheet1 (2)"}</definedName>
    <definedName name="rtethyrthhj" localSheetId="0" hidden="1">{#N/A,#N/A,FALSE,"Sheet1 (2)"}</definedName>
    <definedName name="rtethyrthhj" hidden="1">{#N/A,#N/A,FALSE,"Sheet1 (2)"}</definedName>
    <definedName name="rtethyrthhj_1" localSheetId="0" hidden="1">{#N/A,#N/A,FALSE,"Sheet1 (2)"}</definedName>
    <definedName name="rtethyrthhj_1" hidden="1">{#N/A,#N/A,FALSE,"Sheet1 (2)"}</definedName>
    <definedName name="rtethyrthhj_1_1" localSheetId="0" hidden="1">{#N/A,#N/A,FALSE,"Sheet1 (2)"}</definedName>
    <definedName name="rtethyrthhj_1_1" hidden="1">{#N/A,#N/A,FALSE,"Sheet1 (2)"}</definedName>
    <definedName name="rtethyrthhj_1_2" localSheetId="0" hidden="1">{#N/A,#N/A,FALSE,"Sheet1 (2)"}</definedName>
    <definedName name="rtethyrthhj_1_2" hidden="1">{#N/A,#N/A,FALSE,"Sheet1 (2)"}</definedName>
    <definedName name="rtethyrthhj_1_3" localSheetId="0" hidden="1">{#N/A,#N/A,FALSE,"Sheet1 (2)"}</definedName>
    <definedName name="rtethyrthhj_1_3" hidden="1">{#N/A,#N/A,FALSE,"Sheet1 (2)"}</definedName>
    <definedName name="rtethyrthhj_2" localSheetId="0" hidden="1">{#N/A,#N/A,FALSE,"Sheet1 (2)"}</definedName>
    <definedName name="rtethyrthhj_2" hidden="1">{#N/A,#N/A,FALSE,"Sheet1 (2)"}</definedName>
    <definedName name="rtethyrthhj_2_1" localSheetId="0" hidden="1">{#N/A,#N/A,FALSE,"Sheet1 (2)"}</definedName>
    <definedName name="rtethyrthhj_2_1" hidden="1">{#N/A,#N/A,FALSE,"Sheet1 (2)"}</definedName>
    <definedName name="rtethyrthhj_2_2" localSheetId="0" hidden="1">{#N/A,#N/A,FALSE,"Sheet1 (2)"}</definedName>
    <definedName name="rtethyrthhj_2_2" hidden="1">{#N/A,#N/A,FALSE,"Sheet1 (2)"}</definedName>
    <definedName name="rtethyrthhj_3" localSheetId="0" hidden="1">{#N/A,#N/A,FALSE,"Sheet1 (2)"}</definedName>
    <definedName name="rtethyrthhj_3" hidden="1">{#N/A,#N/A,FALSE,"Sheet1 (2)"}</definedName>
    <definedName name="rtethyrthhj_4" localSheetId="0" hidden="1">{#N/A,#N/A,FALSE,"Sheet1 (2)"}</definedName>
    <definedName name="rtethyrthhj_4" hidden="1">{#N/A,#N/A,FALSE,"Sheet1 (2)"}</definedName>
    <definedName name="rtqerr" localSheetId="0" hidden="1">{#N/A,#N/A,FALSE,"Sheet1 (2)"}</definedName>
    <definedName name="rtqerr" hidden="1">{#N/A,#N/A,FALSE,"Sheet1 (2)"}</definedName>
    <definedName name="rtqerr_1" localSheetId="0" hidden="1">{#N/A,#N/A,FALSE,"Sheet1 (2)"}</definedName>
    <definedName name="rtqerr_1" hidden="1">{#N/A,#N/A,FALSE,"Sheet1 (2)"}</definedName>
    <definedName name="rtqerr_1_1" localSheetId="0" hidden="1">{#N/A,#N/A,FALSE,"Sheet1 (2)"}</definedName>
    <definedName name="rtqerr_1_1" hidden="1">{#N/A,#N/A,FALSE,"Sheet1 (2)"}</definedName>
    <definedName name="rtqerr_1_2" localSheetId="0" hidden="1">{#N/A,#N/A,FALSE,"Sheet1 (2)"}</definedName>
    <definedName name="rtqerr_1_2" hidden="1">{#N/A,#N/A,FALSE,"Sheet1 (2)"}</definedName>
    <definedName name="rtqerr_1_3" localSheetId="0" hidden="1">{#N/A,#N/A,FALSE,"Sheet1 (2)"}</definedName>
    <definedName name="rtqerr_1_3" hidden="1">{#N/A,#N/A,FALSE,"Sheet1 (2)"}</definedName>
    <definedName name="rtqerr_2" localSheetId="0" hidden="1">{#N/A,#N/A,FALSE,"Sheet1 (2)"}</definedName>
    <definedName name="rtqerr_2" hidden="1">{#N/A,#N/A,FALSE,"Sheet1 (2)"}</definedName>
    <definedName name="rtqerr_2_1" localSheetId="0" hidden="1">{#N/A,#N/A,FALSE,"Sheet1 (2)"}</definedName>
    <definedName name="rtqerr_2_1" hidden="1">{#N/A,#N/A,FALSE,"Sheet1 (2)"}</definedName>
    <definedName name="rtqerr_2_2" localSheetId="0" hidden="1">{#N/A,#N/A,FALSE,"Sheet1 (2)"}</definedName>
    <definedName name="rtqerr_2_2" hidden="1">{#N/A,#N/A,FALSE,"Sheet1 (2)"}</definedName>
    <definedName name="rtqerr_3" localSheetId="0" hidden="1">{#N/A,#N/A,FALSE,"Sheet1 (2)"}</definedName>
    <definedName name="rtqerr_3" hidden="1">{#N/A,#N/A,FALSE,"Sheet1 (2)"}</definedName>
    <definedName name="rtqerr_4" localSheetId="0" hidden="1">{#N/A,#N/A,FALSE,"Sheet1 (2)"}</definedName>
    <definedName name="rtqerr_4" hidden="1">{#N/A,#N/A,FALSE,"Sheet1 (2)"}</definedName>
    <definedName name="rtrt" localSheetId="0" hidden="1">{#N/A,#N/A,FALSE,"Sheet1 (2)"}</definedName>
    <definedName name="rtrt" hidden="1">{#N/A,#N/A,FALSE,"Sheet1 (2)"}</definedName>
    <definedName name="rtrtey" localSheetId="0" hidden="1">{#N/A,#N/A,FALSE,"Sheet1 (2)"}</definedName>
    <definedName name="rtrtey" hidden="1">{#N/A,#N/A,FALSE,"Sheet1 (2)"}</definedName>
    <definedName name="rtrtey_1" localSheetId="0" hidden="1">{#N/A,#N/A,FALSE,"Sheet1 (2)"}</definedName>
    <definedName name="rtrtey_1" hidden="1">{#N/A,#N/A,FALSE,"Sheet1 (2)"}</definedName>
    <definedName name="rtrtey_1_1" localSheetId="0" hidden="1">{#N/A,#N/A,FALSE,"Sheet1 (2)"}</definedName>
    <definedName name="rtrtey_1_1" hidden="1">{#N/A,#N/A,FALSE,"Sheet1 (2)"}</definedName>
    <definedName name="rtrtey_1_2" localSheetId="0" hidden="1">{#N/A,#N/A,FALSE,"Sheet1 (2)"}</definedName>
    <definedName name="rtrtey_1_2" hidden="1">{#N/A,#N/A,FALSE,"Sheet1 (2)"}</definedName>
    <definedName name="rtrtey_1_3" localSheetId="0" hidden="1">{#N/A,#N/A,FALSE,"Sheet1 (2)"}</definedName>
    <definedName name="rtrtey_1_3" hidden="1">{#N/A,#N/A,FALSE,"Sheet1 (2)"}</definedName>
    <definedName name="rtrtey_2" localSheetId="0" hidden="1">{#N/A,#N/A,FALSE,"Sheet1 (2)"}</definedName>
    <definedName name="rtrtey_2" hidden="1">{#N/A,#N/A,FALSE,"Sheet1 (2)"}</definedName>
    <definedName name="rtrtey_2_1" localSheetId="0" hidden="1">{#N/A,#N/A,FALSE,"Sheet1 (2)"}</definedName>
    <definedName name="rtrtey_2_1" hidden="1">{#N/A,#N/A,FALSE,"Sheet1 (2)"}</definedName>
    <definedName name="rtrtey_2_2" localSheetId="0" hidden="1">{#N/A,#N/A,FALSE,"Sheet1 (2)"}</definedName>
    <definedName name="rtrtey_2_2" hidden="1">{#N/A,#N/A,FALSE,"Sheet1 (2)"}</definedName>
    <definedName name="rtrtey_3" localSheetId="0" hidden="1">{#N/A,#N/A,FALSE,"Sheet1 (2)"}</definedName>
    <definedName name="rtrtey_3" hidden="1">{#N/A,#N/A,FALSE,"Sheet1 (2)"}</definedName>
    <definedName name="rtrtey_4" localSheetId="0" hidden="1">{#N/A,#N/A,FALSE,"Sheet1 (2)"}</definedName>
    <definedName name="rtrtey_4" hidden="1">{#N/A,#N/A,FALSE,"Sheet1 (2)"}</definedName>
    <definedName name="rtsf" localSheetId="0" hidden="1">{#N/A,#N/A,FALSE,"Sheet1 (2)"}</definedName>
    <definedName name="rtsf" hidden="1">{#N/A,#N/A,FALSE,"Sheet1 (2)"}</definedName>
    <definedName name="rtsf_1" localSheetId="0" hidden="1">{#N/A,#N/A,FALSE,"Sheet1 (2)"}</definedName>
    <definedName name="rtsf_1" hidden="1">{#N/A,#N/A,FALSE,"Sheet1 (2)"}</definedName>
    <definedName name="rtsf_1_1" localSheetId="0" hidden="1">{#N/A,#N/A,FALSE,"Sheet1 (2)"}</definedName>
    <definedName name="rtsf_1_1" hidden="1">{#N/A,#N/A,FALSE,"Sheet1 (2)"}</definedName>
    <definedName name="rtsf_1_2" localSheetId="0" hidden="1">{#N/A,#N/A,FALSE,"Sheet1 (2)"}</definedName>
    <definedName name="rtsf_1_2" hidden="1">{#N/A,#N/A,FALSE,"Sheet1 (2)"}</definedName>
    <definedName name="rtsf_1_3" localSheetId="0" hidden="1">{#N/A,#N/A,FALSE,"Sheet1 (2)"}</definedName>
    <definedName name="rtsf_1_3" hidden="1">{#N/A,#N/A,FALSE,"Sheet1 (2)"}</definedName>
    <definedName name="rtsf_2" localSheetId="0" hidden="1">{#N/A,#N/A,FALSE,"Sheet1 (2)"}</definedName>
    <definedName name="rtsf_2" hidden="1">{#N/A,#N/A,FALSE,"Sheet1 (2)"}</definedName>
    <definedName name="rtsf_2_1" localSheetId="0" hidden="1">{#N/A,#N/A,FALSE,"Sheet1 (2)"}</definedName>
    <definedName name="rtsf_2_1" hidden="1">{#N/A,#N/A,FALSE,"Sheet1 (2)"}</definedName>
    <definedName name="rtsf_2_2" localSheetId="0" hidden="1">{#N/A,#N/A,FALSE,"Sheet1 (2)"}</definedName>
    <definedName name="rtsf_2_2" hidden="1">{#N/A,#N/A,FALSE,"Sheet1 (2)"}</definedName>
    <definedName name="rtsf_3" localSheetId="0" hidden="1">{#N/A,#N/A,FALSE,"Sheet1 (2)"}</definedName>
    <definedName name="rtsf_3" hidden="1">{#N/A,#N/A,FALSE,"Sheet1 (2)"}</definedName>
    <definedName name="rtsf_4" localSheetId="0" hidden="1">{#N/A,#N/A,FALSE,"Sheet1 (2)"}</definedName>
    <definedName name="rtsf_4" hidden="1">{#N/A,#N/A,FALSE,"Sheet1 (2)"}</definedName>
    <definedName name="rtthuetjh" localSheetId="0" hidden="1">{#N/A,#N/A,FALSE,"Sheet1 (2)"}</definedName>
    <definedName name="rtthuetjh" hidden="1">{#N/A,#N/A,FALSE,"Sheet1 (2)"}</definedName>
    <definedName name="rtthuetjh_1" localSheetId="0" hidden="1">{#N/A,#N/A,FALSE,"Sheet1 (2)"}</definedName>
    <definedName name="rtthuetjh_1" hidden="1">{#N/A,#N/A,FALSE,"Sheet1 (2)"}</definedName>
    <definedName name="rtthuetjh_1_1" localSheetId="0" hidden="1">{#N/A,#N/A,FALSE,"Sheet1 (2)"}</definedName>
    <definedName name="rtthuetjh_1_1" hidden="1">{#N/A,#N/A,FALSE,"Sheet1 (2)"}</definedName>
    <definedName name="rtthuetjh_1_2" localSheetId="0" hidden="1">{#N/A,#N/A,FALSE,"Sheet1 (2)"}</definedName>
    <definedName name="rtthuetjh_1_2" hidden="1">{#N/A,#N/A,FALSE,"Sheet1 (2)"}</definedName>
    <definedName name="rtthuetjh_1_3" localSheetId="0" hidden="1">{#N/A,#N/A,FALSE,"Sheet1 (2)"}</definedName>
    <definedName name="rtthuetjh_1_3" hidden="1">{#N/A,#N/A,FALSE,"Sheet1 (2)"}</definedName>
    <definedName name="rtthuetjh_2" localSheetId="0" hidden="1">{#N/A,#N/A,FALSE,"Sheet1 (2)"}</definedName>
    <definedName name="rtthuetjh_2" hidden="1">{#N/A,#N/A,FALSE,"Sheet1 (2)"}</definedName>
    <definedName name="rtthuetjh_2_1" localSheetId="0" hidden="1">{#N/A,#N/A,FALSE,"Sheet1 (2)"}</definedName>
    <definedName name="rtthuetjh_2_1" hidden="1">{#N/A,#N/A,FALSE,"Sheet1 (2)"}</definedName>
    <definedName name="rtthuetjh_2_2" localSheetId="0" hidden="1">{#N/A,#N/A,FALSE,"Sheet1 (2)"}</definedName>
    <definedName name="rtthuetjh_2_2" hidden="1">{#N/A,#N/A,FALSE,"Sheet1 (2)"}</definedName>
    <definedName name="rtthuetjh_3" localSheetId="0" hidden="1">{#N/A,#N/A,FALSE,"Sheet1 (2)"}</definedName>
    <definedName name="rtthuetjh_3" hidden="1">{#N/A,#N/A,FALSE,"Sheet1 (2)"}</definedName>
    <definedName name="rtthuetjh_4" localSheetId="0" hidden="1">{#N/A,#N/A,FALSE,"Sheet1 (2)"}</definedName>
    <definedName name="rtthuetjh_4" hidden="1">{#N/A,#N/A,FALSE,"Sheet1 (2)"}</definedName>
    <definedName name="rttrwry" localSheetId="0" hidden="1">{#N/A,#N/A,FALSE,"Sheet1 (2)"}</definedName>
    <definedName name="rttrwry" hidden="1">{#N/A,#N/A,FALSE,"Sheet1 (2)"}</definedName>
    <definedName name="rttrwry_1" localSheetId="0" hidden="1">{#N/A,#N/A,FALSE,"Sheet1 (2)"}</definedName>
    <definedName name="rttrwry_1" hidden="1">{#N/A,#N/A,FALSE,"Sheet1 (2)"}</definedName>
    <definedName name="rttrwry_1_1" localSheetId="0" hidden="1">{#N/A,#N/A,FALSE,"Sheet1 (2)"}</definedName>
    <definedName name="rttrwry_1_1" hidden="1">{#N/A,#N/A,FALSE,"Sheet1 (2)"}</definedName>
    <definedName name="rttrwry_1_2" localSheetId="0" hidden="1">{#N/A,#N/A,FALSE,"Sheet1 (2)"}</definedName>
    <definedName name="rttrwry_1_2" hidden="1">{#N/A,#N/A,FALSE,"Sheet1 (2)"}</definedName>
    <definedName name="rttrwry_1_3" localSheetId="0" hidden="1">{#N/A,#N/A,FALSE,"Sheet1 (2)"}</definedName>
    <definedName name="rttrwry_1_3" hidden="1">{#N/A,#N/A,FALSE,"Sheet1 (2)"}</definedName>
    <definedName name="rttrwry_2" localSheetId="0" hidden="1">{#N/A,#N/A,FALSE,"Sheet1 (2)"}</definedName>
    <definedName name="rttrwry_2" hidden="1">{#N/A,#N/A,FALSE,"Sheet1 (2)"}</definedName>
    <definedName name="rttrwry_2_1" localSheetId="0" hidden="1">{#N/A,#N/A,FALSE,"Sheet1 (2)"}</definedName>
    <definedName name="rttrwry_2_1" hidden="1">{#N/A,#N/A,FALSE,"Sheet1 (2)"}</definedName>
    <definedName name="rttrwry_2_2" localSheetId="0" hidden="1">{#N/A,#N/A,FALSE,"Sheet1 (2)"}</definedName>
    <definedName name="rttrwry_2_2" hidden="1">{#N/A,#N/A,FALSE,"Sheet1 (2)"}</definedName>
    <definedName name="rttrwry_3" localSheetId="0" hidden="1">{#N/A,#N/A,FALSE,"Sheet1 (2)"}</definedName>
    <definedName name="rttrwry_3" hidden="1">{#N/A,#N/A,FALSE,"Sheet1 (2)"}</definedName>
    <definedName name="rttrwry_4" localSheetId="0" hidden="1">{#N/A,#N/A,FALSE,"Sheet1 (2)"}</definedName>
    <definedName name="rttrwry_4" hidden="1">{#N/A,#N/A,FALSE,"Sheet1 (2)"}</definedName>
    <definedName name="rty" localSheetId="0">'Haziran Gerçekleşen Plan'!rty</definedName>
    <definedName name="rty">[0]!rty</definedName>
    <definedName name="rwr" localSheetId="0" hidden="1">{#N/A,#N/A,FALSE,"Sheet1 (2)"}</definedName>
    <definedName name="rwr" hidden="1">{#N/A,#N/A,FALSE,"Sheet1 (2)"}</definedName>
    <definedName name="s">#REF!</definedName>
    <definedName name="s_2">#REF!</definedName>
    <definedName name="s_3">#REF!</definedName>
    <definedName name="s_4">#REF!</definedName>
    <definedName name="s_5">#REF!</definedName>
    <definedName name="s_6">#REF!</definedName>
    <definedName name="s_7">#REF!</definedName>
    <definedName name="SA">#REF!</definedName>
    <definedName name="saa" localSheetId="0" hidden="1">{#N/A,#N/A,FALSE,"Sheet1 (2)"}</definedName>
    <definedName name="saa" hidden="1">{#N/A,#N/A,FALSE,"Sheet1 (2)"}</definedName>
    <definedName name="saa_1" localSheetId="0" hidden="1">{#N/A,#N/A,FALSE,"Sheet1 (2)"}</definedName>
    <definedName name="saa_1" hidden="1">{#N/A,#N/A,FALSE,"Sheet1 (2)"}</definedName>
    <definedName name="saa_1_1" localSheetId="0" hidden="1">{#N/A,#N/A,FALSE,"Sheet1 (2)"}</definedName>
    <definedName name="saa_1_1" hidden="1">{#N/A,#N/A,FALSE,"Sheet1 (2)"}</definedName>
    <definedName name="saa_1_2" localSheetId="0" hidden="1">{#N/A,#N/A,FALSE,"Sheet1 (2)"}</definedName>
    <definedName name="saa_1_2" hidden="1">{#N/A,#N/A,FALSE,"Sheet1 (2)"}</definedName>
    <definedName name="saa_1_3" localSheetId="0" hidden="1">{#N/A,#N/A,FALSE,"Sheet1 (2)"}</definedName>
    <definedName name="saa_1_3" hidden="1">{#N/A,#N/A,FALSE,"Sheet1 (2)"}</definedName>
    <definedName name="saa_2" localSheetId="0" hidden="1">{#N/A,#N/A,FALSE,"Sheet1 (2)"}</definedName>
    <definedName name="saa_2" hidden="1">{#N/A,#N/A,FALSE,"Sheet1 (2)"}</definedName>
    <definedName name="saa_2_1" localSheetId="0" hidden="1">{#N/A,#N/A,FALSE,"Sheet1 (2)"}</definedName>
    <definedName name="saa_2_1" hidden="1">{#N/A,#N/A,FALSE,"Sheet1 (2)"}</definedName>
    <definedName name="saa_2_2" localSheetId="0" hidden="1">{#N/A,#N/A,FALSE,"Sheet1 (2)"}</definedName>
    <definedName name="saa_2_2" hidden="1">{#N/A,#N/A,FALSE,"Sheet1 (2)"}</definedName>
    <definedName name="saa_3" localSheetId="0" hidden="1">{#N/A,#N/A,FALSE,"Sheet1 (2)"}</definedName>
    <definedName name="saa_3" hidden="1">{#N/A,#N/A,FALSE,"Sheet1 (2)"}</definedName>
    <definedName name="saa_4" localSheetId="0" hidden="1">{#N/A,#N/A,FALSE,"Sheet1 (2)"}</definedName>
    <definedName name="saa_4" hidden="1">{#N/A,#N/A,FALSE,"Sheet1 (2)"}</definedName>
    <definedName name="saaaa" localSheetId="0" hidden="1">{#N/A,#N/A,FALSE,"Sheet1 (2)"}</definedName>
    <definedName name="saaaa" hidden="1">{#N/A,#N/A,FALSE,"Sheet1 (2)"}</definedName>
    <definedName name="saaaa_1" localSheetId="0" hidden="1">{#N/A,#N/A,FALSE,"Sheet1 (2)"}</definedName>
    <definedName name="saaaa_1" hidden="1">{#N/A,#N/A,FALSE,"Sheet1 (2)"}</definedName>
    <definedName name="saaaa_1_1" localSheetId="0" hidden="1">{#N/A,#N/A,FALSE,"Sheet1 (2)"}</definedName>
    <definedName name="saaaa_1_1" hidden="1">{#N/A,#N/A,FALSE,"Sheet1 (2)"}</definedName>
    <definedName name="saaaa_1_2" localSheetId="0" hidden="1">{#N/A,#N/A,FALSE,"Sheet1 (2)"}</definedName>
    <definedName name="saaaa_1_2" hidden="1">{#N/A,#N/A,FALSE,"Sheet1 (2)"}</definedName>
    <definedName name="saaaa_1_3" localSheetId="0" hidden="1">{#N/A,#N/A,FALSE,"Sheet1 (2)"}</definedName>
    <definedName name="saaaa_1_3" hidden="1">{#N/A,#N/A,FALSE,"Sheet1 (2)"}</definedName>
    <definedName name="saaaa_2" localSheetId="0" hidden="1">{#N/A,#N/A,FALSE,"Sheet1 (2)"}</definedName>
    <definedName name="saaaa_2" hidden="1">{#N/A,#N/A,FALSE,"Sheet1 (2)"}</definedName>
    <definedName name="saaaa_2_1" localSheetId="0" hidden="1">{#N/A,#N/A,FALSE,"Sheet1 (2)"}</definedName>
    <definedName name="saaaa_2_1" hidden="1">{#N/A,#N/A,FALSE,"Sheet1 (2)"}</definedName>
    <definedName name="saaaa_2_2" localSheetId="0" hidden="1">{#N/A,#N/A,FALSE,"Sheet1 (2)"}</definedName>
    <definedName name="saaaa_2_2" hidden="1">{#N/A,#N/A,FALSE,"Sheet1 (2)"}</definedName>
    <definedName name="saaaa_3" localSheetId="0" hidden="1">{#N/A,#N/A,FALSE,"Sheet1 (2)"}</definedName>
    <definedName name="saaaa_3" hidden="1">{#N/A,#N/A,FALSE,"Sheet1 (2)"}</definedName>
    <definedName name="saaaa_4" localSheetId="0" hidden="1">{#N/A,#N/A,FALSE,"Sheet1 (2)"}</definedName>
    <definedName name="saaaa_4" hidden="1">{#N/A,#N/A,FALSE,"Sheet1 (2)"}</definedName>
    <definedName name="SAAT">#REF!</definedName>
    <definedName name="SAAT_2">#REF!</definedName>
    <definedName name="SAAT_3">#REF!</definedName>
    <definedName name="SAAT_4">#REF!</definedName>
    <definedName name="SAAT_5">#REF!</definedName>
    <definedName name="SAAT_6">#REF!</definedName>
    <definedName name="SAAT_7">#REF!</definedName>
    <definedName name="sabah">#REF!</definedName>
    <definedName name="SAD">#REF!</definedName>
    <definedName name="SADEİNTERNET">#REF!</definedName>
    <definedName name="sadfr" hidden="1">#REF!</definedName>
    <definedName name="sadfsd">#REF!</definedName>
    <definedName name="sadfsfd" hidden="1">#REF!</definedName>
    <definedName name="sadsa" hidden="1">#REF!</definedName>
    <definedName name="SAHİBİNDEN">#REF!</definedName>
    <definedName name="SAKARYA">#REF!</definedName>
    <definedName name="Sales_Email">#REF!</definedName>
    <definedName name="Sales_Name">#REF!</definedName>
    <definedName name="SALUTE">#N/A</definedName>
    <definedName name="SAMSUN">#REF!</definedName>
    <definedName name="ŞANLIURFA">#REF!</definedName>
    <definedName name="SAPBEXdnldView" hidden="1">"4HBBPVBME4KI29H1EKD9891CA"</definedName>
    <definedName name="SAPBEXhrIndnt" hidden="1">1</definedName>
    <definedName name="SAPBEXsysID" hidden="1">"BWP"</definedName>
    <definedName name="satv">[112]SAD!$A$1:$U$31</definedName>
    <definedName name="sav" hidden="1">#REF!</definedName>
    <definedName name="savas" localSheetId="0" hidden="1">{#N/A,#N/A,FALSE,"Sheet1 (2)"}</definedName>
    <definedName name="savas" hidden="1">{#N/A,#N/A,FALSE,"Sheet1 (2)"}</definedName>
    <definedName name="savas_1" localSheetId="0" hidden="1">{#N/A,#N/A,FALSE,"Sheet1 (2)"}</definedName>
    <definedName name="savas_1" hidden="1">{#N/A,#N/A,FALSE,"Sheet1 (2)"}</definedName>
    <definedName name="savas_1_1" localSheetId="0" hidden="1">{#N/A,#N/A,FALSE,"Sheet1 (2)"}</definedName>
    <definedName name="savas_1_1" hidden="1">{#N/A,#N/A,FALSE,"Sheet1 (2)"}</definedName>
    <definedName name="savas_1_2" localSheetId="0" hidden="1">{#N/A,#N/A,FALSE,"Sheet1 (2)"}</definedName>
    <definedName name="savas_1_2" hidden="1">{#N/A,#N/A,FALSE,"Sheet1 (2)"}</definedName>
    <definedName name="savas_1_3" localSheetId="0" hidden="1">{#N/A,#N/A,FALSE,"Sheet1 (2)"}</definedName>
    <definedName name="savas_1_3" hidden="1">{#N/A,#N/A,FALSE,"Sheet1 (2)"}</definedName>
    <definedName name="savas_2" localSheetId="0" hidden="1">{#N/A,#N/A,FALSE,"Sheet1 (2)"}</definedName>
    <definedName name="savas_2" hidden="1">{#N/A,#N/A,FALSE,"Sheet1 (2)"}</definedName>
    <definedName name="savas_2_1" localSheetId="0" hidden="1">{#N/A,#N/A,FALSE,"Sheet1 (2)"}</definedName>
    <definedName name="savas_2_1" hidden="1">{#N/A,#N/A,FALSE,"Sheet1 (2)"}</definedName>
    <definedName name="savas_2_2" localSheetId="0" hidden="1">{#N/A,#N/A,FALSE,"Sheet1 (2)"}</definedName>
    <definedName name="savas_2_2" hidden="1">{#N/A,#N/A,FALSE,"Sheet1 (2)"}</definedName>
    <definedName name="savas_3" localSheetId="0" hidden="1">{#N/A,#N/A,FALSE,"Sheet1 (2)"}</definedName>
    <definedName name="savas_3" hidden="1">{#N/A,#N/A,FALSE,"Sheet1 (2)"}</definedName>
    <definedName name="savas_4" localSheetId="0" hidden="1">{#N/A,#N/A,FALSE,"Sheet1 (2)"}</definedName>
    <definedName name="savas_4" hidden="1">{#N/A,#N/A,FALSE,"Sheet1 (2)"}</definedName>
    <definedName name="Sayfa_Sayilari_M">#REF!</definedName>
    <definedName name="SB" localSheetId="0">'Haziran Gerçekleşen Plan'!SB</definedName>
    <definedName name="SB">[0]!SB</definedName>
    <definedName name="Scale">#REF!</definedName>
    <definedName name="Scales">#REF!</definedName>
    <definedName name="SCORP">#REF!</definedName>
    <definedName name="SCVDANIŞMANLIK">#REF!</definedName>
    <definedName name="sd" hidden="1">#REF!</definedName>
    <definedName name="sda" localSheetId="0" hidden="1">{#N/A,#N/A,FALSE,"Sheet1 (2)"}</definedName>
    <definedName name="sda" hidden="1">{#N/A,#N/A,FALSE,"Sheet1 (2)"}</definedName>
    <definedName name="sda_1" localSheetId="0" hidden="1">{#N/A,#N/A,FALSE,"Sheet1 (2)"}</definedName>
    <definedName name="sda_1" hidden="1">{#N/A,#N/A,FALSE,"Sheet1 (2)"}</definedName>
    <definedName name="sdafagfghdfjdgjdghj" localSheetId="0" hidden="1">{"'Jan - March 2000'!$A$5:$J$46"}</definedName>
    <definedName name="sdafagfghdfjdgjdghj" hidden="1">{"'Jan - March 2000'!$A$5:$J$46"}</definedName>
    <definedName name="sdasdadsda">#REF!</definedName>
    <definedName name="sdd">#REF!</definedName>
    <definedName name="sdf">#REF!</definedName>
    <definedName name="SDFASDF" localSheetId="0" hidden="1">{#N/A,#N/A,FALSE,"Sheet1 (2)"}</definedName>
    <definedName name="SDFASDF" hidden="1">{#N/A,#N/A,FALSE,"Sheet1 (2)"}</definedName>
    <definedName name="SDFASDF_1" localSheetId="0" hidden="1">{#N/A,#N/A,FALSE,"Sheet1 (2)"}</definedName>
    <definedName name="SDFASDF_1" hidden="1">{#N/A,#N/A,FALSE,"Sheet1 (2)"}</definedName>
    <definedName name="SDFASDF_1_1" localSheetId="0" hidden="1">{#N/A,#N/A,FALSE,"Sheet1 (2)"}</definedName>
    <definedName name="SDFASDF_1_1" hidden="1">{#N/A,#N/A,FALSE,"Sheet1 (2)"}</definedName>
    <definedName name="SDFASDF_1_2" localSheetId="0" hidden="1">{#N/A,#N/A,FALSE,"Sheet1 (2)"}</definedName>
    <definedName name="SDFASDF_1_2" hidden="1">{#N/A,#N/A,FALSE,"Sheet1 (2)"}</definedName>
    <definedName name="SDFASDF_1_3" localSheetId="0" hidden="1">{#N/A,#N/A,FALSE,"Sheet1 (2)"}</definedName>
    <definedName name="SDFASDF_1_3" hidden="1">{#N/A,#N/A,FALSE,"Sheet1 (2)"}</definedName>
    <definedName name="SDFASDF_2" localSheetId="0" hidden="1">{#N/A,#N/A,FALSE,"Sheet1 (2)"}</definedName>
    <definedName name="SDFASDF_2" hidden="1">{#N/A,#N/A,FALSE,"Sheet1 (2)"}</definedName>
    <definedName name="SDFASDF_2_1" localSheetId="0" hidden="1">{#N/A,#N/A,FALSE,"Sheet1 (2)"}</definedName>
    <definedName name="SDFASDF_2_1" hidden="1">{#N/A,#N/A,FALSE,"Sheet1 (2)"}</definedName>
    <definedName name="SDFASDF_2_2" localSheetId="0" hidden="1">{#N/A,#N/A,FALSE,"Sheet1 (2)"}</definedName>
    <definedName name="SDFASDF_2_2" hidden="1">{#N/A,#N/A,FALSE,"Sheet1 (2)"}</definedName>
    <definedName name="SDFASDF_3" localSheetId="0" hidden="1">{#N/A,#N/A,FALSE,"Sheet1 (2)"}</definedName>
    <definedName name="SDFASDF_3" hidden="1">{#N/A,#N/A,FALSE,"Sheet1 (2)"}</definedName>
    <definedName name="SDFASDF_4" localSheetId="0" hidden="1">{#N/A,#N/A,FALSE,"Sheet1 (2)"}</definedName>
    <definedName name="SDFASDF_4" hidden="1">{#N/A,#N/A,FALSE,"Sheet1 (2)"}</definedName>
    <definedName name="SDFASDFADSF">#REF!</definedName>
    <definedName name="sdfasdfsdfDFAS">#REF!</definedName>
    <definedName name="SDFdfsd" localSheetId="0" hidden="1">{"'Jan - March 2000'!$A$5:$J$46"}</definedName>
    <definedName name="SDFdfsd" hidden="1">{"'Jan - March 2000'!$A$5:$J$46"}</definedName>
    <definedName name="sdfe" localSheetId="0" hidden="1">{#N/A,#N/A,FALSE,"Sheet1 (2)"}</definedName>
    <definedName name="sdfe" hidden="1">{#N/A,#N/A,FALSE,"Sheet1 (2)"}</definedName>
    <definedName name="sdfe_1" localSheetId="0" hidden="1">{#N/A,#N/A,FALSE,"Sheet1 (2)"}</definedName>
    <definedName name="sdfe_1" hidden="1">{#N/A,#N/A,FALSE,"Sheet1 (2)"}</definedName>
    <definedName name="sdfe_1_1" localSheetId="0" hidden="1">{#N/A,#N/A,FALSE,"Sheet1 (2)"}</definedName>
    <definedName name="sdfe_1_1" hidden="1">{#N/A,#N/A,FALSE,"Sheet1 (2)"}</definedName>
    <definedName name="sdfe_1_2" localSheetId="0" hidden="1">{#N/A,#N/A,FALSE,"Sheet1 (2)"}</definedName>
    <definedName name="sdfe_1_2" hidden="1">{#N/A,#N/A,FALSE,"Sheet1 (2)"}</definedName>
    <definedName name="sdfe_1_3" localSheetId="0" hidden="1">{#N/A,#N/A,FALSE,"Sheet1 (2)"}</definedName>
    <definedName name="sdfe_1_3" hidden="1">{#N/A,#N/A,FALSE,"Sheet1 (2)"}</definedName>
    <definedName name="sdfe_2" localSheetId="0" hidden="1">{#N/A,#N/A,FALSE,"Sheet1 (2)"}</definedName>
    <definedName name="sdfe_2" hidden="1">{#N/A,#N/A,FALSE,"Sheet1 (2)"}</definedName>
    <definedName name="sdfe_2_1" localSheetId="0" hidden="1">{#N/A,#N/A,FALSE,"Sheet1 (2)"}</definedName>
    <definedName name="sdfe_2_1" hidden="1">{#N/A,#N/A,FALSE,"Sheet1 (2)"}</definedName>
    <definedName name="sdfe_2_2" localSheetId="0" hidden="1">{#N/A,#N/A,FALSE,"Sheet1 (2)"}</definedName>
    <definedName name="sdfe_2_2" hidden="1">{#N/A,#N/A,FALSE,"Sheet1 (2)"}</definedName>
    <definedName name="sdfe_3" localSheetId="0" hidden="1">{#N/A,#N/A,FALSE,"Sheet1 (2)"}</definedName>
    <definedName name="sdfe_3" hidden="1">{#N/A,#N/A,FALSE,"Sheet1 (2)"}</definedName>
    <definedName name="sdfe_4" localSheetId="0" hidden="1">{#N/A,#N/A,FALSE,"Sheet1 (2)"}</definedName>
    <definedName name="sdfe_4" hidden="1">{#N/A,#N/A,FALSE,"Sheet1 (2)"}</definedName>
    <definedName name="sdfesrfesrfwe" localSheetId="0" hidden="1">{#N/A,#N/A,FALSE,"Sheet1 (2)"}</definedName>
    <definedName name="sdfesrfesrfwe" hidden="1">{#N/A,#N/A,FALSE,"Sheet1 (2)"}</definedName>
    <definedName name="sdfg" localSheetId="0">{"VOLUME","SUM(VOLUME)","YNNNN",FALSE}</definedName>
    <definedName name="sdfg">{"VOLUME","SUM(VOLUME)","YNNNN",FALSE}</definedName>
    <definedName name="sdfgg" localSheetId="0" hidden="1">{#N/A,#N/A,FALSE,"Sheet1 (2)"}</definedName>
    <definedName name="sdfgg" hidden="1">{#N/A,#N/A,FALSE,"Sheet1 (2)"}</definedName>
    <definedName name="sdfgg_1" localSheetId="0" hidden="1">{#N/A,#N/A,FALSE,"Sheet1 (2)"}</definedName>
    <definedName name="sdfgg_1" hidden="1">{#N/A,#N/A,FALSE,"Sheet1 (2)"}</definedName>
    <definedName name="sdfghjk">#REF!</definedName>
    <definedName name="sdfgsdfg" localSheetId="0">{"BRAND",0,"Auto","Auto","";"CTY",0,"Auto","Auto",""}</definedName>
    <definedName name="sdfgsdfg">{"BRAND",0,"Auto","Auto","";"CTY",0,"Auto","Auto",""}</definedName>
    <definedName name="sdfgsdfgs" localSheetId="0">{"VOLUME","SUM(VOLUME)","YNNNN",FALSE}</definedName>
    <definedName name="sdfgsdfgs">{"VOLUME","SUM(VOLUME)","YNNNN",FALSE}</definedName>
    <definedName name="SDFRWEFT" localSheetId="0" hidden="1">{#N/A,#N/A,FALSE,"Sheet1 (2)"}</definedName>
    <definedName name="SDFRWEFT" hidden="1">{#N/A,#N/A,FALSE,"Sheet1 (2)"}</definedName>
    <definedName name="SDFRWEFT_1" localSheetId="0" hidden="1">{#N/A,#N/A,FALSE,"Sheet1 (2)"}</definedName>
    <definedName name="SDFRWEFT_1" hidden="1">{#N/A,#N/A,FALSE,"Sheet1 (2)"}</definedName>
    <definedName name="SDFRWEFT_1_1" localSheetId="0" hidden="1">{#N/A,#N/A,FALSE,"Sheet1 (2)"}</definedName>
    <definedName name="SDFRWEFT_1_1" hidden="1">{#N/A,#N/A,FALSE,"Sheet1 (2)"}</definedName>
    <definedName name="SDFRWEFT_1_2" localSheetId="0" hidden="1">{#N/A,#N/A,FALSE,"Sheet1 (2)"}</definedName>
    <definedName name="SDFRWEFT_1_2" hidden="1">{#N/A,#N/A,FALSE,"Sheet1 (2)"}</definedName>
    <definedName name="SDFRWEFT_1_3" localSheetId="0" hidden="1">{#N/A,#N/A,FALSE,"Sheet1 (2)"}</definedName>
    <definedName name="SDFRWEFT_1_3" hidden="1">{#N/A,#N/A,FALSE,"Sheet1 (2)"}</definedName>
    <definedName name="SDFRWEFT_2" localSheetId="0" hidden="1">{#N/A,#N/A,FALSE,"Sheet1 (2)"}</definedName>
    <definedName name="SDFRWEFT_2" hidden="1">{#N/A,#N/A,FALSE,"Sheet1 (2)"}</definedName>
    <definedName name="SDFRWEFT_2_1" localSheetId="0" hidden="1">{#N/A,#N/A,FALSE,"Sheet1 (2)"}</definedName>
    <definedName name="SDFRWEFT_2_1" hidden="1">{#N/A,#N/A,FALSE,"Sheet1 (2)"}</definedName>
    <definedName name="SDFRWEFT_2_2" localSheetId="0" hidden="1">{#N/A,#N/A,FALSE,"Sheet1 (2)"}</definedName>
    <definedName name="SDFRWEFT_2_2" hidden="1">{#N/A,#N/A,FALSE,"Sheet1 (2)"}</definedName>
    <definedName name="SDFRWEFT_3" localSheetId="0" hidden="1">{#N/A,#N/A,FALSE,"Sheet1 (2)"}</definedName>
    <definedName name="SDFRWEFT_3" hidden="1">{#N/A,#N/A,FALSE,"Sheet1 (2)"}</definedName>
    <definedName name="SDFRWEFT_4" localSheetId="0" hidden="1">{#N/A,#N/A,FALSE,"Sheet1 (2)"}</definedName>
    <definedName name="SDFRWEFT_4" hidden="1">{#N/A,#N/A,FALSE,"Sheet1 (2)"}</definedName>
    <definedName name="sdfs">#REF!</definedName>
    <definedName name="sdfsd" localSheetId="0" hidden="1">{#N/A,#N/A,FALSE,"Sheet1 (2)"}</definedName>
    <definedName name="sdfsd" hidden="1">{#N/A,#N/A,FALSE,"Sheet1 (2)"}</definedName>
    <definedName name="sdfsd_1" localSheetId="0" hidden="1">{#N/A,#N/A,FALSE,"Sheet1 (2)"}</definedName>
    <definedName name="sdfsd_1" hidden="1">{#N/A,#N/A,FALSE,"Sheet1 (2)"}</definedName>
    <definedName name="sdfsd_1_1" localSheetId="0" hidden="1">{#N/A,#N/A,FALSE,"Sheet1 (2)"}</definedName>
    <definedName name="sdfsd_1_1" hidden="1">{#N/A,#N/A,FALSE,"Sheet1 (2)"}</definedName>
    <definedName name="sdfsd_1_2" localSheetId="0" hidden="1">{#N/A,#N/A,FALSE,"Sheet1 (2)"}</definedName>
    <definedName name="sdfsd_1_2" hidden="1">{#N/A,#N/A,FALSE,"Sheet1 (2)"}</definedName>
    <definedName name="sdfsd_1_3" localSheetId="0" hidden="1">{#N/A,#N/A,FALSE,"Sheet1 (2)"}</definedName>
    <definedName name="sdfsd_1_3" hidden="1">{#N/A,#N/A,FALSE,"Sheet1 (2)"}</definedName>
    <definedName name="sdfsd_2" localSheetId="0" hidden="1">{#N/A,#N/A,FALSE,"Sheet1 (2)"}</definedName>
    <definedName name="sdfsd_2" hidden="1">{#N/A,#N/A,FALSE,"Sheet1 (2)"}</definedName>
    <definedName name="sdfsd_2_1" localSheetId="0" hidden="1">{#N/A,#N/A,FALSE,"Sheet1 (2)"}</definedName>
    <definedName name="sdfsd_2_1" hidden="1">{#N/A,#N/A,FALSE,"Sheet1 (2)"}</definedName>
    <definedName name="sdfsd_2_2" localSheetId="0" hidden="1">{#N/A,#N/A,FALSE,"Sheet1 (2)"}</definedName>
    <definedName name="sdfsd_2_2" hidden="1">{#N/A,#N/A,FALSE,"Sheet1 (2)"}</definedName>
    <definedName name="sdfsd_3" localSheetId="0" hidden="1">{#N/A,#N/A,FALSE,"Sheet1 (2)"}</definedName>
    <definedName name="sdfsd_3" hidden="1">{#N/A,#N/A,FALSE,"Sheet1 (2)"}</definedName>
    <definedName name="sdfsd_4" localSheetId="0" hidden="1">{#N/A,#N/A,FALSE,"Sheet1 (2)"}</definedName>
    <definedName name="sdfsd_4" hidden="1">{#N/A,#N/A,FALSE,"Sheet1 (2)"}</definedName>
    <definedName name="sdfsdf" localSheetId="0" hidden="1">{#N/A,#N/A,FALSE,"Sheet1 (2)"}</definedName>
    <definedName name="sdfsdf" hidden="1">{#N/A,#N/A,FALSE,"Sheet1 (2)"}</definedName>
    <definedName name="sdfsdg" localSheetId="0" hidden="1">{"'Jan - March 2000'!$A$5:$J$46"}</definedName>
    <definedName name="sdfsdg" hidden="1">{"'Jan - March 2000'!$A$5:$J$46"}</definedName>
    <definedName name="Sdfsfadgdrg" localSheetId="0" hidden="1">{"'Jan - March 2000'!$A$5:$J$46"}</definedName>
    <definedName name="Sdfsfadgdrg" hidden="1">{"'Jan - March 2000'!$A$5:$J$46"}</definedName>
    <definedName name="sdgasd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dgas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dgs" localSheetId="0" hidden="1">{"'Jan - March 2000'!$A$5:$J$46"}</definedName>
    <definedName name="sdgs" hidden="1">{"'Jan - March 2000'!$A$5:$J$46"}</definedName>
    <definedName name="sdgsdg">#REF!</definedName>
    <definedName name="sdgsegfasdf" localSheetId="0" hidden="1">{#N/A,#N/A,FALSE,"Sheet1 (2)"}</definedName>
    <definedName name="sdgsegfasdf" hidden="1">{#N/A,#N/A,FALSE,"Sheet1 (2)"}</definedName>
    <definedName name="sdgsegfasdf_1" localSheetId="0" hidden="1">{#N/A,#N/A,FALSE,"Sheet1 (2)"}</definedName>
    <definedName name="sdgsegfasdf_1" hidden="1">{#N/A,#N/A,FALSE,"Sheet1 (2)"}</definedName>
    <definedName name="sdgsegfasdf_1_1" localSheetId="0" hidden="1">{#N/A,#N/A,FALSE,"Sheet1 (2)"}</definedName>
    <definedName name="sdgsegfasdf_1_1" hidden="1">{#N/A,#N/A,FALSE,"Sheet1 (2)"}</definedName>
    <definedName name="sdgsegfasdf_1_2" localSheetId="0" hidden="1">{#N/A,#N/A,FALSE,"Sheet1 (2)"}</definedName>
    <definedName name="sdgsegfasdf_1_2" hidden="1">{#N/A,#N/A,FALSE,"Sheet1 (2)"}</definedName>
    <definedName name="sdgsegfasdf_1_3" localSheetId="0" hidden="1">{#N/A,#N/A,FALSE,"Sheet1 (2)"}</definedName>
    <definedName name="sdgsegfasdf_1_3" hidden="1">{#N/A,#N/A,FALSE,"Sheet1 (2)"}</definedName>
    <definedName name="sdgsegfasdf_2" localSheetId="0" hidden="1">{#N/A,#N/A,FALSE,"Sheet1 (2)"}</definedName>
    <definedName name="sdgsegfasdf_2" hidden="1">{#N/A,#N/A,FALSE,"Sheet1 (2)"}</definedName>
    <definedName name="sdgsegfasdf_2_1" localSheetId="0" hidden="1">{#N/A,#N/A,FALSE,"Sheet1 (2)"}</definedName>
    <definedName name="sdgsegfasdf_2_1" hidden="1">{#N/A,#N/A,FALSE,"Sheet1 (2)"}</definedName>
    <definedName name="sdgsegfasdf_2_2" localSheetId="0" hidden="1">{#N/A,#N/A,FALSE,"Sheet1 (2)"}</definedName>
    <definedName name="sdgsegfasdf_2_2" hidden="1">{#N/A,#N/A,FALSE,"Sheet1 (2)"}</definedName>
    <definedName name="sdgsegfasdf_3" localSheetId="0" hidden="1">{#N/A,#N/A,FALSE,"Sheet1 (2)"}</definedName>
    <definedName name="sdgsegfasdf_3" hidden="1">{#N/A,#N/A,FALSE,"Sheet1 (2)"}</definedName>
    <definedName name="sdgsegfasdf_4" localSheetId="0" hidden="1">{#N/A,#N/A,FALSE,"Sheet1 (2)"}</definedName>
    <definedName name="sdgsegfasdf_4" hidden="1">{#N/A,#N/A,FALSE,"Sheet1 (2)"}</definedName>
    <definedName name="sdgsg" localSheetId="0" hidden="1">{"'Jan - March 2000'!$A$5:$J$46"}</definedName>
    <definedName name="sdgsg" hidden="1">{"'Jan - March 2000'!$A$5:$J$46"}</definedName>
    <definedName name="SDH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DH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djgafsdgdajkfhldjkhagjldfhg" localSheetId="0" hidden="1">{"'Jan - March 2000'!$A$5:$J$46"}</definedName>
    <definedName name="sdjgafsdgdajkfhldjkhagjldfhg" hidden="1">{"'Jan - March 2000'!$A$5:$J$46"}</definedName>
    <definedName name="sds">#REF!</definedName>
    <definedName name="sdsdf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ds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DsdQÜFJP">#REF!</definedName>
    <definedName name="SE">#REF!</definedName>
    <definedName name="search">'[39]ED Upper Funnel'!#REF!</definedName>
    <definedName name="second">#REF!</definedName>
    <definedName name="section">#REF!</definedName>
    <definedName name="sefsfssg" localSheetId="0">'Haziran Gerçekleşen Plan'!sefsfssg</definedName>
    <definedName name="sefsfssg">[0]!sefsfssg</definedName>
    <definedName name="sei">#REF!</definedName>
    <definedName name="SELECTED">#REF!</definedName>
    <definedName name="SELECTED_2">#REF!</definedName>
    <definedName name="SELECTED_3">#REF!</definedName>
    <definedName name="SELECTED_4">#REF!</definedName>
    <definedName name="SELECTED_5">#REF!</definedName>
    <definedName name="SELECTED_6">#REF!</definedName>
    <definedName name="SELECTED_7">#REF!</definedName>
    <definedName name="SelectedDateFormat">[21]Hidden_Data!$AA$31</definedName>
    <definedName name="SEM">#REF!</definedName>
    <definedName name="SentDate">[21]Hidden_Data!$AA$33</definedName>
    <definedName name="Sequence">#REF!</definedName>
    <definedName name="ser" localSheetId="0" hidden="1">{#N/A,#N/A,FALSE,"Sheet1 (2)"}</definedName>
    <definedName name="ser" hidden="1">{#N/A,#N/A,FALSE,"Sheet1 (2)"}</definedName>
    <definedName name="ser_1" localSheetId="0" hidden="1">{#N/A,#N/A,FALSE,"Sheet1 (2)"}</definedName>
    <definedName name="ser_1" hidden="1">{#N/A,#N/A,FALSE,"Sheet1 (2)"}</definedName>
    <definedName name="ser_1_1" localSheetId="0" hidden="1">{#N/A,#N/A,FALSE,"Sheet1 (2)"}</definedName>
    <definedName name="ser_1_1" hidden="1">{#N/A,#N/A,FALSE,"Sheet1 (2)"}</definedName>
    <definedName name="ser_1_2" localSheetId="0" hidden="1">{#N/A,#N/A,FALSE,"Sheet1 (2)"}</definedName>
    <definedName name="ser_1_2" hidden="1">{#N/A,#N/A,FALSE,"Sheet1 (2)"}</definedName>
    <definedName name="ser_1_3" localSheetId="0" hidden="1">{#N/A,#N/A,FALSE,"Sheet1 (2)"}</definedName>
    <definedName name="ser_1_3" hidden="1">{#N/A,#N/A,FALSE,"Sheet1 (2)"}</definedName>
    <definedName name="ser_2" localSheetId="0" hidden="1">{#N/A,#N/A,FALSE,"Sheet1 (2)"}</definedName>
    <definedName name="ser_2" hidden="1">{#N/A,#N/A,FALSE,"Sheet1 (2)"}</definedName>
    <definedName name="ser_2_1" localSheetId="0" hidden="1">{#N/A,#N/A,FALSE,"Sheet1 (2)"}</definedName>
    <definedName name="ser_2_1" hidden="1">{#N/A,#N/A,FALSE,"Sheet1 (2)"}</definedName>
    <definedName name="ser_2_2" localSheetId="0" hidden="1">{#N/A,#N/A,FALSE,"Sheet1 (2)"}</definedName>
    <definedName name="ser_2_2" hidden="1">{#N/A,#N/A,FALSE,"Sheet1 (2)"}</definedName>
    <definedName name="ser_3" localSheetId="0" hidden="1">{#N/A,#N/A,FALSE,"Sheet1 (2)"}</definedName>
    <definedName name="ser_3" hidden="1">{#N/A,#N/A,FALSE,"Sheet1 (2)"}</definedName>
    <definedName name="ser_4" localSheetId="0" hidden="1">{#N/A,#N/A,FALSE,"Sheet1 (2)"}</definedName>
    <definedName name="ser_4" hidden="1">{#N/A,#N/A,FALSE,"Sheet1 (2)"}</definedName>
    <definedName name="sercan" localSheetId="0" hidden="1">{#N/A,#N/A,FALSE,"Sheet1 (2)"}</definedName>
    <definedName name="sercan" hidden="1">{#N/A,#N/A,FALSE,"Sheet1 (2)"}</definedName>
    <definedName name="Serving_Code">#REF!</definedName>
    <definedName name="SES" localSheetId="0" hidden="1">{#N/A,#N/A,FALSE,"Sheet1 (2)"}</definedName>
    <definedName name="SES" hidden="1">{#N/A,#N/A,FALSE,"Sheet1 (2)"}</definedName>
    <definedName name="SES_1" localSheetId="0" hidden="1">{#N/A,#N/A,FALSE,"Sheet1 (2)"}</definedName>
    <definedName name="SES_1" hidden="1">{#N/A,#N/A,FALSE,"Sheet1 (2)"}</definedName>
    <definedName name="SES_1_1" localSheetId="0" hidden="1">{#N/A,#N/A,FALSE,"Sheet1 (2)"}</definedName>
    <definedName name="SES_1_1" hidden="1">{#N/A,#N/A,FALSE,"Sheet1 (2)"}</definedName>
    <definedName name="SES_1_2" localSheetId="0" hidden="1">{#N/A,#N/A,FALSE,"Sheet1 (2)"}</definedName>
    <definedName name="SES_1_2" hidden="1">{#N/A,#N/A,FALSE,"Sheet1 (2)"}</definedName>
    <definedName name="SES_1_3" localSheetId="0" hidden="1">{#N/A,#N/A,FALSE,"Sheet1 (2)"}</definedName>
    <definedName name="SES_1_3" hidden="1">{#N/A,#N/A,FALSE,"Sheet1 (2)"}</definedName>
    <definedName name="SES_2" localSheetId="0" hidden="1">{#N/A,#N/A,FALSE,"Sheet1 (2)"}</definedName>
    <definedName name="SES_2" hidden="1">{#N/A,#N/A,FALSE,"Sheet1 (2)"}</definedName>
    <definedName name="SES_2_1" localSheetId="0" hidden="1">{#N/A,#N/A,FALSE,"Sheet1 (2)"}</definedName>
    <definedName name="SES_2_1" hidden="1">{#N/A,#N/A,FALSE,"Sheet1 (2)"}</definedName>
    <definedName name="SES_2_2" localSheetId="0" hidden="1">{#N/A,#N/A,FALSE,"Sheet1 (2)"}</definedName>
    <definedName name="SES_2_2" hidden="1">{#N/A,#N/A,FALSE,"Sheet1 (2)"}</definedName>
    <definedName name="SES_3" localSheetId="0" hidden="1">{#N/A,#N/A,FALSE,"Sheet1 (2)"}</definedName>
    <definedName name="SES_3" hidden="1">{#N/A,#N/A,FALSE,"Sheet1 (2)"}</definedName>
    <definedName name="SES_4" localSheetId="0" hidden="1">{#N/A,#N/A,FALSE,"Sheet1 (2)"}</definedName>
    <definedName name="SES_4" hidden="1">{#N/A,#N/A,FALSE,"Sheet1 (2)"}</definedName>
    <definedName name="SETT">#REF!</definedName>
    <definedName name="sette">#REF!</definedName>
    <definedName name="SETTM">#REF!</definedName>
    <definedName name="seviye">#REF!</definedName>
    <definedName name="Seyehat">[121]Ekim!#REF!</definedName>
    <definedName name="sfd" localSheetId="0" hidden="1">{#N/A,#N/A,FALSE,"Sheet1 (2)"}</definedName>
    <definedName name="sfd" hidden="1">{#N/A,#N/A,FALSE,"Sheet1 (2)"}</definedName>
    <definedName name="sfd_1" localSheetId="0" hidden="1">{#N/A,#N/A,FALSE,"Sheet1 (2)"}</definedName>
    <definedName name="sfd_1" hidden="1">{#N/A,#N/A,FALSE,"Sheet1 (2)"}</definedName>
    <definedName name="sfd_1_1" localSheetId="0" hidden="1">{#N/A,#N/A,FALSE,"Sheet1 (2)"}</definedName>
    <definedName name="sfd_1_1" hidden="1">{#N/A,#N/A,FALSE,"Sheet1 (2)"}</definedName>
    <definedName name="sfd_1_2" localSheetId="0" hidden="1">{#N/A,#N/A,FALSE,"Sheet1 (2)"}</definedName>
    <definedName name="sfd_1_2" hidden="1">{#N/A,#N/A,FALSE,"Sheet1 (2)"}</definedName>
    <definedName name="sfd_1_3" localSheetId="0" hidden="1">{#N/A,#N/A,FALSE,"Sheet1 (2)"}</definedName>
    <definedName name="sfd_1_3" hidden="1">{#N/A,#N/A,FALSE,"Sheet1 (2)"}</definedName>
    <definedName name="sfd_2" localSheetId="0" hidden="1">{#N/A,#N/A,FALSE,"Sheet1 (2)"}</definedName>
    <definedName name="sfd_2" hidden="1">{#N/A,#N/A,FALSE,"Sheet1 (2)"}</definedName>
    <definedName name="sfd_2_1" localSheetId="0" hidden="1">{#N/A,#N/A,FALSE,"Sheet1 (2)"}</definedName>
    <definedName name="sfd_2_1" hidden="1">{#N/A,#N/A,FALSE,"Sheet1 (2)"}</definedName>
    <definedName name="sfd_2_2" localSheetId="0" hidden="1">{#N/A,#N/A,FALSE,"Sheet1 (2)"}</definedName>
    <definedName name="sfd_2_2" hidden="1">{#N/A,#N/A,FALSE,"Sheet1 (2)"}</definedName>
    <definedName name="sfd_3" localSheetId="0" hidden="1">{#N/A,#N/A,FALSE,"Sheet1 (2)"}</definedName>
    <definedName name="sfd_3" hidden="1">{#N/A,#N/A,FALSE,"Sheet1 (2)"}</definedName>
    <definedName name="sfd_4" localSheetId="0" hidden="1">{#N/A,#N/A,FALSE,"Sheet1 (2)"}</definedName>
    <definedName name="sfd_4" hidden="1">{#N/A,#N/A,FALSE,"Sheet1 (2)"}</definedName>
    <definedName name="sfds" localSheetId="0" hidden="1">{#N/A,#N/A,FALSE,"Sheet1 (2)"}</definedName>
    <definedName name="sfds" hidden="1">{#N/A,#N/A,FALSE,"Sheet1 (2)"}</definedName>
    <definedName name="sfds_1" localSheetId="0" hidden="1">{#N/A,#N/A,FALSE,"Sheet1 (2)"}</definedName>
    <definedName name="sfds_1" hidden="1">{#N/A,#N/A,FALSE,"Sheet1 (2)"}</definedName>
    <definedName name="sfds_1_1" localSheetId="0" hidden="1">{#N/A,#N/A,FALSE,"Sheet1 (2)"}</definedName>
    <definedName name="sfds_1_1" hidden="1">{#N/A,#N/A,FALSE,"Sheet1 (2)"}</definedName>
    <definedName name="sfds_1_2" localSheetId="0" hidden="1">{#N/A,#N/A,FALSE,"Sheet1 (2)"}</definedName>
    <definedName name="sfds_1_2" hidden="1">{#N/A,#N/A,FALSE,"Sheet1 (2)"}</definedName>
    <definedName name="sfds_1_3" localSheetId="0" hidden="1">{#N/A,#N/A,FALSE,"Sheet1 (2)"}</definedName>
    <definedName name="sfds_1_3" hidden="1">{#N/A,#N/A,FALSE,"Sheet1 (2)"}</definedName>
    <definedName name="sfds_2" localSheetId="0" hidden="1">{#N/A,#N/A,FALSE,"Sheet1 (2)"}</definedName>
    <definedName name="sfds_2" hidden="1">{#N/A,#N/A,FALSE,"Sheet1 (2)"}</definedName>
    <definedName name="sfds_2_1" localSheetId="0" hidden="1">{#N/A,#N/A,FALSE,"Sheet1 (2)"}</definedName>
    <definedName name="sfds_2_1" hidden="1">{#N/A,#N/A,FALSE,"Sheet1 (2)"}</definedName>
    <definedName name="sfds_2_2" localSheetId="0" hidden="1">{#N/A,#N/A,FALSE,"Sheet1 (2)"}</definedName>
    <definedName name="sfds_2_2" hidden="1">{#N/A,#N/A,FALSE,"Sheet1 (2)"}</definedName>
    <definedName name="sfds_3" localSheetId="0" hidden="1">{#N/A,#N/A,FALSE,"Sheet1 (2)"}</definedName>
    <definedName name="sfds_3" hidden="1">{#N/A,#N/A,FALSE,"Sheet1 (2)"}</definedName>
    <definedName name="sfds_4" localSheetId="0" hidden="1">{#N/A,#N/A,FALSE,"Sheet1 (2)"}</definedName>
    <definedName name="sfds_4" hidden="1">{#N/A,#N/A,FALSE,"Sheet1 (2)"}</definedName>
    <definedName name="sfgdfgsfg">#REF!</definedName>
    <definedName name="sfs" localSheetId="0" hidden="1">{#N/A,#N/A,FALSE,"Sheet1 (2)"}</definedName>
    <definedName name="sfs" hidden="1">{#N/A,#N/A,FALSE,"Sheet1 (2)"}</definedName>
    <definedName name="sfssaaaa" localSheetId="0" hidden="1">{"'Jan - March 2000'!$A$5:$J$46"}</definedName>
    <definedName name="sfssaaaa" hidden="1">{"'Jan - March 2000'!$A$5:$J$46"}</definedName>
    <definedName name="sggsfd" localSheetId="0" hidden="1">{"'Jan - March 2000'!$A$5:$J$46"}</definedName>
    <definedName name="sggsfd" hidden="1">{"'Jan - March 2000'!$A$5:$J$46"}</definedName>
    <definedName name="sgsd" localSheetId="0" hidden="1">{#N/A,#N/A,FALSE,"Sheet1 (2)"}</definedName>
    <definedName name="sgsd" hidden="1">{#N/A,#N/A,FALSE,"Sheet1 (2)"}</definedName>
    <definedName name="sgsd_1" localSheetId="0" hidden="1">{#N/A,#N/A,FALSE,"Sheet1 (2)"}</definedName>
    <definedName name="sgsd_1" hidden="1">{#N/A,#N/A,FALSE,"Sheet1 (2)"}</definedName>
    <definedName name="sgsd_1_1" localSheetId="0" hidden="1">{#N/A,#N/A,FALSE,"Sheet1 (2)"}</definedName>
    <definedName name="sgsd_1_1" hidden="1">{#N/A,#N/A,FALSE,"Sheet1 (2)"}</definedName>
    <definedName name="sgsd_1_2" localSheetId="0" hidden="1">{#N/A,#N/A,FALSE,"Sheet1 (2)"}</definedName>
    <definedName name="sgsd_1_2" hidden="1">{#N/A,#N/A,FALSE,"Sheet1 (2)"}</definedName>
    <definedName name="sgsd_1_3" localSheetId="0" hidden="1">{#N/A,#N/A,FALSE,"Sheet1 (2)"}</definedName>
    <definedName name="sgsd_1_3" hidden="1">{#N/A,#N/A,FALSE,"Sheet1 (2)"}</definedName>
    <definedName name="sgsd_2" localSheetId="0" hidden="1">{#N/A,#N/A,FALSE,"Sheet1 (2)"}</definedName>
    <definedName name="sgsd_2" hidden="1">{#N/A,#N/A,FALSE,"Sheet1 (2)"}</definedName>
    <definedName name="sgsd_2_1" localSheetId="0" hidden="1">{#N/A,#N/A,FALSE,"Sheet1 (2)"}</definedName>
    <definedName name="sgsd_2_1" hidden="1">{#N/A,#N/A,FALSE,"Sheet1 (2)"}</definedName>
    <definedName name="sgsd_2_2" localSheetId="0" hidden="1">{#N/A,#N/A,FALSE,"Sheet1 (2)"}</definedName>
    <definedName name="sgsd_2_2" hidden="1">{#N/A,#N/A,FALSE,"Sheet1 (2)"}</definedName>
    <definedName name="sgsd_3" localSheetId="0" hidden="1">{#N/A,#N/A,FALSE,"Sheet1 (2)"}</definedName>
    <definedName name="sgsd_3" hidden="1">{#N/A,#N/A,FALSE,"Sheet1 (2)"}</definedName>
    <definedName name="sgsd_4" localSheetId="0" hidden="1">{#N/A,#N/A,FALSE,"Sheet1 (2)"}</definedName>
    <definedName name="sgsd_4" hidden="1">{#N/A,#N/A,FALSE,"Sheet1 (2)"}</definedName>
    <definedName name="sgsdgsg">#REF!</definedName>
    <definedName name="sgsfgsfg">#REF!</definedName>
    <definedName name="Shaded">#REF!</definedName>
    <definedName name="share_of_voice">#REF!</definedName>
    <definedName name="Sharm" localSheetId="0" hidden="1">{#N/A,#N/A,FALSE,"Sheet1 (2)"}</definedName>
    <definedName name="Sharm" hidden="1">{#N/A,#N/A,FALSE,"Sheet1 (2)"}</definedName>
    <definedName name="shcomgrp">"Grafico 16"</definedName>
    <definedName name="Sheet2" localSheetId="0" hidden="1">{#N/A,#N/A,FALSE,"Assumptions";#N/A,#N/A,FALSE,"1997 P&amp;L(pk) Estrada";#N/A,#N/A,FALSE,"ONGOING P&amp;L(pk) Estrada"}</definedName>
    <definedName name="Sheet2" hidden="1">{#N/A,#N/A,FALSE,"Assumptions";#N/A,#N/A,FALSE,"1997 P&amp;L(pk) Estrada";#N/A,#N/A,FALSE,"ONGOING P&amp;L(pk) Estrada"}</definedName>
    <definedName name="shf" localSheetId="0" hidden="1">{#N/A,#N/A,FALSE,"Sheet1 (2)"}</definedName>
    <definedName name="shf" hidden="1">{#N/A,#N/A,FALSE,"Sheet1 (2)"}</definedName>
    <definedName name="shf_1" localSheetId="0" hidden="1">{#N/A,#N/A,FALSE,"Sheet1 (2)"}</definedName>
    <definedName name="shf_1" hidden="1">{#N/A,#N/A,FALSE,"Sheet1 (2)"}</definedName>
    <definedName name="shf_1_1" localSheetId="0" hidden="1">{#N/A,#N/A,FALSE,"Sheet1 (2)"}</definedName>
    <definedName name="shf_1_1" hidden="1">{#N/A,#N/A,FALSE,"Sheet1 (2)"}</definedName>
    <definedName name="shf_1_2" localSheetId="0" hidden="1">{#N/A,#N/A,FALSE,"Sheet1 (2)"}</definedName>
    <definedName name="shf_1_2" hidden="1">{#N/A,#N/A,FALSE,"Sheet1 (2)"}</definedName>
    <definedName name="shf_1_3" localSheetId="0" hidden="1">{#N/A,#N/A,FALSE,"Sheet1 (2)"}</definedName>
    <definedName name="shf_1_3" hidden="1">{#N/A,#N/A,FALSE,"Sheet1 (2)"}</definedName>
    <definedName name="shf_2" localSheetId="0" hidden="1">{#N/A,#N/A,FALSE,"Sheet1 (2)"}</definedName>
    <definedName name="shf_2" hidden="1">{#N/A,#N/A,FALSE,"Sheet1 (2)"}</definedName>
    <definedName name="shf_2_1" localSheetId="0" hidden="1">{#N/A,#N/A,FALSE,"Sheet1 (2)"}</definedName>
    <definedName name="shf_2_1" hidden="1">{#N/A,#N/A,FALSE,"Sheet1 (2)"}</definedName>
    <definedName name="shf_2_2" localSheetId="0" hidden="1">{#N/A,#N/A,FALSE,"Sheet1 (2)"}</definedName>
    <definedName name="shf_2_2" hidden="1">{#N/A,#N/A,FALSE,"Sheet1 (2)"}</definedName>
    <definedName name="shf_3" localSheetId="0" hidden="1">{#N/A,#N/A,FALSE,"Sheet1 (2)"}</definedName>
    <definedName name="shf_3" hidden="1">{#N/A,#N/A,FALSE,"Sheet1 (2)"}</definedName>
    <definedName name="shf_4" localSheetId="0" hidden="1">{#N/A,#N/A,FALSE,"Sheet1 (2)"}</definedName>
    <definedName name="shf_4" hidden="1">{#N/A,#N/A,FALSE,"Sheet1 (2)"}</definedName>
    <definedName name="SHHTHYT" localSheetId="0" hidden="1">{#N/A,#N/A,FALSE,"Sheet1 (2)"}</definedName>
    <definedName name="SHHTHYT" hidden="1">{#N/A,#N/A,FALSE,"Sheet1 (2)"}</definedName>
    <definedName name="SHIFTDELETE">#REF!</definedName>
    <definedName name="shjgfsdhjgf">#REF!</definedName>
    <definedName name="SHOW" localSheetId="0">[36]Programlar!$A$246:$B$347</definedName>
    <definedName name="SHOW">[37]Kategoriler!$A$85:$B$128</definedName>
    <definedName name="SHOWKATEGORI">[38]tanimlar!#REF!</definedName>
    <definedName name="SHOWVW">#REF!</definedName>
    <definedName name="SHSHH" localSheetId="0" hidden="1">{#N/A,#N/A,FALSE,"Sheet1 (2)"}</definedName>
    <definedName name="SHSHH" hidden="1">{#N/A,#N/A,FALSE,"Sheet1 (2)"}</definedName>
    <definedName name="SHW_BRÜT">#REF!</definedName>
    <definedName name="SHW_NET">#REF!</definedName>
    <definedName name="SHW2_BRÜT">#REF!</definedName>
    <definedName name="SHW2_NET">#REF!</definedName>
    <definedName name="SİİRT">#REF!</definedName>
    <definedName name="SIMCOM">[62]Foglio1!$B$1:$B$65536</definedName>
    <definedName name="SIMCON">[62]Foglio1!$B$2:$B$65536</definedName>
    <definedName name="SİNANART">#REF!</definedName>
    <definedName name="sindos">#REF!</definedName>
    <definedName name="SİNOP">#REF!</definedName>
    <definedName name="Sipra">#REF!,#REF!,#REF!,#REF!,#REF!,#REF!,#REF!,#REF!,#REF!,#REF!,#REF!,#REF!,#REF!,#REF!,#REF!,#REF!,#REF!,#REF!,#REF!,#REF!,#REF!,#REF!,#REF!</definedName>
    <definedName name="sirket">#REF!</definedName>
    <definedName name="ŞIRNAK">#REF!</definedName>
    <definedName name="ŞİŞİ">[89]!ŞİŞİ</definedName>
    <definedName name="Site_Alias">#REF!</definedName>
    <definedName name="site_name">#REF!</definedName>
    <definedName name="SiteCodeLookup">(([63]Site!$B$2):(INDEX([63]Site!$C$2:$C$301,MATCH("",[63]Site!$C$2:$C$301,-1),0)))</definedName>
    <definedName name="SiteID">[21]Hidden_Data!$AA$25</definedName>
    <definedName name="SiteName">#REF!</definedName>
    <definedName name="SITES">[113]Sites!$A$1:$A$65536</definedName>
    <definedName name="SiteSubcategoryName">#REF!</definedName>
    <definedName name="SİVAS">#REF!</definedName>
    <definedName name="SIVI">#REF!</definedName>
    <definedName name="SIVI_2">#REF!</definedName>
    <definedName name="SIVI_3">#REF!</definedName>
    <definedName name="SIVI_4">#REF!</definedName>
    <definedName name="SIVI_5">#REF!</definedName>
    <definedName name="SIVI_6">#REF!</definedName>
    <definedName name="SIVI_7">#REF!</definedName>
    <definedName name="Sıperback" hidden="1">#REF!</definedName>
    <definedName name="Skala_İndirim">#REF!</definedName>
    <definedName name="ŞKLŞKL" localSheetId="0" hidden="1">{#N/A,#N/A,FALSE,"Sheet1 (2)"}</definedName>
    <definedName name="ŞKLŞKL" hidden="1">{#N/A,#N/A,FALSE,"Sheet1 (2)"}</definedName>
    <definedName name="skn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skn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skn_1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skn_1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skn_1_1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skn_1_1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skn_1_2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skn_1_2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skn_1_3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skn_1_3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skn_2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skn_2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skn_2_1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skn_2_1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skn_2_2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skn_2_2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skn_3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skn_3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skn_4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skn_4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sky" localSheetId="0" hidden="1">{#N/A,#N/A,FALSE,"Sheet1 (2)"}</definedName>
    <definedName name="sky" hidden="1">{#N/A,#N/A,FALSE,"Sheet1 (2)"}</definedName>
    <definedName name="sky_1" localSheetId="0" hidden="1">{#N/A,#N/A,FALSE,"Sheet1 (2)"}</definedName>
    <definedName name="sky_1" hidden="1">{#N/A,#N/A,FALSE,"Sheet1 (2)"}</definedName>
    <definedName name="sky_1_1" localSheetId="0" hidden="1">{#N/A,#N/A,FALSE,"Sheet1 (2)"}</definedName>
    <definedName name="sky_1_1" hidden="1">{#N/A,#N/A,FALSE,"Sheet1 (2)"}</definedName>
    <definedName name="sky_1_2" localSheetId="0" hidden="1">{#N/A,#N/A,FALSE,"Sheet1 (2)"}</definedName>
    <definedName name="sky_1_2" hidden="1">{#N/A,#N/A,FALSE,"Sheet1 (2)"}</definedName>
    <definedName name="sky_1_3" localSheetId="0" hidden="1">{#N/A,#N/A,FALSE,"Sheet1 (2)"}</definedName>
    <definedName name="sky_1_3" hidden="1">{#N/A,#N/A,FALSE,"Sheet1 (2)"}</definedName>
    <definedName name="sky_2" localSheetId="0" hidden="1">{#N/A,#N/A,FALSE,"Sheet1 (2)"}</definedName>
    <definedName name="sky_2" hidden="1">{#N/A,#N/A,FALSE,"Sheet1 (2)"}</definedName>
    <definedName name="sky_2_1" localSheetId="0" hidden="1">{#N/A,#N/A,FALSE,"Sheet1 (2)"}</definedName>
    <definedName name="sky_2_1" hidden="1">{#N/A,#N/A,FALSE,"Sheet1 (2)"}</definedName>
    <definedName name="sky_2_2" localSheetId="0" hidden="1">{#N/A,#N/A,FALSE,"Sheet1 (2)"}</definedName>
    <definedName name="sky_2_2" hidden="1">{#N/A,#N/A,FALSE,"Sheet1 (2)"}</definedName>
    <definedName name="sky_3" localSheetId="0" hidden="1">{#N/A,#N/A,FALSE,"Sheet1 (2)"}</definedName>
    <definedName name="sky_3" hidden="1">{#N/A,#N/A,FALSE,"Sheet1 (2)"}</definedName>
    <definedName name="sky_4" localSheetId="0" hidden="1">{#N/A,#N/A,FALSE,"Sheet1 (2)"}</definedName>
    <definedName name="sky_4" hidden="1">{#N/A,#N/A,FALSE,"Sheet1 (2)"}</definedName>
    <definedName name="SKYSCANNER">#REF!</definedName>
    <definedName name="SL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L.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L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ŞLLŞJOIOJINJ" localSheetId="0" hidden="1">{#N/A,#N/A,FALSE,"Sheet1 (2)"}</definedName>
    <definedName name="ŞLLŞJOIOJINJ" hidden="1">{#N/A,#N/A,FALSE,"Sheet1 (2)"}</definedName>
    <definedName name="şlş" hidden="1">#REF!</definedName>
    <definedName name="SMS" localSheetId="0" hidden="1">{#N/A,#N/A,FALSE,"Sheet1 (2)"}</definedName>
    <definedName name="SMS" hidden="1">{#N/A,#N/A,FALSE,"Sheet1 (2)"}</definedName>
    <definedName name="SMS_1" localSheetId="0" hidden="1">{#N/A,#N/A,FALSE,"Sheet1 (2)"}</definedName>
    <definedName name="SMS_1" hidden="1">{#N/A,#N/A,FALSE,"Sheet1 (2)"}</definedName>
    <definedName name="SMS_1_1" localSheetId="0" hidden="1">{#N/A,#N/A,FALSE,"Sheet1 (2)"}</definedName>
    <definedName name="SMS_1_1" hidden="1">{#N/A,#N/A,FALSE,"Sheet1 (2)"}</definedName>
    <definedName name="SMS_1_2" localSheetId="0" hidden="1">{#N/A,#N/A,FALSE,"Sheet1 (2)"}</definedName>
    <definedName name="SMS_1_2" hidden="1">{#N/A,#N/A,FALSE,"Sheet1 (2)"}</definedName>
    <definedName name="SMS_1_3" localSheetId="0" hidden="1">{#N/A,#N/A,FALSE,"Sheet1 (2)"}</definedName>
    <definedName name="SMS_1_3" hidden="1">{#N/A,#N/A,FALSE,"Sheet1 (2)"}</definedName>
    <definedName name="SMS_2" localSheetId="0" hidden="1">{#N/A,#N/A,FALSE,"Sheet1 (2)"}</definedName>
    <definedName name="SMS_2" hidden="1">{#N/A,#N/A,FALSE,"Sheet1 (2)"}</definedName>
    <definedName name="SMS_2_1" localSheetId="0" hidden="1">{#N/A,#N/A,FALSE,"Sheet1 (2)"}</definedName>
    <definedName name="SMS_2_1" hidden="1">{#N/A,#N/A,FALSE,"Sheet1 (2)"}</definedName>
    <definedName name="SMS_2_2" localSheetId="0" hidden="1">{#N/A,#N/A,FALSE,"Sheet1 (2)"}</definedName>
    <definedName name="SMS_2_2" hidden="1">{#N/A,#N/A,FALSE,"Sheet1 (2)"}</definedName>
    <definedName name="SMS_3" localSheetId="0" hidden="1">{#N/A,#N/A,FALSE,"Sheet1 (2)"}</definedName>
    <definedName name="SMS_3" hidden="1">{#N/A,#N/A,FALSE,"Sheet1 (2)"}</definedName>
    <definedName name="SMS_4" localSheetId="0" hidden="1">{#N/A,#N/A,FALSE,"Sheet1 (2)"}</definedName>
    <definedName name="SMS_4" hidden="1">{#N/A,#N/A,FALSE,"Sheet1 (2)"}</definedName>
    <definedName name="smsrehberi">#REF!</definedName>
    <definedName name="SOAP">#N/A</definedName>
    <definedName name="Social">#REF!</definedName>
    <definedName name="SOFT">#REF!</definedName>
    <definedName name="SOFT_2">#REF!</definedName>
    <definedName name="SOFT_3">#REF!</definedName>
    <definedName name="SOFT_4">#REF!</definedName>
    <definedName name="SOFT_5">#REF!</definedName>
    <definedName name="SOFT_6">#REF!</definedName>
    <definedName name="SOFT_7">#REF!</definedName>
    <definedName name="SOFTOD">#REF!</definedName>
    <definedName name="SOFTOD_2">#REF!</definedName>
    <definedName name="SOFTOD_3">#REF!</definedName>
    <definedName name="SOFTOD_4">#REF!</definedName>
    <definedName name="SOFTOD_5">#REF!</definedName>
    <definedName name="SOFTOD_6">#REF!</definedName>
    <definedName name="SOFTOD_7">#REF!</definedName>
    <definedName name="SOLSearch">#REF!</definedName>
    <definedName name="sosyal" localSheetId="0" hidden="1">{#N/A,#N/A,FALSE,"Sheet1 (2)"}</definedName>
    <definedName name="sosyal" hidden="1">{#N/A,#N/A,FALSE,"Sheet1 (2)"}</definedName>
    <definedName name="sosyal_1" localSheetId="0" hidden="1">{#N/A,#N/A,FALSE,"Sheet1 (2)"}</definedName>
    <definedName name="sosyal_1" hidden="1">{#N/A,#N/A,FALSE,"Sheet1 (2)"}</definedName>
    <definedName name="sosyal_1_1" localSheetId="0" hidden="1">{#N/A,#N/A,FALSE,"Sheet1 (2)"}</definedName>
    <definedName name="sosyal_1_1" hidden="1">{#N/A,#N/A,FALSE,"Sheet1 (2)"}</definedName>
    <definedName name="sosyal_1_2" localSheetId="0" hidden="1">{#N/A,#N/A,FALSE,"Sheet1 (2)"}</definedName>
    <definedName name="sosyal_1_2" hidden="1">{#N/A,#N/A,FALSE,"Sheet1 (2)"}</definedName>
    <definedName name="sosyal_1_3" localSheetId="0" hidden="1">{#N/A,#N/A,FALSE,"Sheet1 (2)"}</definedName>
    <definedName name="sosyal_1_3" hidden="1">{#N/A,#N/A,FALSE,"Sheet1 (2)"}</definedName>
    <definedName name="sosyal_2" localSheetId="0" hidden="1">{#N/A,#N/A,FALSE,"Sheet1 (2)"}</definedName>
    <definedName name="sosyal_2" hidden="1">{#N/A,#N/A,FALSE,"Sheet1 (2)"}</definedName>
    <definedName name="sosyal_2_1" localSheetId="0" hidden="1">{#N/A,#N/A,FALSE,"Sheet1 (2)"}</definedName>
    <definedName name="sosyal_2_1" hidden="1">{#N/A,#N/A,FALSE,"Sheet1 (2)"}</definedName>
    <definedName name="sosyal_2_2" localSheetId="0" hidden="1">{#N/A,#N/A,FALSE,"Sheet1 (2)"}</definedName>
    <definedName name="sosyal_2_2" hidden="1">{#N/A,#N/A,FALSE,"Sheet1 (2)"}</definedName>
    <definedName name="sosyal_3" localSheetId="0" hidden="1">{#N/A,#N/A,FALSE,"Sheet1 (2)"}</definedName>
    <definedName name="sosyal_3" hidden="1">{#N/A,#N/A,FALSE,"Sheet1 (2)"}</definedName>
    <definedName name="sosyal_4" localSheetId="0" hidden="1">{#N/A,#N/A,FALSE,"Sheet1 (2)"}</definedName>
    <definedName name="sosyal_4" hidden="1">{#N/A,#N/A,FALSE,"Sheet1 (2)"}</definedName>
    <definedName name="SOSYALTEKNO">#REF!</definedName>
    <definedName name="Soyak" hidden="1">#REF!</definedName>
    <definedName name="SpecialPrice" hidden="1">#REF!</definedName>
    <definedName name="SPORTSTV">#REF!</definedName>
    <definedName name="SPOT">#REF!</definedName>
    <definedName name="SPOT_ADEDİ">#REF!</definedName>
    <definedName name="SPOT_AKEL">#REF!</definedName>
    <definedName name="SPOT_ASAN">#REF!</definedName>
    <definedName name="SPOT_BSAN">#REF!</definedName>
    <definedName name="SPOT_SÜRESİ">#REF!</definedName>
    <definedName name="spot_süresi1">#REF!</definedName>
    <definedName name="spot_süresi2">#REF!</definedName>
    <definedName name="spot_süresi3" localSheetId="0">[122]GAZETE!$B$6</definedName>
    <definedName name="spot_süresi3">[123]GAZETE!$B$6</definedName>
    <definedName name="Spot_Turu">[124]Köprü!$B$4:$B$11</definedName>
    <definedName name="SPOT_TURU_INDIRIMI">#REF!</definedName>
    <definedName name="SPOT_TURU_INDIRIMI_KANAL">#REF!</definedName>
    <definedName name="SPOTİFYAB">#REF!</definedName>
    <definedName name="spotlist1">[125]Copies!$A$12:$A$23</definedName>
    <definedName name="SPOTTURU">'[126]tv spot list'!$AH$13:$AH$1484</definedName>
    <definedName name="srqw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rqw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RT">#REF!</definedName>
    <definedName name="srtjhsrtjh">#REF!</definedName>
    <definedName name="ss" localSheetId="0" hidden="1">{#N/A,#N/A,FALSE,"Sheet1 (2)"}</definedName>
    <definedName name="ss" hidden="1">{#N/A,#N/A,FALSE,"Sheet1 (2)"}</definedName>
    <definedName name="ss_1" localSheetId="0" hidden="1">{#N/A,#N/A,FALSE,"Sheet1 (2)"}</definedName>
    <definedName name="ss_1" hidden="1">{#N/A,#N/A,FALSE,"Sheet1 (2)"}</definedName>
    <definedName name="ss_1_1" localSheetId="0" hidden="1">{#N/A,#N/A,FALSE,"Sheet1 (2)"}</definedName>
    <definedName name="ss_1_1" hidden="1">{#N/A,#N/A,FALSE,"Sheet1 (2)"}</definedName>
    <definedName name="ss_1_2" localSheetId="0" hidden="1">{#N/A,#N/A,FALSE,"Sheet1 (2)"}</definedName>
    <definedName name="ss_1_2" hidden="1">{#N/A,#N/A,FALSE,"Sheet1 (2)"}</definedName>
    <definedName name="ss_1_3" localSheetId="0" hidden="1">{#N/A,#N/A,FALSE,"Sheet1 (2)"}</definedName>
    <definedName name="ss_1_3" hidden="1">{#N/A,#N/A,FALSE,"Sheet1 (2)"}</definedName>
    <definedName name="ss_2" localSheetId="0" hidden="1">{#N/A,#N/A,FALSE,"Sheet1 (2)"}</definedName>
    <definedName name="ss_2" hidden="1">{#N/A,#N/A,FALSE,"Sheet1 (2)"}</definedName>
    <definedName name="ss_2_1" localSheetId="0" hidden="1">{#N/A,#N/A,FALSE,"Sheet1 (2)"}</definedName>
    <definedName name="ss_2_1" hidden="1">{#N/A,#N/A,FALSE,"Sheet1 (2)"}</definedName>
    <definedName name="ss_2_2" localSheetId="0" hidden="1">{#N/A,#N/A,FALSE,"Sheet1 (2)"}</definedName>
    <definedName name="ss_2_2" hidden="1">{#N/A,#N/A,FALSE,"Sheet1 (2)"}</definedName>
    <definedName name="ss_3" localSheetId="0" hidden="1">{#N/A,#N/A,FALSE,"Sheet1 (2)"}</definedName>
    <definedName name="ss_3" hidden="1">{#N/A,#N/A,FALSE,"Sheet1 (2)"}</definedName>
    <definedName name="ss_4" localSheetId="0" hidden="1">{#N/A,#N/A,FALSE,"Sheet1 (2)"}</definedName>
    <definedName name="ss_4" hidden="1">{#N/A,#N/A,FALSE,"Sheet1 (2)"}</definedName>
    <definedName name="ssdzfdgsdfghtf" localSheetId="0" hidden="1">{"'Jan - March 2000'!$A$5:$J$46"}</definedName>
    <definedName name="ssdzfdgsdfghtf" hidden="1">{"'Jan - March 2000'!$A$5:$J$46"}</definedName>
    <definedName name="ssfw" localSheetId="0" hidden="1">{#N/A,#N/A,FALSE,"Sheet1 (2)"}</definedName>
    <definedName name="ssfw" hidden="1">{#N/A,#N/A,FALSE,"Sheet1 (2)"}</definedName>
    <definedName name="ssfw_1" localSheetId="0" hidden="1">{#N/A,#N/A,FALSE,"Sheet1 (2)"}</definedName>
    <definedName name="ssfw_1" hidden="1">{#N/A,#N/A,FALSE,"Sheet1 (2)"}</definedName>
    <definedName name="ssfw_1_1" localSheetId="0" hidden="1">{#N/A,#N/A,FALSE,"Sheet1 (2)"}</definedName>
    <definedName name="ssfw_1_1" hidden="1">{#N/A,#N/A,FALSE,"Sheet1 (2)"}</definedName>
    <definedName name="ssfw_1_2" localSheetId="0" hidden="1">{#N/A,#N/A,FALSE,"Sheet1 (2)"}</definedName>
    <definedName name="ssfw_1_2" hidden="1">{#N/A,#N/A,FALSE,"Sheet1 (2)"}</definedName>
    <definedName name="ssfw_1_3" localSheetId="0" hidden="1">{#N/A,#N/A,FALSE,"Sheet1 (2)"}</definedName>
    <definedName name="ssfw_1_3" hidden="1">{#N/A,#N/A,FALSE,"Sheet1 (2)"}</definedName>
    <definedName name="ssfw_2" localSheetId="0" hidden="1">{#N/A,#N/A,FALSE,"Sheet1 (2)"}</definedName>
    <definedName name="ssfw_2" hidden="1">{#N/A,#N/A,FALSE,"Sheet1 (2)"}</definedName>
    <definedName name="ssfw_2_1" localSheetId="0" hidden="1">{#N/A,#N/A,FALSE,"Sheet1 (2)"}</definedName>
    <definedName name="ssfw_2_1" hidden="1">{#N/A,#N/A,FALSE,"Sheet1 (2)"}</definedName>
    <definedName name="ssfw_2_2" localSheetId="0" hidden="1">{#N/A,#N/A,FALSE,"Sheet1 (2)"}</definedName>
    <definedName name="ssfw_2_2" hidden="1">{#N/A,#N/A,FALSE,"Sheet1 (2)"}</definedName>
    <definedName name="ssfw_3" localSheetId="0" hidden="1">{#N/A,#N/A,FALSE,"Sheet1 (2)"}</definedName>
    <definedName name="ssfw_3" hidden="1">{#N/A,#N/A,FALSE,"Sheet1 (2)"}</definedName>
    <definedName name="ssfw_4" localSheetId="0" hidden="1">{#N/A,#N/A,FALSE,"Sheet1 (2)"}</definedName>
    <definedName name="ssfw_4" hidden="1">{#N/A,#N/A,FALSE,"Sheet1 (2)"}</definedName>
    <definedName name="sss" localSheetId="0" hidden="1">{#N/A,#N/A,FALSE,"Sheet1 (2)"}</definedName>
    <definedName name="sss" hidden="1">{#N/A,#N/A,FALSE,"Sheet1 (2)"}</definedName>
    <definedName name="sss_1" localSheetId="0" hidden="1">{#N/A,#N/A,FALSE,"Sheet1 (2)"}</definedName>
    <definedName name="sss_1" hidden="1">{#N/A,#N/A,FALSE,"Sheet1 (2)"}</definedName>
    <definedName name="SSSS">#REF!</definedName>
    <definedName name="ssss9" localSheetId="0">'Haziran Gerçekleşen Plan'!ssss9</definedName>
    <definedName name="ssss9">[0]!ssss9</definedName>
    <definedName name="sssss">#REF!</definedName>
    <definedName name="SSSSSS">#REF!</definedName>
    <definedName name="ssssss_1" localSheetId="0" hidden="1">{#N/A,#N/A,FALSE,"Sheet1 (2)"}</definedName>
    <definedName name="ssssss_1" hidden="1">{#N/A,#N/A,FALSE,"Sheet1 (2)"}</definedName>
    <definedName name="ssssss_1_1" localSheetId="0" hidden="1">{#N/A,#N/A,FALSE,"Sheet1 (2)"}</definedName>
    <definedName name="ssssss_1_1" hidden="1">{#N/A,#N/A,FALSE,"Sheet1 (2)"}</definedName>
    <definedName name="ssssss_1_2" localSheetId="0" hidden="1">{#N/A,#N/A,FALSE,"Sheet1 (2)"}</definedName>
    <definedName name="ssssss_1_2" hidden="1">{#N/A,#N/A,FALSE,"Sheet1 (2)"}</definedName>
    <definedName name="ssssss_1_3" localSheetId="0" hidden="1">{#N/A,#N/A,FALSE,"Sheet1 (2)"}</definedName>
    <definedName name="ssssss_1_3" hidden="1">{#N/A,#N/A,FALSE,"Sheet1 (2)"}</definedName>
    <definedName name="ssssss_2" localSheetId="0" hidden="1">{#N/A,#N/A,FALSE,"Sheet1 (2)"}</definedName>
    <definedName name="ssssss_2" hidden="1">{#N/A,#N/A,FALSE,"Sheet1 (2)"}</definedName>
    <definedName name="ssssss_2_1" localSheetId="0" hidden="1">{#N/A,#N/A,FALSE,"Sheet1 (2)"}</definedName>
    <definedName name="ssssss_2_1" hidden="1">{#N/A,#N/A,FALSE,"Sheet1 (2)"}</definedName>
    <definedName name="ssssss_2_2" localSheetId="0" hidden="1">{#N/A,#N/A,FALSE,"Sheet1 (2)"}</definedName>
    <definedName name="ssssss_2_2" hidden="1">{#N/A,#N/A,FALSE,"Sheet1 (2)"}</definedName>
    <definedName name="ssssss_3" localSheetId="0" hidden="1">{#N/A,#N/A,FALSE,"Sheet1 (2)"}</definedName>
    <definedName name="ssssss_3" hidden="1">{#N/A,#N/A,FALSE,"Sheet1 (2)"}</definedName>
    <definedName name="ssssss_4" localSheetId="0" hidden="1">{#N/A,#N/A,FALSE,"Sheet1 (2)"}</definedName>
    <definedName name="ssssss_4" hidden="1">{#N/A,#N/A,FALSE,"Sheet1 (2)"}</definedName>
    <definedName name="SSSSSSS">#REF!</definedName>
    <definedName name="SSSSSSSS">#REF!</definedName>
    <definedName name="ssssssssssssssssssss">[11]Ekim!#REF!</definedName>
    <definedName name="sssssssssssssssssssssssssssssssssssssssssssssssssssssssssssssssssssssss" localSheetId="0" hidden="1">{#N/A,#N/A,FALSE,"Sheet1 (2)"}</definedName>
    <definedName name="sssssssssssssssssssssssssssssssssssssssssssssssssssssssssssssssssssssss" hidden="1">{#N/A,#N/A,FALSE,"Sheet1 (2)"}</definedName>
    <definedName name="sssssssssssssssssssssssssssssssssssssssssssssssssssssssssssssssssssssss_1" localSheetId="0" hidden="1">{#N/A,#N/A,FALSE,"Sheet1 (2)"}</definedName>
    <definedName name="sssssssssssssssssssssssssssssssssssssssssssssssssssssssssssssssssssssss_1" hidden="1">{#N/A,#N/A,FALSE,"Sheet1 (2)"}</definedName>
    <definedName name="sssssssssssssssssssssssssssssssssssssssssssssssssssssssssssssssssssssss_1_1" localSheetId="0" hidden="1">{#N/A,#N/A,FALSE,"Sheet1 (2)"}</definedName>
    <definedName name="sssssssssssssssssssssssssssssssssssssssssssssssssssssssssssssssssssssss_1_1" hidden="1">{#N/A,#N/A,FALSE,"Sheet1 (2)"}</definedName>
    <definedName name="sssssssssssssssssssssssssssssssssssssssssssssssssssssssssssssssssssssss_1_2" localSheetId="0" hidden="1">{#N/A,#N/A,FALSE,"Sheet1 (2)"}</definedName>
    <definedName name="sssssssssssssssssssssssssssssssssssssssssssssssssssssssssssssssssssssss_1_2" hidden="1">{#N/A,#N/A,FALSE,"Sheet1 (2)"}</definedName>
    <definedName name="sssssssssssssssssssssssssssssssssssssssssssssssssssssssssssssssssssssss_1_3" localSheetId="0" hidden="1">{#N/A,#N/A,FALSE,"Sheet1 (2)"}</definedName>
    <definedName name="sssssssssssssssssssssssssssssssssssssssssssssssssssssssssssssssssssssss_1_3" hidden="1">{#N/A,#N/A,FALSE,"Sheet1 (2)"}</definedName>
    <definedName name="sssssssssssssssssssssssssssssssssssssssssssssssssssssssssssssssssssssss_2" localSheetId="0" hidden="1">{#N/A,#N/A,FALSE,"Sheet1 (2)"}</definedName>
    <definedName name="sssssssssssssssssssssssssssssssssssssssssssssssssssssssssssssssssssssss_2" hidden="1">{#N/A,#N/A,FALSE,"Sheet1 (2)"}</definedName>
    <definedName name="sssssssssssssssssssssssssssssssssssssssssssssssssssssssssssssssssssssss_2_1" localSheetId="0" hidden="1">{#N/A,#N/A,FALSE,"Sheet1 (2)"}</definedName>
    <definedName name="sssssssssssssssssssssssssssssssssssssssssssssssssssssssssssssssssssssss_2_1" hidden="1">{#N/A,#N/A,FALSE,"Sheet1 (2)"}</definedName>
    <definedName name="sssssssssssssssssssssssssssssssssssssssssssssssssssssssssssssssssssssss_2_2" localSheetId="0" hidden="1">{#N/A,#N/A,FALSE,"Sheet1 (2)"}</definedName>
    <definedName name="sssssssssssssssssssssssssssssssssssssssssssssssssssssssssssssssssssssss_2_2" hidden="1">{#N/A,#N/A,FALSE,"Sheet1 (2)"}</definedName>
    <definedName name="sssssssssssssssssssssssssssssssssssssssssssssssssssssssssssssssssssssss_3" localSheetId="0" hidden="1">{#N/A,#N/A,FALSE,"Sheet1 (2)"}</definedName>
    <definedName name="sssssssssssssssssssssssssssssssssssssssssssssssssssssssssssssssssssssss_3" hidden="1">{#N/A,#N/A,FALSE,"Sheet1 (2)"}</definedName>
    <definedName name="sssssssssssssssssssssssssssssssssssssssssssssssssssssssssssssssssssssss_4" localSheetId="0" hidden="1">{#N/A,#N/A,FALSE,"Sheet1 (2)"}</definedName>
    <definedName name="sssssssssssssssssssssssssssssssssssssssssssssssssssssssssssssssssssssss_4" hidden="1">{#N/A,#N/A,FALSE,"Sheet1 (2)"}</definedName>
    <definedName name="star">#REF!</definedName>
    <definedName name="star_2">#REF!</definedName>
    <definedName name="star_3">#REF!</definedName>
    <definedName name="star_4">#REF!</definedName>
    <definedName name="star_5">#REF!</definedName>
    <definedName name="star_6">#REF!</definedName>
    <definedName name="star_7">#REF!</definedName>
    <definedName name="STAREX">'[127]plan-gaz1'!$B$1:$B$65536</definedName>
    <definedName name="STARKATEGORI">[38]tanimlar!#REF!</definedName>
    <definedName name="STARMEDYA">#REF!</definedName>
    <definedName name="Start_Date">'[31]Option #1'!$AM$3</definedName>
    <definedName name="StartDate">#REF!</definedName>
    <definedName name="StartingAwareness">#REF!</definedName>
    <definedName name="STARTV">#REF!</definedName>
    <definedName name="STARVW">#REF!</definedName>
    <definedName name="StatCountTypeName">#REF!</definedName>
    <definedName name="Static">#REF!</definedName>
    <definedName name="Stationnames">#REF!</definedName>
    <definedName name="STR_BRÜT">#REF!</definedName>
    <definedName name="STR_NET">#REF!</definedName>
    <definedName name="STR2_BRÜT">#REF!</definedName>
    <definedName name="STR2_NET">#REF!</definedName>
    <definedName name="STV">#REF!</definedName>
    <definedName name="STV_2">#REF!</definedName>
    <definedName name="STV_3">#REF!</definedName>
    <definedName name="STV_4">#REF!</definedName>
    <definedName name="STV_5">#REF!</definedName>
    <definedName name="STV_6">#REF!</definedName>
    <definedName name="STV_7">#REF!</definedName>
    <definedName name="STVVW">#REF!</definedName>
    <definedName name="styweeks">"Grafico 17"</definedName>
    <definedName name="SubcategoryName">#REF!</definedName>
    <definedName name="SUM">#REF!</definedName>
    <definedName name="SumEstImpressions">#REF!</definedName>
    <definedName name="SUMM">#REF!</definedName>
    <definedName name="summary">#REF!</definedName>
    <definedName name="SUMMARY2">#REF!</definedName>
    <definedName name="SumQuantity">#REF!</definedName>
    <definedName name="sumru" localSheetId="0">'Haziran Gerçekleşen Plan'!sumru</definedName>
    <definedName name="sumru">[0]!sumru</definedName>
    <definedName name="sumtv">[112]CCS!$A$1:$R$77</definedName>
    <definedName name="SUNNY" localSheetId="0">'Haziran Gerçekleşen Plan'!SUNNY</definedName>
    <definedName name="SUNNY">[0]!SUNNY</definedName>
    <definedName name="superback" localSheetId="0" hidden="1">{#N/A,#N/A,FALSE,"Sheet1 (2)"}</definedName>
    <definedName name="superback" hidden="1">{#N/A,#N/A,FALSE,"Sheet1 (2)"}</definedName>
    <definedName name="superback_1" localSheetId="0" hidden="1">{#N/A,#N/A,FALSE,"Sheet1 (2)"}</definedName>
    <definedName name="superback_1" hidden="1">{#N/A,#N/A,FALSE,"Sheet1 (2)"}</definedName>
    <definedName name="superback_1_1" localSheetId="0" hidden="1">{#N/A,#N/A,FALSE,"Sheet1 (2)"}</definedName>
    <definedName name="superback_1_1" hidden="1">{#N/A,#N/A,FALSE,"Sheet1 (2)"}</definedName>
    <definedName name="superback_1_2" localSheetId="0" hidden="1">{#N/A,#N/A,FALSE,"Sheet1 (2)"}</definedName>
    <definedName name="superback_1_2" hidden="1">{#N/A,#N/A,FALSE,"Sheet1 (2)"}</definedName>
    <definedName name="superback_1_3" localSheetId="0" hidden="1">{#N/A,#N/A,FALSE,"Sheet1 (2)"}</definedName>
    <definedName name="superback_1_3" hidden="1">{#N/A,#N/A,FALSE,"Sheet1 (2)"}</definedName>
    <definedName name="superback_2" localSheetId="0" hidden="1">{#N/A,#N/A,FALSE,"Sheet1 (2)"}</definedName>
    <definedName name="superback_2" hidden="1">{#N/A,#N/A,FALSE,"Sheet1 (2)"}</definedName>
    <definedName name="superback_2_1" localSheetId="0" hidden="1">{#N/A,#N/A,FALSE,"Sheet1 (2)"}</definedName>
    <definedName name="superback_2_1" hidden="1">{#N/A,#N/A,FALSE,"Sheet1 (2)"}</definedName>
    <definedName name="superback_2_2" localSheetId="0" hidden="1">{#N/A,#N/A,FALSE,"Sheet1 (2)"}</definedName>
    <definedName name="superback_2_2" hidden="1">{#N/A,#N/A,FALSE,"Sheet1 (2)"}</definedName>
    <definedName name="superback_3" localSheetId="0" hidden="1">{#N/A,#N/A,FALSE,"Sheet1 (2)"}</definedName>
    <definedName name="superback_3" hidden="1">{#N/A,#N/A,FALSE,"Sheet1 (2)"}</definedName>
    <definedName name="superback_4" localSheetId="0" hidden="1">{#N/A,#N/A,FALSE,"Sheet1 (2)"}</definedName>
    <definedName name="superback_4" hidden="1">{#N/A,#N/A,FALSE,"Sheet1 (2)"}</definedName>
    <definedName name="SÜPERMOBİL">#REF!</definedName>
    <definedName name="superonline">#REF!</definedName>
    <definedName name="SURATLAR">#REF!</definedName>
    <definedName name="SURE">#REF!</definedName>
    <definedName name="SURE_2">#REF!</definedName>
    <definedName name="SURE_3">#REF!</definedName>
    <definedName name="SURE_4">#REF!</definedName>
    <definedName name="SURE_5">#REF!</definedName>
    <definedName name="SURE_6">#REF!</definedName>
    <definedName name="SURE_7">#REF!</definedName>
    <definedName name="sure1">#REF!</definedName>
    <definedName name="sure2">#REF!</definedName>
    <definedName name="Süreler">'[42]İndirimler ve Tanımlar'!$A$8:$C$17</definedName>
    <definedName name="Sutun_İndis">#REF!</definedName>
    <definedName name="SütunBaşlığıBölgesi22..H110.1">#REF!</definedName>
    <definedName name="SütunBaşlığıBölgesi23..C112.1">#REF!</definedName>
    <definedName name="SütunBaşlığıBölgesi6..D28.1">#REF!</definedName>
    <definedName name="svfds" localSheetId="0" hidden="1">{"'Jan - March 2000'!$A$5:$J$46"}</definedName>
    <definedName name="svfds" hidden="1">{"'Jan - March 2000'!$A$5:$J$46"}</definedName>
    <definedName name="svy" hidden="1">#REF!</definedName>
    <definedName name="swds">[128]Programlar!$A$435:$B$487</definedName>
    <definedName name="Swvu.steve." hidden="1">#REF!</definedName>
    <definedName name="sx" localSheetId="0" hidden="1">{"'Jan - March 2000'!$A$5:$J$46"}</definedName>
    <definedName name="sx" hidden="1">{"'Jan - March 2000'!$A$5:$J$46"}</definedName>
    <definedName name="SZEGF" localSheetId="0">[129]Programlar!$A$130:$B$235</definedName>
    <definedName name="SZEGF">[130]Programlar!$A$130:$B$235</definedName>
    <definedName name="t">#REF!</definedName>
    <definedName name="t_2">#REF!</definedName>
    <definedName name="t_3">#REF!</definedName>
    <definedName name="t_4">#REF!</definedName>
    <definedName name="t_5">#REF!</definedName>
    <definedName name="t_6">#REF!</definedName>
    <definedName name="t_7">#REF!</definedName>
    <definedName name="t6yr6uyjuy" localSheetId="0" hidden="1">{#N/A,#N/A,FALSE,"Sheet1 (2)"}</definedName>
    <definedName name="t6yr6uyjuy" hidden="1">{#N/A,#N/A,FALSE,"Sheet1 (2)"}</definedName>
    <definedName name="t6yr6uyjuy_1" localSheetId="0" hidden="1">{#N/A,#N/A,FALSE,"Sheet1 (2)"}</definedName>
    <definedName name="t6yr6uyjuy_1" hidden="1">{#N/A,#N/A,FALSE,"Sheet1 (2)"}</definedName>
    <definedName name="t6yr6uyjuy_1_1" localSheetId="0" hidden="1">{#N/A,#N/A,FALSE,"Sheet1 (2)"}</definedName>
    <definedName name="t6yr6uyjuy_1_1" hidden="1">{#N/A,#N/A,FALSE,"Sheet1 (2)"}</definedName>
    <definedName name="t6yr6uyjuy_1_2" localSheetId="0" hidden="1">{#N/A,#N/A,FALSE,"Sheet1 (2)"}</definedName>
    <definedName name="t6yr6uyjuy_1_2" hidden="1">{#N/A,#N/A,FALSE,"Sheet1 (2)"}</definedName>
    <definedName name="t6yr6uyjuy_1_3" localSheetId="0" hidden="1">{#N/A,#N/A,FALSE,"Sheet1 (2)"}</definedName>
    <definedName name="t6yr6uyjuy_1_3" hidden="1">{#N/A,#N/A,FALSE,"Sheet1 (2)"}</definedName>
    <definedName name="t6yr6uyjuy_2" localSheetId="0" hidden="1">{#N/A,#N/A,FALSE,"Sheet1 (2)"}</definedName>
    <definedName name="t6yr6uyjuy_2" hidden="1">{#N/A,#N/A,FALSE,"Sheet1 (2)"}</definedName>
    <definedName name="t6yr6uyjuy_2_1" localSheetId="0" hidden="1">{#N/A,#N/A,FALSE,"Sheet1 (2)"}</definedName>
    <definedName name="t6yr6uyjuy_2_1" hidden="1">{#N/A,#N/A,FALSE,"Sheet1 (2)"}</definedName>
    <definedName name="t6yr6uyjuy_2_2" localSheetId="0" hidden="1">{#N/A,#N/A,FALSE,"Sheet1 (2)"}</definedName>
    <definedName name="t6yr6uyjuy_2_2" hidden="1">{#N/A,#N/A,FALSE,"Sheet1 (2)"}</definedName>
    <definedName name="t6yr6uyjuy_3" localSheetId="0" hidden="1">{#N/A,#N/A,FALSE,"Sheet1 (2)"}</definedName>
    <definedName name="t6yr6uyjuy_3" hidden="1">{#N/A,#N/A,FALSE,"Sheet1 (2)"}</definedName>
    <definedName name="t6yr6uyjuy_4" localSheetId="0" hidden="1">{#N/A,#N/A,FALSE,"Sheet1 (2)"}</definedName>
    <definedName name="t6yr6uyjuy_4" hidden="1">{#N/A,#N/A,FALSE,"Sheet1 (2)"}</definedName>
    <definedName name="TA" localSheetId="0" hidden="1">{#N/A,#N/A,FALSE,"Sheet1 (2)"}</definedName>
    <definedName name="TA" hidden="1">{#N/A,#N/A,FALSE,"Sheet1 (2)"}</definedName>
    <definedName name="TA_1" localSheetId="0" hidden="1">{#N/A,#N/A,FALSE,"Sheet1 (2)"}</definedName>
    <definedName name="TA_1" hidden="1">{#N/A,#N/A,FALSE,"Sheet1 (2)"}</definedName>
    <definedName name="TA_1_1" localSheetId="0" hidden="1">{#N/A,#N/A,FALSE,"Sheet1 (2)"}</definedName>
    <definedName name="TA_1_1" hidden="1">{#N/A,#N/A,FALSE,"Sheet1 (2)"}</definedName>
    <definedName name="TA_1_2" localSheetId="0" hidden="1">{#N/A,#N/A,FALSE,"Sheet1 (2)"}</definedName>
    <definedName name="TA_1_2" hidden="1">{#N/A,#N/A,FALSE,"Sheet1 (2)"}</definedName>
    <definedName name="TA_1_3" localSheetId="0" hidden="1">{#N/A,#N/A,FALSE,"Sheet1 (2)"}</definedName>
    <definedName name="TA_1_3" hidden="1">{#N/A,#N/A,FALSE,"Sheet1 (2)"}</definedName>
    <definedName name="TA_2" localSheetId="0" hidden="1">{#N/A,#N/A,FALSE,"Sheet1 (2)"}</definedName>
    <definedName name="TA_2" hidden="1">{#N/A,#N/A,FALSE,"Sheet1 (2)"}</definedName>
    <definedName name="TA_2_1" localSheetId="0" hidden="1">{#N/A,#N/A,FALSE,"Sheet1 (2)"}</definedName>
    <definedName name="TA_2_1" hidden="1">{#N/A,#N/A,FALSE,"Sheet1 (2)"}</definedName>
    <definedName name="TA_2_2" localSheetId="0" hidden="1">{#N/A,#N/A,FALSE,"Sheet1 (2)"}</definedName>
    <definedName name="TA_2_2" hidden="1">{#N/A,#N/A,FALSE,"Sheet1 (2)"}</definedName>
    <definedName name="TA_3" localSheetId="0" hidden="1">{#N/A,#N/A,FALSE,"Sheet1 (2)"}</definedName>
    <definedName name="TA_3" hidden="1">{#N/A,#N/A,FALSE,"Sheet1 (2)"}</definedName>
    <definedName name="TA_4" localSheetId="0" hidden="1">{#N/A,#N/A,FALSE,"Sheet1 (2)"}</definedName>
    <definedName name="TA_4" hidden="1">{#N/A,#N/A,FALSE,"Sheet1 (2)"}</definedName>
    <definedName name="Tab.Pcp">29.25</definedName>
    <definedName name="Table">#REF!</definedName>
    <definedName name="TABLO" localSheetId="0">[79]Sayfa2!#REF!</definedName>
    <definedName name="TABLO">[80]Sayfa2!#REF!</definedName>
    <definedName name="Tablo1">#REF!</definedName>
    <definedName name="TagNeeded">[49]DataFields!$K$5:$K$8</definedName>
    <definedName name="TagNeededAbbrev">[49]DataFields!$K$5:$L$8</definedName>
    <definedName name="TAHSİLTARİH">#REF!</definedName>
    <definedName name="TAHSİLTARİH05">#REF!</definedName>
    <definedName name="TAKSİTCARDGERÇ">#REF!</definedName>
    <definedName name="TAKSİTCARDGERÇ_2">#REF!</definedName>
    <definedName name="TAKSİTCARDGERÇ_3">#REF!</definedName>
    <definedName name="TAKSİTCARDGERÇ_4">#REF!</definedName>
    <definedName name="TAKSİTCARDGERÇ_5">#REF!</definedName>
    <definedName name="TAKSİTCARDGERÇ_6">#REF!</definedName>
    <definedName name="TAKSİTCARDGERÇ_7">#REF!</definedName>
    <definedName name="taksitcardödeme">#REF!</definedName>
    <definedName name="taksitcardödeme_2">#REF!</definedName>
    <definedName name="taksitcardödeme_3">#REF!</definedName>
    <definedName name="taksitcardödeme_4">#REF!</definedName>
    <definedName name="taksitcardödeme_5">#REF!</definedName>
    <definedName name="taksitcardödeme_6">#REF!</definedName>
    <definedName name="taksitcardödeme_7">#REF!</definedName>
    <definedName name="taksitcardözet">#REF!</definedName>
    <definedName name="taksitcardözet_2">#REF!</definedName>
    <definedName name="taksitcardözet_3">#REF!</definedName>
    <definedName name="taksitcardözet_4">#REF!</definedName>
    <definedName name="taksitcardözet_5">#REF!</definedName>
    <definedName name="taksitcardözet_6">#REF!</definedName>
    <definedName name="taksitcardözet_7">#REF!</definedName>
    <definedName name="taksitcardtem">#REF!</definedName>
    <definedName name="taksitcardtem_2">#REF!</definedName>
    <definedName name="taksitcardtem_3">#REF!</definedName>
    <definedName name="taksitcardtem_4">#REF!</definedName>
    <definedName name="taksitcardtem_5">#REF!</definedName>
    <definedName name="taksitcardtem_6">#REF!</definedName>
    <definedName name="taksitcardtem_7">#REF!</definedName>
    <definedName name="taksitcartgerç2">#REF!</definedName>
    <definedName name="taksitcartgerç2_2">#REF!</definedName>
    <definedName name="taksitcartgerç2_3">#REF!</definedName>
    <definedName name="taksitcartgerç2_4">#REF!</definedName>
    <definedName name="taksitcartgerç2_5">#REF!</definedName>
    <definedName name="taksitcartgerç2_6">#REF!</definedName>
    <definedName name="taksitcartgerç2_7">#REF!</definedName>
    <definedName name="taksitödeme">#REF!</definedName>
    <definedName name="taksitödeme_2">#REF!</definedName>
    <definedName name="taksitödeme_3">#REF!</definedName>
    <definedName name="taksitödeme_4">#REF!</definedName>
    <definedName name="taksitödeme_5">#REF!</definedName>
    <definedName name="taksitödeme_6">#REF!</definedName>
    <definedName name="taksitödeme_7">#REF!</definedName>
    <definedName name="TAKSİTÖDEMEGERÇ">#REF!</definedName>
    <definedName name="TAKSİTÖDEMEGERÇ_2">#REF!</definedName>
    <definedName name="TAKSİTÖDEMEGERÇ_3">#REF!</definedName>
    <definedName name="TAKSİTÖDEMEGERÇ_4">#REF!</definedName>
    <definedName name="TAKSİTÖDEMEGERÇ_5">#REF!</definedName>
    <definedName name="TAKSİTÖDEMEGERÇ_6">#REF!</definedName>
    <definedName name="TAKSİTÖDEMEGERÇ_7">#REF!</definedName>
    <definedName name="TAKVİM">#REF!</definedName>
    <definedName name="Takvim10Ay">#REF!</definedName>
    <definedName name="Takvim10AySeçeneği" localSheetId="0">MATCH(Takvim10Ay,'Haziran Gerçekleşen Plan'!Aylar,0)</definedName>
    <definedName name="Takvim10AySeçeneği">MATCH(Takvim10Ay,Aylar,0)</definedName>
    <definedName name="Takvim11Ay">#REF!</definedName>
    <definedName name="Takvim11AySeçeneği" localSheetId="0">MATCH(Takvim11Ay,'Haziran Gerçekleşen Plan'!Aylar,0)</definedName>
    <definedName name="Takvim11AySeçeneği">MATCH(Takvim11Ay,Aylar,0)</definedName>
    <definedName name="Takvim12Ay">#REF!</definedName>
    <definedName name="Takvim12AySeçeneği" localSheetId="0">MATCH(Takvim12Ay,'Haziran Gerçekleşen Plan'!Aylar,0)</definedName>
    <definedName name="Takvim12AySeçeneği">MATCH(Takvim12Ay,Aylar,0)</definedName>
    <definedName name="Takvim1Ay">#REF!</definedName>
    <definedName name="Takvim1AySeçeneği" localSheetId="0">MATCH(Takvim1Ay,'Haziran Gerçekleşen Plan'!Aylar,0)</definedName>
    <definedName name="Takvim1AySeçeneği">MATCH(Takvim1Ay,Aylar,0)</definedName>
    <definedName name="Takvim2Ay">#REF!</definedName>
    <definedName name="Takvim2AySeçeneği" localSheetId="0">MATCH(Takvim2Ay,'Haziran Gerçekleşen Plan'!Aylar,0)</definedName>
    <definedName name="Takvim2AySeçeneği">MATCH(Takvim2Ay,Aylar,0)</definedName>
    <definedName name="Takvim3AySeçeneği" localSheetId="0">MATCH(Takvim3Ay,'Haziran Gerçekleşen Plan'!Aylar,0)</definedName>
    <definedName name="Takvim3AySeçeneği">MATCH(Takvim3Ay,Aylar,0)</definedName>
    <definedName name="Takvim4Ay">#REF!</definedName>
    <definedName name="Takvim4AySeçeneği" localSheetId="0">MATCH(Takvim4Ay,'Haziran Gerçekleşen Plan'!Aylar,0)</definedName>
    <definedName name="Takvim4AySeçeneği">MATCH(Takvim4Ay,Aylar,0)</definedName>
    <definedName name="Takvim5Ay">#REF!</definedName>
    <definedName name="Takvim5AySeçeneği" localSheetId="0">MATCH(Takvim5Ay,'Haziran Gerçekleşen Plan'!Aylar,0)</definedName>
    <definedName name="Takvim5AySeçeneği">MATCH(Takvim5Ay,Aylar,0)</definedName>
    <definedName name="Takvim6Ay">#REF!</definedName>
    <definedName name="Takvim6AySeçeneği" localSheetId="0">MATCH(Takvim6Ay,'Haziran Gerçekleşen Plan'!Aylar,0)</definedName>
    <definedName name="Takvim6AySeçeneği">MATCH(Takvim6Ay,Aylar,0)</definedName>
    <definedName name="Takvim7Ay">#REF!</definedName>
    <definedName name="Takvim7AySeçeneği" localSheetId="0">MATCH(Takvim7Ay,'Haziran Gerçekleşen Plan'!Aylar,0)</definedName>
    <definedName name="Takvim7AySeçeneği">MATCH(Takvim7Ay,Aylar,0)</definedName>
    <definedName name="Takvim8Ay">#REF!</definedName>
    <definedName name="Takvim8AySeçeneği" localSheetId="0">MATCH(Takvim8Ay,'Haziran Gerçekleşen Plan'!Aylar,0)</definedName>
    <definedName name="Takvim8AySeçeneği">MATCH(Takvim8Ay,Aylar,0)</definedName>
    <definedName name="Takvim8Yıl">#REF!</definedName>
    <definedName name="Takvim9Ay">#REF!</definedName>
    <definedName name="Takvim9AySeçeneği" localSheetId="0">MATCH(Takvim9Ay,'Haziran Gerçekleşen Plan'!Aylar,0)</definedName>
    <definedName name="Takvim9AySeçeneği">MATCH(Takvim9Ay,Aylar,0)</definedName>
    <definedName name="TAMER" localSheetId="0" hidden="1">{#N/A,#N/A,FALSE,"Sheet1 (2)"}</definedName>
    <definedName name="TAMER" hidden="1">{#N/A,#N/A,FALSE,"Sheet1 (2)"}</definedName>
    <definedName name="TAMER_1" localSheetId="0" hidden="1">{#N/A,#N/A,FALSE,"Sheet1 (2)"}</definedName>
    <definedName name="TAMER_1" hidden="1">{#N/A,#N/A,FALSE,"Sheet1 (2)"}</definedName>
    <definedName name="TAMER_1_1" localSheetId="0" hidden="1">{#N/A,#N/A,FALSE,"Sheet1 (2)"}</definedName>
    <definedName name="TAMER_1_1" hidden="1">{#N/A,#N/A,FALSE,"Sheet1 (2)"}</definedName>
    <definedName name="TAMER_1_2" localSheetId="0" hidden="1">{#N/A,#N/A,FALSE,"Sheet1 (2)"}</definedName>
    <definedName name="TAMER_1_2" hidden="1">{#N/A,#N/A,FALSE,"Sheet1 (2)"}</definedName>
    <definedName name="TAMER_1_3" localSheetId="0" hidden="1">{#N/A,#N/A,FALSE,"Sheet1 (2)"}</definedName>
    <definedName name="TAMER_1_3" hidden="1">{#N/A,#N/A,FALSE,"Sheet1 (2)"}</definedName>
    <definedName name="TAMER_2" localSheetId="0" hidden="1">{#N/A,#N/A,FALSE,"Sheet1 (2)"}</definedName>
    <definedName name="TAMER_2" hidden="1">{#N/A,#N/A,FALSE,"Sheet1 (2)"}</definedName>
    <definedName name="TAMER_2_1" localSheetId="0" hidden="1">{#N/A,#N/A,FALSE,"Sheet1 (2)"}</definedName>
    <definedName name="TAMER_2_1" hidden="1">{#N/A,#N/A,FALSE,"Sheet1 (2)"}</definedName>
    <definedName name="TAMER_2_2" localSheetId="0" hidden="1">{#N/A,#N/A,FALSE,"Sheet1 (2)"}</definedName>
    <definedName name="TAMER_2_2" hidden="1">{#N/A,#N/A,FALSE,"Sheet1 (2)"}</definedName>
    <definedName name="TAMER_3" localSheetId="0" hidden="1">{#N/A,#N/A,FALSE,"Sheet1 (2)"}</definedName>
    <definedName name="TAMER_3" hidden="1">{#N/A,#N/A,FALSE,"Sheet1 (2)"}</definedName>
    <definedName name="TAMER_4" localSheetId="0" hidden="1">{#N/A,#N/A,FALSE,"Sheet1 (2)"}</definedName>
    <definedName name="TAMER_4" hidden="1">{#N/A,#N/A,FALSE,"Sheet1 (2)"}</definedName>
    <definedName name="Target">#REF!</definedName>
    <definedName name="TARGET_1">#REF!</definedName>
    <definedName name="TARGET_2">#REF!</definedName>
    <definedName name="target_info">#REF!</definedName>
    <definedName name="Targeting">[30]Dropdown!$D$4:$D$12</definedName>
    <definedName name="Tarife">#REF!</definedName>
    <definedName name="tarife_eski">'[131]TARİFE (eski)'!$A$1:$K$62</definedName>
    <definedName name="TARIFE_TABLOSU">#REF!</definedName>
    <definedName name="TARIFE_TABLOSU_KANAL">#REF!</definedName>
    <definedName name="Tarife_TL">'[131]TARİFE (TL)'!$A$2:$B$95</definedName>
    <definedName name="tarife_usd">'[131]TARİFE (TL)'!$E$2:$F$88</definedName>
    <definedName name="tarife_yeni">'[131]TARİFE (yeni)'!$A$1:$K$64</definedName>
    <definedName name="tarifeee">#REF!</definedName>
    <definedName name="TARIH">'[74]SpotList (2)'!$C$11:$C$500</definedName>
    <definedName name="TARİH">#REF!</definedName>
    <definedName name="TARİH_1">'[132]Gazete teaser'!$B$17</definedName>
    <definedName name="TARİH_OGUN">#REF!</definedName>
    <definedName name="TARYFE">#REF!</definedName>
    <definedName name="TARYFE_2">#REF!</definedName>
    <definedName name="TARYFE_3">#REF!</definedName>
    <definedName name="TARYFE_4">#REF!</definedName>
    <definedName name="TARYFE_5">#REF!</definedName>
    <definedName name="TARYFE_6">#REF!</definedName>
    <definedName name="TARYFE_7">#REF!</definedName>
    <definedName name="tat" localSheetId="0" hidden="1">{#N/A,#N/A,FALSE,"Sheet1 (2)"}</definedName>
    <definedName name="tat" hidden="1">{#N/A,#N/A,FALSE,"Sheet1 (2)"}</definedName>
    <definedName name="tat_1" localSheetId="0" hidden="1">{#N/A,#N/A,FALSE,"Sheet1 (2)"}</definedName>
    <definedName name="tat_1" hidden="1">{#N/A,#N/A,FALSE,"Sheet1 (2)"}</definedName>
    <definedName name="tat_1_1" localSheetId="0" hidden="1">{#N/A,#N/A,FALSE,"Sheet1 (2)"}</definedName>
    <definedName name="tat_1_1" hidden="1">{#N/A,#N/A,FALSE,"Sheet1 (2)"}</definedName>
    <definedName name="tat_1_2" localSheetId="0" hidden="1">{#N/A,#N/A,FALSE,"Sheet1 (2)"}</definedName>
    <definedName name="tat_1_2" hidden="1">{#N/A,#N/A,FALSE,"Sheet1 (2)"}</definedName>
    <definedName name="tat_1_3" localSheetId="0" hidden="1">{#N/A,#N/A,FALSE,"Sheet1 (2)"}</definedName>
    <definedName name="tat_1_3" hidden="1">{#N/A,#N/A,FALSE,"Sheet1 (2)"}</definedName>
    <definedName name="tat_2" localSheetId="0" hidden="1">{#N/A,#N/A,FALSE,"Sheet1 (2)"}</definedName>
    <definedName name="tat_2" hidden="1">{#N/A,#N/A,FALSE,"Sheet1 (2)"}</definedName>
    <definedName name="tat_2_1" localSheetId="0" hidden="1">{#N/A,#N/A,FALSE,"Sheet1 (2)"}</definedName>
    <definedName name="tat_2_1" hidden="1">{#N/A,#N/A,FALSE,"Sheet1 (2)"}</definedName>
    <definedName name="tat_2_2" localSheetId="0" hidden="1">{#N/A,#N/A,FALSE,"Sheet1 (2)"}</definedName>
    <definedName name="tat_2_2" hidden="1">{#N/A,#N/A,FALSE,"Sheet1 (2)"}</definedName>
    <definedName name="tat_3" localSheetId="0" hidden="1">{#N/A,#N/A,FALSE,"Sheet1 (2)"}</definedName>
    <definedName name="tat_3" hidden="1">{#N/A,#N/A,FALSE,"Sheet1 (2)"}</definedName>
    <definedName name="tat_4" localSheetId="0" hidden="1">{#N/A,#N/A,FALSE,"Sheet1 (2)"}</definedName>
    <definedName name="tat_4" hidden="1">{#N/A,#N/A,FALSE,"Sheet1 (2)"}</definedName>
    <definedName name="tbl_ProdInfo" hidden="1">#REF!</definedName>
    <definedName name="TBRÜT">#REF!</definedName>
    <definedName name="TCAGUS">#REF!</definedName>
    <definedName name="TCAGUS_2">#REF!</definedName>
    <definedName name="TCAGUS_3">#REF!</definedName>
    <definedName name="TCAGUS_4">#REF!</definedName>
    <definedName name="TCAGUS_5">#REF!</definedName>
    <definedName name="TCAGUS_6">#REF!</definedName>
    <definedName name="TCAGUS_7">#REF!</definedName>
    <definedName name="tdfhgfjhgj" localSheetId="0" hidden="1">{"'Jan - March 2000'!$A$5:$J$46"}</definedName>
    <definedName name="tdfhgfjhgj" hidden="1">{"'Jan - March 2000'!$A$5:$J$46"}</definedName>
    <definedName name="TEK">#REF!</definedName>
    <definedName name="TEK_2">#REF!</definedName>
    <definedName name="TEK_3">#REF!</definedName>
    <definedName name="TEK_4">#REF!</definedName>
    <definedName name="TEK_5">#REF!</definedName>
    <definedName name="TEK_6">#REF!</definedName>
    <definedName name="TEK_7">#REF!</definedName>
    <definedName name="TEKİRDAĞ">#REF!</definedName>
    <definedName name="teknosakşma2">#N/A</definedName>
    <definedName name="TELEMONİTÖR">#REF!</definedName>
    <definedName name="TELEMONİTÖR_2">#REF!</definedName>
    <definedName name="TELEMONİTÖR_3">#REF!</definedName>
    <definedName name="TELEMONİTÖR_4">#REF!</definedName>
    <definedName name="TELEMONİTÖR_5">#REF!</definedName>
    <definedName name="TELEMONİTÖR_6">#REF!</definedName>
    <definedName name="TELEMONİTÖR_7">#REF!</definedName>
    <definedName name="TELEMONİTÖR2">#REF!</definedName>
    <definedName name="TELESPOT">#REF!</definedName>
    <definedName name="TELESPOT_2">#REF!</definedName>
    <definedName name="TELESPOT_3">#REF!</definedName>
    <definedName name="TELESPOT_4">#REF!</definedName>
    <definedName name="TELESPOT_5">#REF!</definedName>
    <definedName name="TELESPOT_6">#REF!</definedName>
    <definedName name="TELESPOT_7">#REF!</definedName>
    <definedName name="Televizyon" hidden="1">#REF!</definedName>
    <definedName name="TEMMUZRADYO">#REF!</definedName>
    <definedName name="TEMMUZTV">#REF!</definedName>
    <definedName name="teste">"Anno  "&amp;[133]!Anno-1</definedName>
    <definedName name="teste2">[133]Ref!Mese&amp;" "&amp;[133]!Anno</definedName>
    <definedName name="testing">#REF!</definedName>
    <definedName name="TextRefCopyRangeCount" hidden="1">1</definedName>
    <definedName name="tfhfg" localSheetId="0" hidden="1">{"'Jan - March 2000'!$A$5:$J$46"}</definedName>
    <definedName name="tfhfg" hidden="1">{"'Jan - March 2000'!$A$5:$J$46"}</definedName>
    <definedName name="TFSAD" localSheetId="0" hidden="1">{#N/A,#N/A,FALSE,"Sheet1 (2)"}</definedName>
    <definedName name="TFSAD" hidden="1">{#N/A,#N/A,FALSE,"Sheet1 (2)"}</definedName>
    <definedName name="TFSAD_1" localSheetId="0" hidden="1">{#N/A,#N/A,FALSE,"Sheet1 (2)"}</definedName>
    <definedName name="TFSAD_1" hidden="1">{#N/A,#N/A,FALSE,"Sheet1 (2)"}</definedName>
    <definedName name="TFSAD_1_1" localSheetId="0" hidden="1">{#N/A,#N/A,FALSE,"Sheet1 (2)"}</definedName>
    <definedName name="TFSAD_1_1" hidden="1">{#N/A,#N/A,FALSE,"Sheet1 (2)"}</definedName>
    <definedName name="TFSAD_1_2" localSheetId="0" hidden="1">{#N/A,#N/A,FALSE,"Sheet1 (2)"}</definedName>
    <definedName name="TFSAD_1_2" hidden="1">{#N/A,#N/A,FALSE,"Sheet1 (2)"}</definedName>
    <definedName name="TFSAD_1_3" localSheetId="0" hidden="1">{#N/A,#N/A,FALSE,"Sheet1 (2)"}</definedName>
    <definedName name="TFSAD_1_3" hidden="1">{#N/A,#N/A,FALSE,"Sheet1 (2)"}</definedName>
    <definedName name="TFSAD_2" localSheetId="0" hidden="1">{#N/A,#N/A,FALSE,"Sheet1 (2)"}</definedName>
    <definedName name="TFSAD_2" hidden="1">{#N/A,#N/A,FALSE,"Sheet1 (2)"}</definedName>
    <definedName name="TFSAD_2_1" localSheetId="0" hidden="1">{#N/A,#N/A,FALSE,"Sheet1 (2)"}</definedName>
    <definedName name="TFSAD_2_1" hidden="1">{#N/A,#N/A,FALSE,"Sheet1 (2)"}</definedName>
    <definedName name="TFSAD_2_2" localSheetId="0" hidden="1">{#N/A,#N/A,FALSE,"Sheet1 (2)"}</definedName>
    <definedName name="TFSAD_2_2" hidden="1">{#N/A,#N/A,FALSE,"Sheet1 (2)"}</definedName>
    <definedName name="TFSAD_3" localSheetId="0" hidden="1">{#N/A,#N/A,FALSE,"Sheet1 (2)"}</definedName>
    <definedName name="TFSAD_3" hidden="1">{#N/A,#N/A,FALSE,"Sheet1 (2)"}</definedName>
    <definedName name="TFSAD_4" localSheetId="0" hidden="1">{#N/A,#N/A,FALSE,"Sheet1 (2)"}</definedName>
    <definedName name="TFSAD_4" hidden="1">{#N/A,#N/A,FALSE,"Sheet1 (2)"}</definedName>
    <definedName name="tgde" localSheetId="0" hidden="1">{#N/A,#N/A,FALSE,"Sheet1 (2)"}</definedName>
    <definedName name="tgde" hidden="1">{#N/A,#N/A,FALSE,"Sheet1 (2)"}</definedName>
    <definedName name="tgde_1" localSheetId="0" hidden="1">{#N/A,#N/A,FALSE,"Sheet1 (2)"}</definedName>
    <definedName name="tgde_1" hidden="1">{#N/A,#N/A,FALSE,"Sheet1 (2)"}</definedName>
    <definedName name="tgde_1_1" localSheetId="0" hidden="1">{#N/A,#N/A,FALSE,"Sheet1 (2)"}</definedName>
    <definedName name="tgde_1_1" hidden="1">{#N/A,#N/A,FALSE,"Sheet1 (2)"}</definedName>
    <definedName name="tgde_1_2" localSheetId="0" hidden="1">{#N/A,#N/A,FALSE,"Sheet1 (2)"}</definedName>
    <definedName name="tgde_1_2" hidden="1">{#N/A,#N/A,FALSE,"Sheet1 (2)"}</definedName>
    <definedName name="tgde_1_3" localSheetId="0" hidden="1">{#N/A,#N/A,FALSE,"Sheet1 (2)"}</definedName>
    <definedName name="tgde_1_3" hidden="1">{#N/A,#N/A,FALSE,"Sheet1 (2)"}</definedName>
    <definedName name="tgde_2" localSheetId="0" hidden="1">{#N/A,#N/A,FALSE,"Sheet1 (2)"}</definedName>
    <definedName name="tgde_2" hidden="1">{#N/A,#N/A,FALSE,"Sheet1 (2)"}</definedName>
    <definedName name="tgde_2_1" localSheetId="0" hidden="1">{#N/A,#N/A,FALSE,"Sheet1 (2)"}</definedName>
    <definedName name="tgde_2_1" hidden="1">{#N/A,#N/A,FALSE,"Sheet1 (2)"}</definedName>
    <definedName name="tgde_2_2" localSheetId="0" hidden="1">{#N/A,#N/A,FALSE,"Sheet1 (2)"}</definedName>
    <definedName name="tgde_2_2" hidden="1">{#N/A,#N/A,FALSE,"Sheet1 (2)"}</definedName>
    <definedName name="tgde_3" localSheetId="0" hidden="1">{#N/A,#N/A,FALSE,"Sheet1 (2)"}</definedName>
    <definedName name="tgde_3" hidden="1">{#N/A,#N/A,FALSE,"Sheet1 (2)"}</definedName>
    <definedName name="tgde_4" localSheetId="0" hidden="1">{#N/A,#N/A,FALSE,"Sheet1 (2)"}</definedName>
    <definedName name="tgde_4" hidden="1">{#N/A,#N/A,FALSE,"Sheet1 (2)"}</definedName>
    <definedName name="TGDJHGFJ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GDJHGFJ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GR_BRÜT">#REF!</definedName>
    <definedName name="TGR_NET">#REF!</definedName>
    <definedName name="TGRT" localSheetId="0">[36]Programlar!$A$435:$B$487</definedName>
    <definedName name="TGRT">[82]Programlar!$A$435:$B$487</definedName>
    <definedName name="TGRTVW">#REF!</definedName>
    <definedName name="TGRTYAZ">#REF!</definedName>
    <definedName name="Th.cp_25">37.75</definedName>
    <definedName name="Th.cp150.499">24.6</definedName>
    <definedName name="Th.cp25.75">31.3</definedName>
    <definedName name="Th.cp500">22.3</definedName>
    <definedName name="Th.cp75.149">27.5</definedName>
    <definedName name="third">#REF!</definedName>
    <definedName name="third_party_ad_server">#REF!</definedName>
    <definedName name="thş" localSheetId="0" hidden="1">{#N/A,#N/A,FALSE,"Sheet1 (2)"}</definedName>
    <definedName name="thş" hidden="1">{#N/A,#N/A,FALSE,"Sheet1 (2)"}</definedName>
    <definedName name="thş_1" localSheetId="0" hidden="1">{#N/A,#N/A,FALSE,"Sheet1 (2)"}</definedName>
    <definedName name="thş_1" hidden="1">{#N/A,#N/A,FALSE,"Sheet1 (2)"}</definedName>
    <definedName name="thş_1_1" localSheetId="0" hidden="1">{#N/A,#N/A,FALSE,"Sheet1 (2)"}</definedName>
    <definedName name="thş_1_1" hidden="1">{#N/A,#N/A,FALSE,"Sheet1 (2)"}</definedName>
    <definedName name="thş_1_2" localSheetId="0" hidden="1">{#N/A,#N/A,FALSE,"Sheet1 (2)"}</definedName>
    <definedName name="thş_1_2" hidden="1">{#N/A,#N/A,FALSE,"Sheet1 (2)"}</definedName>
    <definedName name="thş_1_3" localSheetId="0" hidden="1">{#N/A,#N/A,FALSE,"Sheet1 (2)"}</definedName>
    <definedName name="thş_1_3" hidden="1">{#N/A,#N/A,FALSE,"Sheet1 (2)"}</definedName>
    <definedName name="thş_2" localSheetId="0" hidden="1">{#N/A,#N/A,FALSE,"Sheet1 (2)"}</definedName>
    <definedName name="thş_2" hidden="1">{#N/A,#N/A,FALSE,"Sheet1 (2)"}</definedName>
    <definedName name="thş_2_1" localSheetId="0" hidden="1">{#N/A,#N/A,FALSE,"Sheet1 (2)"}</definedName>
    <definedName name="thş_2_1" hidden="1">{#N/A,#N/A,FALSE,"Sheet1 (2)"}</definedName>
    <definedName name="thş_2_2" localSheetId="0" hidden="1">{#N/A,#N/A,FALSE,"Sheet1 (2)"}</definedName>
    <definedName name="thş_2_2" hidden="1">{#N/A,#N/A,FALSE,"Sheet1 (2)"}</definedName>
    <definedName name="thş_3" localSheetId="0" hidden="1">{#N/A,#N/A,FALSE,"Sheet1 (2)"}</definedName>
    <definedName name="thş_3" hidden="1">{#N/A,#N/A,FALSE,"Sheet1 (2)"}</definedName>
    <definedName name="thş_4" localSheetId="0" hidden="1">{#N/A,#N/A,FALSE,"Sheet1 (2)"}</definedName>
    <definedName name="thş_4" hidden="1">{#N/A,#N/A,FALSE,"Sheet1 (2)"}</definedName>
    <definedName name="thytr" localSheetId="0" hidden="1">{#N/A,#N/A,FALSE,"Sheet1 (2)"}</definedName>
    <definedName name="thytr" hidden="1">{#N/A,#N/A,FALSE,"Sheet1 (2)"}</definedName>
    <definedName name="thytr_1" localSheetId="0" hidden="1">{#N/A,#N/A,FALSE,"Sheet1 (2)"}</definedName>
    <definedName name="thytr_1" hidden="1">{#N/A,#N/A,FALSE,"Sheet1 (2)"}</definedName>
    <definedName name="thytr_1_1" localSheetId="0" hidden="1">{#N/A,#N/A,FALSE,"Sheet1 (2)"}</definedName>
    <definedName name="thytr_1_1" hidden="1">{#N/A,#N/A,FALSE,"Sheet1 (2)"}</definedName>
    <definedName name="thytr_1_2" localSheetId="0" hidden="1">{#N/A,#N/A,FALSE,"Sheet1 (2)"}</definedName>
    <definedName name="thytr_1_2" hidden="1">{#N/A,#N/A,FALSE,"Sheet1 (2)"}</definedName>
    <definedName name="thytr_1_3" localSheetId="0" hidden="1">{#N/A,#N/A,FALSE,"Sheet1 (2)"}</definedName>
    <definedName name="thytr_1_3" hidden="1">{#N/A,#N/A,FALSE,"Sheet1 (2)"}</definedName>
    <definedName name="thytr_2" localSheetId="0" hidden="1">{#N/A,#N/A,FALSE,"Sheet1 (2)"}</definedName>
    <definedName name="thytr_2" hidden="1">{#N/A,#N/A,FALSE,"Sheet1 (2)"}</definedName>
    <definedName name="thytr_2_1" localSheetId="0" hidden="1">{#N/A,#N/A,FALSE,"Sheet1 (2)"}</definedName>
    <definedName name="thytr_2_1" hidden="1">{#N/A,#N/A,FALSE,"Sheet1 (2)"}</definedName>
    <definedName name="thytr_2_2" localSheetId="0" hidden="1">{#N/A,#N/A,FALSE,"Sheet1 (2)"}</definedName>
    <definedName name="thytr_2_2" hidden="1">{#N/A,#N/A,FALSE,"Sheet1 (2)"}</definedName>
    <definedName name="thytr_3" localSheetId="0" hidden="1">{#N/A,#N/A,FALSE,"Sheet1 (2)"}</definedName>
    <definedName name="thytr_3" hidden="1">{#N/A,#N/A,FALSE,"Sheet1 (2)"}</definedName>
    <definedName name="thytr_4" localSheetId="0" hidden="1">{#N/A,#N/A,FALSE,"Sheet1 (2)"}</definedName>
    <definedName name="thytr_4" hidden="1">{#N/A,#N/A,FALSE,"Sheet1 (2)"}</definedName>
    <definedName name="TI_AMO">#N/A</definedName>
    <definedName name="Tipolojiler">[134]Copies!$K$12:$K$21</definedName>
    <definedName name="tito">#REF!</definedName>
    <definedName name="tito_2">#REF!</definedName>
    <definedName name="tito_3">#REF!</definedName>
    <definedName name="tito_4">#REF!</definedName>
    <definedName name="tito_5">#REF!</definedName>
    <definedName name="tito_6">#REF!</definedName>
    <definedName name="tito_7">#REF!</definedName>
    <definedName name="Titolo">#REF!</definedName>
    <definedName name="TL">#REF!</definedName>
    <definedName name="TLrpodveAHKdahil">#REF!</definedName>
    <definedName name="TM">'[74]SpotList (2)'!$R$11:$R$500</definedName>
    <definedName name="TMAC">#REF!</definedName>
    <definedName name="TMEDYAPAZARLAMA">#REF!</definedName>
    <definedName name="TNET">#REF!</definedName>
    <definedName name="TOKAT">#REF!</definedName>
    <definedName name="token">#REF!</definedName>
    <definedName name="Tool">#REF!</definedName>
    <definedName name="tools">'[39]ED Upper Funnel'!#REF!</definedName>
    <definedName name="Topkek" localSheetId="0" hidden="1">{#N/A,#N/A,FALSE,"Sheet1 (2)"}</definedName>
    <definedName name="Topkek" hidden="1">{#N/A,#N/A,FALSE,"Sheet1 (2)"}</definedName>
    <definedName name="Topkek_1" localSheetId="0" hidden="1">{#N/A,#N/A,FALSE,"Sheet1 (2)"}</definedName>
    <definedName name="Topkek_1" hidden="1">{#N/A,#N/A,FALSE,"Sheet1 (2)"}</definedName>
    <definedName name="TOPLAM">#REF!</definedName>
    <definedName name="Toplam_Brut">#REF!</definedName>
    <definedName name="Toplam_GRP">#REF!</definedName>
    <definedName name="Toplam_Indirim">#REF!</definedName>
    <definedName name="Toplam_Net">#REF!</definedName>
    <definedName name="Toplam_Spot">#REF!</definedName>
    <definedName name="Toplam_Sure">#REF!</definedName>
    <definedName name="Toplam_Toplam_Sure">#REF!</definedName>
    <definedName name="TOPLAM1">#REF!</definedName>
    <definedName name="TOPLAM10">#REF!</definedName>
    <definedName name="TOPLAM11">#REF!</definedName>
    <definedName name="TOPLAM12">#REF!</definedName>
    <definedName name="TOPLAM13">#REF!</definedName>
    <definedName name="TOPLAM2">#REF!</definedName>
    <definedName name="TOPLAM2000">#REF!</definedName>
    <definedName name="TOPLAM3">#REF!</definedName>
    <definedName name="TOPLAM4">#REF!</definedName>
    <definedName name="TOPLAM5">#REF!</definedName>
    <definedName name="TOPLAM6">#REF!</definedName>
    <definedName name="TOPLAM7">#REF!</definedName>
    <definedName name="TOPLAM8">#REF!</definedName>
    <definedName name="TOPLAM9">#REF!</definedName>
    <definedName name="TOPLAM99">#REF!</definedName>
    <definedName name="TOPLAMBİM2000">#REF!</definedName>
    <definedName name="TOPLAMBİŞ2000">#REF!</definedName>
    <definedName name="TOPLAMKUM99">#REF!</definedName>
    <definedName name="TOPLAMKÜM99">#REF!</definedName>
    <definedName name="TOPLAMTROY2000">#REF!</definedName>
    <definedName name="TOPTROY2000">#REF!</definedName>
    <definedName name="TOPTUBORG2000">#REF!</definedName>
    <definedName name="Total">#REF!</definedName>
    <definedName name="total_planned_cost">#REF!</definedName>
    <definedName name="TotalGrossCost">'[21]Proposal Summary'!$D$7</definedName>
    <definedName name="TotalNetCost">'[21]Proposal Summary'!$D$13</definedName>
    <definedName name="TotalUnits">'[21]Proposal Summary'!$D$6</definedName>
    <definedName name="toz">#REF!</definedName>
    <definedName name="toz_2">#REF!</definedName>
    <definedName name="toz_3">#REF!</definedName>
    <definedName name="toz_4">#REF!</definedName>
    <definedName name="toz_5">#REF!</definedName>
    <definedName name="toz_6">#REF!</definedName>
    <definedName name="toz_7">#REF!</definedName>
    <definedName name="TOZ2_2">#REF!</definedName>
    <definedName name="TOZ2_3">#REF!</definedName>
    <definedName name="TOZ2_4">#REF!</definedName>
    <definedName name="TOZ2_5">#REF!</definedName>
    <definedName name="TOZ2_6">#REF!</definedName>
    <definedName name="TOZ2_7">#REF!</definedName>
    <definedName name="TR">#REF!</definedName>
    <definedName name="TRABZON">#REF!</definedName>
    <definedName name="tradecnet">#REF!</definedName>
    <definedName name="transit">#N/A</definedName>
    <definedName name="transPO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rans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ranssr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ranss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ravel">#REF!</definedName>
    <definedName name="TRE">#REF!</definedName>
    <definedName name="tressad" localSheetId="0" hidden="1">{#N/A,#N/A,FALSE,"Sheet1 (2)"}</definedName>
    <definedName name="tressad" hidden="1">{#N/A,#N/A,FALSE,"Sheet1 (2)"}</definedName>
    <definedName name="tressad_1" localSheetId="0" hidden="1">{#N/A,#N/A,FALSE,"Sheet1 (2)"}</definedName>
    <definedName name="tressad_1" hidden="1">{#N/A,#N/A,FALSE,"Sheet1 (2)"}</definedName>
    <definedName name="tressad_1_1" localSheetId="0" hidden="1">{#N/A,#N/A,FALSE,"Sheet1 (2)"}</definedName>
    <definedName name="tressad_1_1" hidden="1">{#N/A,#N/A,FALSE,"Sheet1 (2)"}</definedName>
    <definedName name="tressad_1_2" localSheetId="0" hidden="1">{#N/A,#N/A,FALSE,"Sheet1 (2)"}</definedName>
    <definedName name="tressad_1_2" hidden="1">{#N/A,#N/A,FALSE,"Sheet1 (2)"}</definedName>
    <definedName name="tressad_1_3" localSheetId="0" hidden="1">{#N/A,#N/A,FALSE,"Sheet1 (2)"}</definedName>
    <definedName name="tressad_1_3" hidden="1">{#N/A,#N/A,FALSE,"Sheet1 (2)"}</definedName>
    <definedName name="tressad_2" localSheetId="0" hidden="1">{#N/A,#N/A,FALSE,"Sheet1 (2)"}</definedName>
    <definedName name="tressad_2" hidden="1">{#N/A,#N/A,FALSE,"Sheet1 (2)"}</definedName>
    <definedName name="tressad_2_1" localSheetId="0" hidden="1">{#N/A,#N/A,FALSE,"Sheet1 (2)"}</definedName>
    <definedName name="tressad_2_1" hidden="1">{#N/A,#N/A,FALSE,"Sheet1 (2)"}</definedName>
    <definedName name="tressad_2_2" localSheetId="0" hidden="1">{#N/A,#N/A,FALSE,"Sheet1 (2)"}</definedName>
    <definedName name="tressad_2_2" hidden="1">{#N/A,#N/A,FALSE,"Sheet1 (2)"}</definedName>
    <definedName name="tressad_3" localSheetId="0" hidden="1">{#N/A,#N/A,FALSE,"Sheet1 (2)"}</definedName>
    <definedName name="tressad_3" hidden="1">{#N/A,#N/A,FALSE,"Sheet1 (2)"}</definedName>
    <definedName name="tressad_4" localSheetId="0" hidden="1">{#N/A,#N/A,FALSE,"Sheet1 (2)"}</definedName>
    <definedName name="tressad_4" hidden="1">{#N/A,#N/A,FALSE,"Sheet1 (2)"}</definedName>
    <definedName name="TRİPADVISOR">#REF!</definedName>
    <definedName name="TRM">#REF!</definedName>
    <definedName name="TROY">#REF!</definedName>
    <definedName name="TROYKÜM99">#REF!</definedName>
    <definedName name="TROYTOP">#REF!</definedName>
    <definedName name="TRT" localSheetId="0">[96]Kategoriler!$A$415:$B$498</definedName>
    <definedName name="TRT">[97]Kategoriler!$A$415:$B$498</definedName>
    <definedName name="TRT_BRÜT">#REF!</definedName>
    <definedName name="TRT_NET">#REF!</definedName>
    <definedName name="TRT1_2">#REF!</definedName>
    <definedName name="TRT1_3">#REF!</definedName>
    <definedName name="TRT1_4">#REF!</definedName>
    <definedName name="TRT1_5">#REF!</definedName>
    <definedName name="TRT1_6">#REF!</definedName>
    <definedName name="TRT1_7">#REF!</definedName>
    <definedName name="TRTANKARA">#REF!</definedName>
    <definedName name="TRTVW">#REF!</definedName>
    <definedName name="try" localSheetId="0" hidden="1">{#N/A,#N/A,FALSE,"Sheet1 (2)"}</definedName>
    <definedName name="try" hidden="1">{#N/A,#N/A,FALSE,"Sheet1 (2)"}</definedName>
    <definedName name="try_1" localSheetId="0" hidden="1">{#N/A,#N/A,FALSE,"Sheet1 (2)"}</definedName>
    <definedName name="try_1" hidden="1">{#N/A,#N/A,FALSE,"Sheet1 (2)"}</definedName>
    <definedName name="try_1_1" localSheetId="0" hidden="1">{#N/A,#N/A,FALSE,"Sheet1 (2)"}</definedName>
    <definedName name="try_1_1" hidden="1">{#N/A,#N/A,FALSE,"Sheet1 (2)"}</definedName>
    <definedName name="try_1_2" localSheetId="0" hidden="1">{#N/A,#N/A,FALSE,"Sheet1 (2)"}</definedName>
    <definedName name="try_1_2" hidden="1">{#N/A,#N/A,FALSE,"Sheet1 (2)"}</definedName>
    <definedName name="try_1_3" localSheetId="0" hidden="1">{#N/A,#N/A,FALSE,"Sheet1 (2)"}</definedName>
    <definedName name="try_1_3" hidden="1">{#N/A,#N/A,FALSE,"Sheet1 (2)"}</definedName>
    <definedName name="try_2" localSheetId="0" hidden="1">{#N/A,#N/A,FALSE,"Sheet1 (2)"}</definedName>
    <definedName name="try_2" hidden="1">{#N/A,#N/A,FALSE,"Sheet1 (2)"}</definedName>
    <definedName name="try_2_1" localSheetId="0" hidden="1">{#N/A,#N/A,FALSE,"Sheet1 (2)"}</definedName>
    <definedName name="try_2_1" hidden="1">{#N/A,#N/A,FALSE,"Sheet1 (2)"}</definedName>
    <definedName name="try_2_2" localSheetId="0" hidden="1">{#N/A,#N/A,FALSE,"Sheet1 (2)"}</definedName>
    <definedName name="try_2_2" hidden="1">{#N/A,#N/A,FALSE,"Sheet1 (2)"}</definedName>
    <definedName name="try_3" localSheetId="0" hidden="1">{#N/A,#N/A,FALSE,"Sheet1 (2)"}</definedName>
    <definedName name="try_3" hidden="1">{#N/A,#N/A,FALSE,"Sheet1 (2)"}</definedName>
    <definedName name="try_4" localSheetId="0" hidden="1">{#N/A,#N/A,FALSE,"Sheet1 (2)"}</definedName>
    <definedName name="try_4" hidden="1">{#N/A,#N/A,FALSE,"Sheet1 (2)"}</definedName>
    <definedName name="TS">'[74]SpotList (2)'!$P$11:$P$500</definedName>
    <definedName name="TSÜRE">#REF!</definedName>
    <definedName name="TTNET">#REF!</definedName>
    <definedName name="TTTTT">#REF!</definedName>
    <definedName name="TTTTTTTT">#REF!</definedName>
    <definedName name="TU.cp_25">50.3</definedName>
    <definedName name="TU.cp150.499">32.8</definedName>
    <definedName name="TU.cp25.75">43.85</definedName>
    <definedName name="TU.cp500">29.8</definedName>
    <definedName name="TU.cp75.149">37.5</definedName>
    <definedName name="tuba">#REF!</definedName>
    <definedName name="TUBORG">#REF!</definedName>
    <definedName name="TUNCELİ">#REF!</definedName>
    <definedName name="TUR">#REF!</definedName>
    <definedName name="TÜR">#REF!</definedName>
    <definedName name="turk.net">#REF!</definedName>
    <definedName name="turkinternet">#REF!</definedName>
    <definedName name="TURKUVAZ">#REF!</definedName>
    <definedName name="TUTAR">#REF!</definedName>
    <definedName name="TUTAR_2">#REF!</definedName>
    <definedName name="TUTAR_3">#REF!</definedName>
    <definedName name="TUTAR_4">#REF!</definedName>
    <definedName name="TUTAR_5">#REF!</definedName>
    <definedName name="TUTAR_6">#REF!</definedName>
    <definedName name="TUTAR_7">#REF!</definedName>
    <definedName name="tutku" localSheetId="0" hidden="1">{#N/A,#N/A,FALSE,"Sheet1 (2)"}</definedName>
    <definedName name="tutku" hidden="1">{#N/A,#N/A,FALSE,"Sheet1 (2)"}</definedName>
    <definedName name="tutku_1" localSheetId="0" hidden="1">{#N/A,#N/A,FALSE,"Sheet1 (2)"}</definedName>
    <definedName name="tutku_1" hidden="1">{#N/A,#N/A,FALSE,"Sheet1 (2)"}</definedName>
    <definedName name="tutku_1_1" localSheetId="0" hidden="1">{#N/A,#N/A,FALSE,"Sheet1 (2)"}</definedName>
    <definedName name="tutku_1_1" hidden="1">{#N/A,#N/A,FALSE,"Sheet1 (2)"}</definedName>
    <definedName name="tutku_1_2" localSheetId="0" hidden="1">{#N/A,#N/A,FALSE,"Sheet1 (2)"}</definedName>
    <definedName name="tutku_1_2" hidden="1">{#N/A,#N/A,FALSE,"Sheet1 (2)"}</definedName>
    <definedName name="tutku_1_3" localSheetId="0" hidden="1">{#N/A,#N/A,FALSE,"Sheet1 (2)"}</definedName>
    <definedName name="tutku_1_3" hidden="1">{#N/A,#N/A,FALSE,"Sheet1 (2)"}</definedName>
    <definedName name="tutku_2" localSheetId="0" hidden="1">{#N/A,#N/A,FALSE,"Sheet1 (2)"}</definedName>
    <definedName name="tutku_2" hidden="1">{#N/A,#N/A,FALSE,"Sheet1 (2)"}</definedName>
    <definedName name="tutku_2_1" localSheetId="0" hidden="1">{#N/A,#N/A,FALSE,"Sheet1 (2)"}</definedName>
    <definedName name="tutku_2_1" hidden="1">{#N/A,#N/A,FALSE,"Sheet1 (2)"}</definedName>
    <definedName name="tutku_2_2" localSheetId="0" hidden="1">{#N/A,#N/A,FALSE,"Sheet1 (2)"}</definedName>
    <definedName name="tutku_2_2" hidden="1">{#N/A,#N/A,FALSE,"Sheet1 (2)"}</definedName>
    <definedName name="tutku_3" localSheetId="0" hidden="1">{#N/A,#N/A,FALSE,"Sheet1 (2)"}</definedName>
    <definedName name="tutku_3" hidden="1">{#N/A,#N/A,FALSE,"Sheet1 (2)"}</definedName>
    <definedName name="tutku_4" localSheetId="0" hidden="1">{#N/A,#N/A,FALSE,"Sheet1 (2)"}</definedName>
    <definedName name="tutku_4" hidden="1">{#N/A,#N/A,FALSE,"Sheet1 (2)"}</definedName>
    <definedName name="TV">#REF!</definedName>
    <definedName name="TV_06">#REF!</definedName>
    <definedName name="TV_07">#REF!</definedName>
    <definedName name="TV_08">#REF!</definedName>
    <definedName name="TV_1" localSheetId="0" hidden="1">{#N/A,#N/A,FALSE,"Sheet1 (2)"}</definedName>
    <definedName name="TV_1" hidden="1">{#N/A,#N/A,FALSE,"Sheet1 (2)"}</definedName>
    <definedName name="TV_1_1" localSheetId="0" hidden="1">{#N/A,#N/A,FALSE,"Sheet1 (2)"}</definedName>
    <definedName name="TV_1_1" hidden="1">{#N/A,#N/A,FALSE,"Sheet1 (2)"}</definedName>
    <definedName name="TV_1_2" localSheetId="0" hidden="1">{#N/A,#N/A,FALSE,"Sheet1 (2)"}</definedName>
    <definedName name="TV_1_2" hidden="1">{#N/A,#N/A,FALSE,"Sheet1 (2)"}</definedName>
    <definedName name="TV_1_3" localSheetId="0" hidden="1">{#N/A,#N/A,FALSE,"Sheet1 (2)"}</definedName>
    <definedName name="TV_1_3" hidden="1">{#N/A,#N/A,FALSE,"Sheet1 (2)"}</definedName>
    <definedName name="TV_2" localSheetId="0" hidden="1">{#N/A,#N/A,FALSE,"Sheet1 (2)"}</definedName>
    <definedName name="TV_2" hidden="1">{#N/A,#N/A,FALSE,"Sheet1 (2)"}</definedName>
    <definedName name="TV_2_1" localSheetId="0" hidden="1">{#N/A,#N/A,FALSE,"Sheet1 (2)"}</definedName>
    <definedName name="TV_2_1" hidden="1">{#N/A,#N/A,FALSE,"Sheet1 (2)"}</definedName>
    <definedName name="TV_2_2" localSheetId="0" hidden="1">{#N/A,#N/A,FALSE,"Sheet1 (2)"}</definedName>
    <definedName name="TV_2_2" hidden="1">{#N/A,#N/A,FALSE,"Sheet1 (2)"}</definedName>
    <definedName name="TV_3" localSheetId="0" hidden="1">{#N/A,#N/A,FALSE,"Sheet1 (2)"}</definedName>
    <definedName name="TV_3" hidden="1">{#N/A,#N/A,FALSE,"Sheet1 (2)"}</definedName>
    <definedName name="TV_4" localSheetId="0" hidden="1">{#N/A,#N/A,FALSE,"Sheet1 (2)"}</definedName>
    <definedName name="TV_4" hidden="1">{#N/A,#N/A,FALSE,"Sheet1 (2)"}</definedName>
    <definedName name="TV_8">'[135]Ölçülen Spotlist'!#REF!</definedName>
    <definedName name="TV8_2">#REF!</definedName>
    <definedName name="TV8_3">#REF!</definedName>
    <definedName name="TV8_4">#REF!</definedName>
    <definedName name="TV8_5">#REF!</definedName>
    <definedName name="TV8_6">#REF!</definedName>
    <definedName name="TV8_7">#REF!</definedName>
    <definedName name="TVGRPS">"Grafico 16"</definedName>
    <definedName name="tvkap">#REF!</definedName>
    <definedName name="TVNET" hidden="1">#REF!</definedName>
    <definedName name="tvpat">#REF!</definedName>
    <definedName name="TWERT" localSheetId="0" hidden="1">{"'Jan - March 2000'!$A$5:$J$46"}</definedName>
    <definedName name="TWERT" hidden="1">{"'Jan - March 2000'!$A$5:$J$46"}</definedName>
    <definedName name="TWITTER">#REF!</definedName>
    <definedName name="tyetyw" localSheetId="0" hidden="1">{#N/A,#N/A,FALSE,"Sheet1 (2)"}</definedName>
    <definedName name="tyetyw" hidden="1">{#N/A,#N/A,FALSE,"Sheet1 (2)"}</definedName>
    <definedName name="tyetywy" localSheetId="0" hidden="1">{#N/A,#N/A,FALSE,"Sheet1 (2)"}</definedName>
    <definedName name="tyetywy" hidden="1">{#N/A,#N/A,FALSE,"Sheet1 (2)"}</definedName>
    <definedName name="tyetywy_1" localSheetId="0" hidden="1">{#N/A,#N/A,FALSE,"Sheet1 (2)"}</definedName>
    <definedName name="tyetywy_1" hidden="1">{#N/A,#N/A,FALSE,"Sheet1 (2)"}</definedName>
    <definedName name="tyetywy_1_1" localSheetId="0" hidden="1">{#N/A,#N/A,FALSE,"Sheet1 (2)"}</definedName>
    <definedName name="tyetywy_1_1" hidden="1">{#N/A,#N/A,FALSE,"Sheet1 (2)"}</definedName>
    <definedName name="tyetywy_1_2" localSheetId="0" hidden="1">{#N/A,#N/A,FALSE,"Sheet1 (2)"}</definedName>
    <definedName name="tyetywy_1_2" hidden="1">{#N/A,#N/A,FALSE,"Sheet1 (2)"}</definedName>
    <definedName name="tyetywy_1_3" localSheetId="0" hidden="1">{#N/A,#N/A,FALSE,"Sheet1 (2)"}</definedName>
    <definedName name="tyetywy_1_3" hidden="1">{#N/A,#N/A,FALSE,"Sheet1 (2)"}</definedName>
    <definedName name="tyetywy_2" localSheetId="0" hidden="1">{#N/A,#N/A,FALSE,"Sheet1 (2)"}</definedName>
    <definedName name="tyetywy_2" hidden="1">{#N/A,#N/A,FALSE,"Sheet1 (2)"}</definedName>
    <definedName name="tyetywy_2_1" localSheetId="0" hidden="1">{#N/A,#N/A,FALSE,"Sheet1 (2)"}</definedName>
    <definedName name="tyetywy_2_1" hidden="1">{#N/A,#N/A,FALSE,"Sheet1 (2)"}</definedName>
    <definedName name="tyetywy_2_2" localSheetId="0" hidden="1">{#N/A,#N/A,FALSE,"Sheet1 (2)"}</definedName>
    <definedName name="tyetywy_2_2" hidden="1">{#N/A,#N/A,FALSE,"Sheet1 (2)"}</definedName>
    <definedName name="tyetywy_3" localSheetId="0" hidden="1">{#N/A,#N/A,FALSE,"Sheet1 (2)"}</definedName>
    <definedName name="tyetywy_3" hidden="1">{#N/A,#N/A,FALSE,"Sheet1 (2)"}</definedName>
    <definedName name="tyetywy_4" localSheetId="0" hidden="1">{#N/A,#N/A,FALSE,"Sheet1 (2)"}</definedName>
    <definedName name="tyetywy_4" hidden="1">{#N/A,#N/A,FALSE,"Sheet1 (2)"}</definedName>
    <definedName name="type">#REF!</definedName>
    <definedName name="type_list">[51]Meta!$N$11:$N$18</definedName>
    <definedName name="Typologies">#REF!</definedName>
    <definedName name="Typologies_2">#REF!</definedName>
    <definedName name="Typologies_3">#REF!</definedName>
    <definedName name="Typologies_4">#REF!</definedName>
    <definedName name="Typologies_5">#REF!</definedName>
    <definedName name="Typologies_6">#REF!</definedName>
    <definedName name="Typologies_7">#REF!</definedName>
    <definedName name="tytey" localSheetId="0" hidden="1">{#N/A,#N/A,FALSE,"Sheet1 (2)"}</definedName>
    <definedName name="tytey" hidden="1">{#N/A,#N/A,FALSE,"Sheet1 (2)"}</definedName>
    <definedName name="tytey_1" localSheetId="0" hidden="1">{#N/A,#N/A,FALSE,"Sheet1 (2)"}</definedName>
    <definedName name="tytey_1" hidden="1">{#N/A,#N/A,FALSE,"Sheet1 (2)"}</definedName>
    <definedName name="tytey_1_1" localSheetId="0" hidden="1">{#N/A,#N/A,FALSE,"Sheet1 (2)"}</definedName>
    <definedName name="tytey_1_1" hidden="1">{#N/A,#N/A,FALSE,"Sheet1 (2)"}</definedName>
    <definedName name="tytey_1_2" localSheetId="0" hidden="1">{#N/A,#N/A,FALSE,"Sheet1 (2)"}</definedName>
    <definedName name="tytey_1_2" hidden="1">{#N/A,#N/A,FALSE,"Sheet1 (2)"}</definedName>
    <definedName name="tytey_1_3" localSheetId="0" hidden="1">{#N/A,#N/A,FALSE,"Sheet1 (2)"}</definedName>
    <definedName name="tytey_1_3" hidden="1">{#N/A,#N/A,FALSE,"Sheet1 (2)"}</definedName>
    <definedName name="tytey_2" localSheetId="0" hidden="1">{#N/A,#N/A,FALSE,"Sheet1 (2)"}</definedName>
    <definedName name="tytey_2" hidden="1">{#N/A,#N/A,FALSE,"Sheet1 (2)"}</definedName>
    <definedName name="tytey_2_1" localSheetId="0" hidden="1">{#N/A,#N/A,FALSE,"Sheet1 (2)"}</definedName>
    <definedName name="tytey_2_1" hidden="1">{#N/A,#N/A,FALSE,"Sheet1 (2)"}</definedName>
    <definedName name="tytey_2_2" localSheetId="0" hidden="1">{#N/A,#N/A,FALSE,"Sheet1 (2)"}</definedName>
    <definedName name="tytey_2_2" hidden="1">{#N/A,#N/A,FALSE,"Sheet1 (2)"}</definedName>
    <definedName name="tytey_3" localSheetId="0" hidden="1">{#N/A,#N/A,FALSE,"Sheet1 (2)"}</definedName>
    <definedName name="tytey_3" hidden="1">{#N/A,#N/A,FALSE,"Sheet1 (2)"}</definedName>
    <definedName name="tytey_4" localSheetId="0" hidden="1">{#N/A,#N/A,FALSE,"Sheet1 (2)"}</definedName>
    <definedName name="tytey_4" hidden="1">{#N/A,#N/A,FALSE,"Sheet1 (2)"}</definedName>
    <definedName name="tytyryjsryj" localSheetId="0" hidden="1">{#N/A,#N/A,FALSE,"Sheet1 (2)"}</definedName>
    <definedName name="tytyryjsryj" hidden="1">{#N/A,#N/A,FALSE,"Sheet1 (2)"}</definedName>
    <definedName name="tyy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yy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yyey" localSheetId="0" hidden="1">{#N/A,#N/A,FALSE,"Sheet1 (2)"}</definedName>
    <definedName name="tyyey" hidden="1">{#N/A,#N/A,FALSE,"Sheet1 (2)"}</definedName>
    <definedName name="u">'[136]Hasar Hattı'!#REF!</definedName>
    <definedName name="ü">#REF!</definedName>
    <definedName name="UDL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UD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UDUT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UDU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uea" localSheetId="0" hidden="1">{#N/A,#N/A,FALSE,"Sheet1 (2)"}</definedName>
    <definedName name="uea" hidden="1">{#N/A,#N/A,FALSE,"Sheet1 (2)"}</definedName>
    <definedName name="uea_1" localSheetId="0" hidden="1">{#N/A,#N/A,FALSE,"Sheet1 (2)"}</definedName>
    <definedName name="uea_1" hidden="1">{#N/A,#N/A,FALSE,"Sheet1 (2)"}</definedName>
    <definedName name="uea_1_1" localSheetId="0" hidden="1">{#N/A,#N/A,FALSE,"Sheet1 (2)"}</definedName>
    <definedName name="uea_1_1" hidden="1">{#N/A,#N/A,FALSE,"Sheet1 (2)"}</definedName>
    <definedName name="uea_1_2" localSheetId="0" hidden="1">{#N/A,#N/A,FALSE,"Sheet1 (2)"}</definedName>
    <definedName name="uea_1_2" hidden="1">{#N/A,#N/A,FALSE,"Sheet1 (2)"}</definedName>
    <definedName name="uea_1_3" localSheetId="0" hidden="1">{#N/A,#N/A,FALSE,"Sheet1 (2)"}</definedName>
    <definedName name="uea_1_3" hidden="1">{#N/A,#N/A,FALSE,"Sheet1 (2)"}</definedName>
    <definedName name="uea_2" localSheetId="0" hidden="1">{#N/A,#N/A,FALSE,"Sheet1 (2)"}</definedName>
    <definedName name="uea_2" hidden="1">{#N/A,#N/A,FALSE,"Sheet1 (2)"}</definedName>
    <definedName name="uea_2_1" localSheetId="0" hidden="1">{#N/A,#N/A,FALSE,"Sheet1 (2)"}</definedName>
    <definedName name="uea_2_1" hidden="1">{#N/A,#N/A,FALSE,"Sheet1 (2)"}</definedName>
    <definedName name="uea_2_2" localSheetId="0" hidden="1">{#N/A,#N/A,FALSE,"Sheet1 (2)"}</definedName>
    <definedName name="uea_2_2" hidden="1">{#N/A,#N/A,FALSE,"Sheet1 (2)"}</definedName>
    <definedName name="uea_3" localSheetId="0" hidden="1">{#N/A,#N/A,FALSE,"Sheet1 (2)"}</definedName>
    <definedName name="uea_3" hidden="1">{#N/A,#N/A,FALSE,"Sheet1 (2)"}</definedName>
    <definedName name="uea_4" localSheetId="0" hidden="1">{#N/A,#N/A,FALSE,"Sheet1 (2)"}</definedName>
    <definedName name="uea_4" hidden="1">{#N/A,#N/A,FALSE,"Sheet1 (2)"}</definedName>
    <definedName name="UİAEUİEÜİE" localSheetId="0" hidden="1">{#N/A,#N/A,FALSE,"Sheet1 (2)"}</definedName>
    <definedName name="UİAEUİEÜİE" hidden="1">{#N/A,#N/A,FALSE,"Sheet1 (2)"}</definedName>
    <definedName name="uid">#REF!</definedName>
    <definedName name="uı" localSheetId="0" hidden="1">{#N/A,#N/A,FALSE,"Sheet1 (2)"}</definedName>
    <definedName name="uı" hidden="1">{#N/A,#N/A,FALSE,"Sheet1 (2)"}</definedName>
    <definedName name="uı_1" localSheetId="0" hidden="1">{#N/A,#N/A,FALSE,"Sheet1 (2)"}</definedName>
    <definedName name="uı_1" hidden="1">{#N/A,#N/A,FALSE,"Sheet1 (2)"}</definedName>
    <definedName name="uı_1_1" localSheetId="0" hidden="1">{#N/A,#N/A,FALSE,"Sheet1 (2)"}</definedName>
    <definedName name="uı_1_1" hidden="1">{#N/A,#N/A,FALSE,"Sheet1 (2)"}</definedName>
    <definedName name="uı_1_2" localSheetId="0" hidden="1">{#N/A,#N/A,FALSE,"Sheet1 (2)"}</definedName>
    <definedName name="uı_1_2" hidden="1">{#N/A,#N/A,FALSE,"Sheet1 (2)"}</definedName>
    <definedName name="uı_1_3" localSheetId="0" hidden="1">{#N/A,#N/A,FALSE,"Sheet1 (2)"}</definedName>
    <definedName name="uı_1_3" hidden="1">{#N/A,#N/A,FALSE,"Sheet1 (2)"}</definedName>
    <definedName name="uı_2" localSheetId="0" hidden="1">{#N/A,#N/A,FALSE,"Sheet1 (2)"}</definedName>
    <definedName name="uı_2" hidden="1">{#N/A,#N/A,FALSE,"Sheet1 (2)"}</definedName>
    <definedName name="uı_2_1" localSheetId="0" hidden="1">{#N/A,#N/A,FALSE,"Sheet1 (2)"}</definedName>
    <definedName name="uı_2_1" hidden="1">{#N/A,#N/A,FALSE,"Sheet1 (2)"}</definedName>
    <definedName name="uı_2_2" localSheetId="0" hidden="1">{#N/A,#N/A,FALSE,"Sheet1 (2)"}</definedName>
    <definedName name="uı_2_2" hidden="1">{#N/A,#N/A,FALSE,"Sheet1 (2)"}</definedName>
    <definedName name="uı_3" localSheetId="0" hidden="1">{#N/A,#N/A,FALSE,"Sheet1 (2)"}</definedName>
    <definedName name="uı_3" hidden="1">{#N/A,#N/A,FALSE,"Sheet1 (2)"}</definedName>
    <definedName name="uı_4" localSheetId="0" hidden="1">{#N/A,#N/A,FALSE,"Sheet1 (2)"}</definedName>
    <definedName name="uı_4" hidden="1">{#N/A,#N/A,FALSE,"Sheet1 (2)"}</definedName>
    <definedName name="uıop" localSheetId="0" hidden="1">{#N/A,#N/A,FALSE,"Sheet1 (2)"}</definedName>
    <definedName name="uıop" hidden="1">{#N/A,#N/A,FALSE,"Sheet1 (2)"}</definedName>
    <definedName name="uıop_1" localSheetId="0" hidden="1">{#N/A,#N/A,FALSE,"Sheet1 (2)"}</definedName>
    <definedName name="uıop_1" hidden="1">{#N/A,#N/A,FALSE,"Sheet1 (2)"}</definedName>
    <definedName name="uıop_1_1" localSheetId="0" hidden="1">{#N/A,#N/A,FALSE,"Sheet1 (2)"}</definedName>
    <definedName name="uıop_1_1" hidden="1">{#N/A,#N/A,FALSE,"Sheet1 (2)"}</definedName>
    <definedName name="uıop_1_2" localSheetId="0" hidden="1">{#N/A,#N/A,FALSE,"Sheet1 (2)"}</definedName>
    <definedName name="uıop_1_2" hidden="1">{#N/A,#N/A,FALSE,"Sheet1 (2)"}</definedName>
    <definedName name="uıop_1_3" localSheetId="0" hidden="1">{#N/A,#N/A,FALSE,"Sheet1 (2)"}</definedName>
    <definedName name="uıop_1_3" hidden="1">{#N/A,#N/A,FALSE,"Sheet1 (2)"}</definedName>
    <definedName name="uıop_2" localSheetId="0" hidden="1">{#N/A,#N/A,FALSE,"Sheet1 (2)"}</definedName>
    <definedName name="uıop_2" hidden="1">{#N/A,#N/A,FALSE,"Sheet1 (2)"}</definedName>
    <definedName name="uıop_2_1" localSheetId="0" hidden="1">{#N/A,#N/A,FALSE,"Sheet1 (2)"}</definedName>
    <definedName name="uıop_2_1" hidden="1">{#N/A,#N/A,FALSE,"Sheet1 (2)"}</definedName>
    <definedName name="uıop_2_2" localSheetId="0" hidden="1">{#N/A,#N/A,FALSE,"Sheet1 (2)"}</definedName>
    <definedName name="uıop_2_2" hidden="1">{#N/A,#N/A,FALSE,"Sheet1 (2)"}</definedName>
    <definedName name="uıop_3" localSheetId="0" hidden="1">{#N/A,#N/A,FALSE,"Sheet1 (2)"}</definedName>
    <definedName name="uıop_3" hidden="1">{#N/A,#N/A,FALSE,"Sheet1 (2)"}</definedName>
    <definedName name="uıop_4" localSheetId="0" hidden="1">{#N/A,#N/A,FALSE,"Sheet1 (2)"}</definedName>
    <definedName name="uıop_4" hidden="1">{#N/A,#N/A,FALSE,"Sheet1 (2)"}</definedName>
    <definedName name="ukyyuk" localSheetId="0" hidden="1">{#N/A,#N/A,FALSE,"Sheet1 (2)"}</definedName>
    <definedName name="ukyyuk" hidden="1">{#N/A,#N/A,FALSE,"Sheet1 (2)"}</definedName>
    <definedName name="ÜLKE" hidden="1">#REF!</definedName>
    <definedName name="ULUDAĞSÖZLÜK">#REF!</definedName>
    <definedName name="un">#REF!</definedName>
    <definedName name="unique_unit_types_list">[51]Meta!$F$11:$F$15</definedName>
    <definedName name="unique_views">#REF!</definedName>
    <definedName name="unit_type">#REF!</definedName>
    <definedName name="Units">'[21]Proposal Details'!$J$1:$J$65536</definedName>
    <definedName name="Units2">[21]Hidden_Data!$J$1:$J$65536</definedName>
    <definedName name="UNM">#REF!</definedName>
    <definedName name="uno">#REF!</definedName>
    <definedName name="ur" localSheetId="0" hidden="1">{#N/A,#N/A,FALSE,"Sheet1 (2)"}</definedName>
    <definedName name="ur" hidden="1">{#N/A,#N/A,FALSE,"Sheet1 (2)"}</definedName>
    <definedName name="ur_1" localSheetId="0" hidden="1">{#N/A,#N/A,FALSE,"Sheet1 (2)"}</definedName>
    <definedName name="ur_1" hidden="1">{#N/A,#N/A,FALSE,"Sheet1 (2)"}</definedName>
    <definedName name="ur_1_1" localSheetId="0" hidden="1">{#N/A,#N/A,FALSE,"Sheet1 (2)"}</definedName>
    <definedName name="ur_1_1" hidden="1">{#N/A,#N/A,FALSE,"Sheet1 (2)"}</definedName>
    <definedName name="ur_1_2" localSheetId="0" hidden="1">{#N/A,#N/A,FALSE,"Sheet1 (2)"}</definedName>
    <definedName name="ur_1_2" hidden="1">{#N/A,#N/A,FALSE,"Sheet1 (2)"}</definedName>
    <definedName name="ur_1_3" localSheetId="0" hidden="1">{#N/A,#N/A,FALSE,"Sheet1 (2)"}</definedName>
    <definedName name="ur_1_3" hidden="1">{#N/A,#N/A,FALSE,"Sheet1 (2)"}</definedName>
    <definedName name="ur_2" localSheetId="0" hidden="1">{#N/A,#N/A,FALSE,"Sheet1 (2)"}</definedName>
    <definedName name="ur_2" hidden="1">{#N/A,#N/A,FALSE,"Sheet1 (2)"}</definedName>
    <definedName name="ur_2_1" localSheetId="0" hidden="1">{#N/A,#N/A,FALSE,"Sheet1 (2)"}</definedName>
    <definedName name="ur_2_1" hidden="1">{#N/A,#N/A,FALSE,"Sheet1 (2)"}</definedName>
    <definedName name="ur_2_2" localSheetId="0" hidden="1">{#N/A,#N/A,FALSE,"Sheet1 (2)"}</definedName>
    <definedName name="ur_2_2" hidden="1">{#N/A,#N/A,FALSE,"Sheet1 (2)"}</definedName>
    <definedName name="ur_3" localSheetId="0" hidden="1">{#N/A,#N/A,FALSE,"Sheet1 (2)"}</definedName>
    <definedName name="ur_3" hidden="1">{#N/A,#N/A,FALSE,"Sheet1 (2)"}</definedName>
    <definedName name="ur_4" localSheetId="0" hidden="1">{#N/A,#N/A,FALSE,"Sheet1 (2)"}</definedName>
    <definedName name="ur_4" hidden="1">{#N/A,#N/A,FALSE,"Sheet1 (2)"}</definedName>
    <definedName name="uruguay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uruguay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URUN">#REF!</definedName>
    <definedName name="ÜRÜN">#REF!</definedName>
    <definedName name="URUN_2">#REF!</definedName>
    <definedName name="URUN_3">#REF!</definedName>
    <definedName name="URUN_4">#REF!</definedName>
    <definedName name="URUN_5">#REF!</definedName>
    <definedName name="URUN_6">#REF!</definedName>
    <definedName name="URUN_7">#REF!</definedName>
    <definedName name="USA_Today">[59]!USA_Today</definedName>
    <definedName name="Usage">[137]Usage!$A$1:$A$7</definedName>
    <definedName name="UŞAK">#REF!</definedName>
    <definedName name="usd">#REF!</definedName>
    <definedName name="USDahkdusulmusproddahil">#REF!</definedName>
    <definedName name="USDprodveahkduslmus">#REF!</definedName>
    <definedName name="ütioaü" localSheetId="0" hidden="1">{#N/A,#N/A,FALSE,"Sheet1 (2)"}</definedName>
    <definedName name="ütioaü" hidden="1">{#N/A,#N/A,FALSE,"Sheet1 (2)"}</definedName>
    <definedName name="utrss">#REF!</definedName>
    <definedName name="UU" localSheetId="0" hidden="1">{#N/A,#N/A,FALSE,"MALİTABLOLAR"}</definedName>
    <definedName name="UU" hidden="1">{#N/A,#N/A,FALSE,"MALİTABLOLAR"}</definedName>
    <definedName name="UU_1" localSheetId="0" hidden="1">{#N/A,#N/A,FALSE,"MALİTABLOLAR"}</definedName>
    <definedName name="UU_1" hidden="1">{#N/A,#N/A,FALSE,"MALİTABLOLAR"}</definedName>
    <definedName name="UU_1_1" localSheetId="0" hidden="1">{#N/A,#N/A,FALSE,"MALİTABLOLAR"}</definedName>
    <definedName name="UU_1_1" hidden="1">{#N/A,#N/A,FALSE,"MALİTABLOLAR"}</definedName>
    <definedName name="UU_1_2" localSheetId="0" hidden="1">{#N/A,#N/A,FALSE,"MALİTABLOLAR"}</definedName>
    <definedName name="UU_1_2" hidden="1">{#N/A,#N/A,FALSE,"MALİTABLOLAR"}</definedName>
    <definedName name="UU_1_3" localSheetId="0" hidden="1">{#N/A,#N/A,FALSE,"MALİTABLOLAR"}</definedName>
    <definedName name="UU_1_3" hidden="1">{#N/A,#N/A,FALSE,"MALİTABLOLAR"}</definedName>
    <definedName name="UU_2" localSheetId="0" hidden="1">{#N/A,#N/A,FALSE,"MALİTABLOLAR"}</definedName>
    <definedName name="UU_2" hidden="1">{#N/A,#N/A,FALSE,"MALİTABLOLAR"}</definedName>
    <definedName name="UU_2_1" localSheetId="0" hidden="1">{#N/A,#N/A,FALSE,"MALİTABLOLAR"}</definedName>
    <definedName name="UU_2_1" hidden="1">{#N/A,#N/A,FALSE,"MALİTABLOLAR"}</definedName>
    <definedName name="UU_2_2" localSheetId="0" hidden="1">{#N/A,#N/A,FALSE,"MALİTABLOLAR"}</definedName>
    <definedName name="UU_2_2" hidden="1">{#N/A,#N/A,FALSE,"MALİTABLOLAR"}</definedName>
    <definedName name="UU_3" localSheetId="0" hidden="1">{#N/A,#N/A,FALSE,"MALİTABLOLAR"}</definedName>
    <definedName name="UU_3" hidden="1">{#N/A,#N/A,FALSE,"MALİTABLOLAR"}</definedName>
    <definedName name="UU_4" localSheetId="0" hidden="1">{#N/A,#N/A,FALSE,"MALİTABLOLAR"}</definedName>
    <definedName name="UU_4" hidden="1">{#N/A,#N/A,FALSE,"MALİTABLOLAR"}</definedName>
    <definedName name="V" localSheetId="0" hidden="1">{#N/A,#N/A,FALSE,"Sheet1 (2)"}</definedName>
    <definedName name="V" hidden="1">{#N/A,#N/A,FALSE,"Sheet1 (2)"}</definedName>
    <definedName name="V_1" localSheetId="0" hidden="1">{#N/A,#N/A,FALSE,"Sheet1 (2)"}</definedName>
    <definedName name="V_1" hidden="1">{#N/A,#N/A,FALSE,"Sheet1 (2)"}</definedName>
    <definedName name="V_1_1" localSheetId="0" hidden="1">{#N/A,#N/A,FALSE,"Sheet1 (2)"}</definedName>
    <definedName name="V_1_1" hidden="1">{#N/A,#N/A,FALSE,"Sheet1 (2)"}</definedName>
    <definedName name="V_1_2" localSheetId="0" hidden="1">{#N/A,#N/A,FALSE,"Sheet1 (2)"}</definedName>
    <definedName name="V_1_2" hidden="1">{#N/A,#N/A,FALSE,"Sheet1 (2)"}</definedName>
    <definedName name="V_1_3" localSheetId="0" hidden="1">{#N/A,#N/A,FALSE,"Sheet1 (2)"}</definedName>
    <definedName name="V_1_3" hidden="1">{#N/A,#N/A,FALSE,"Sheet1 (2)"}</definedName>
    <definedName name="V_2" localSheetId="0" hidden="1">{#N/A,#N/A,FALSE,"Sheet1 (2)"}</definedName>
    <definedName name="V_2" hidden="1">{#N/A,#N/A,FALSE,"Sheet1 (2)"}</definedName>
    <definedName name="V_2_1" localSheetId="0" hidden="1">{#N/A,#N/A,FALSE,"Sheet1 (2)"}</definedName>
    <definedName name="V_2_1" hidden="1">{#N/A,#N/A,FALSE,"Sheet1 (2)"}</definedName>
    <definedName name="V_2_2" localSheetId="0" hidden="1">{#N/A,#N/A,FALSE,"Sheet1 (2)"}</definedName>
    <definedName name="V_2_2" hidden="1">{#N/A,#N/A,FALSE,"Sheet1 (2)"}</definedName>
    <definedName name="V_3" localSheetId="0" hidden="1">{#N/A,#N/A,FALSE,"Sheet1 (2)"}</definedName>
    <definedName name="V_3" hidden="1">{#N/A,#N/A,FALSE,"Sheet1 (2)"}</definedName>
    <definedName name="V_4" localSheetId="0" hidden="1">{#N/A,#N/A,FALSE,"Sheet1 (2)"}</definedName>
    <definedName name="V_4" hidden="1">{#N/A,#N/A,FALSE,"Sheet1 (2)"}</definedName>
    <definedName name="Value_Add">#REF!</definedName>
    <definedName name="values_array" localSheetId="0">{"VOLUME","SUM(VOLUME)","YNNNN",FALSE}</definedName>
    <definedName name="values_array">{"VOLUME","SUM(VOLUME)","YNNNN",FALSE}</definedName>
    <definedName name="VAN">#REF!</definedName>
    <definedName name="Var_Anno">[62]Foglio1!$D$2</definedName>
    <definedName name="Var_Mercato">[62]Foglio1!$P$2</definedName>
    <definedName name="Var_Mese">[62]Foglio1!$M$2</definedName>
    <definedName name="Var_NumPO">[62]Foglio1!$R$1</definedName>
    <definedName name="Variability">#REF!</definedName>
    <definedName name="VB" hidden="1">#REF!</definedName>
    <definedName name="vcx" localSheetId="0" hidden="1">{#N/A,#N/A,FALSE,"Sheet1 (2)"}</definedName>
    <definedName name="vcx" hidden="1">{#N/A,#N/A,FALSE,"Sheet1 (2)"}</definedName>
    <definedName name="vcx_1" localSheetId="0" hidden="1">{#N/A,#N/A,FALSE,"Sheet1 (2)"}</definedName>
    <definedName name="vcx_1" hidden="1">{#N/A,#N/A,FALSE,"Sheet1 (2)"}</definedName>
    <definedName name="vcx_1_1" localSheetId="0" hidden="1">{#N/A,#N/A,FALSE,"Sheet1 (2)"}</definedName>
    <definedName name="vcx_1_1" hidden="1">{#N/A,#N/A,FALSE,"Sheet1 (2)"}</definedName>
    <definedName name="vcx_1_2" localSheetId="0" hidden="1">{#N/A,#N/A,FALSE,"Sheet1 (2)"}</definedName>
    <definedName name="vcx_1_2" hidden="1">{#N/A,#N/A,FALSE,"Sheet1 (2)"}</definedName>
    <definedName name="vcx_1_3" localSheetId="0" hidden="1">{#N/A,#N/A,FALSE,"Sheet1 (2)"}</definedName>
    <definedName name="vcx_1_3" hidden="1">{#N/A,#N/A,FALSE,"Sheet1 (2)"}</definedName>
    <definedName name="vcx_2" localSheetId="0" hidden="1">{#N/A,#N/A,FALSE,"Sheet1 (2)"}</definedName>
    <definedName name="vcx_2" hidden="1">{#N/A,#N/A,FALSE,"Sheet1 (2)"}</definedName>
    <definedName name="vcx_2_1" localSheetId="0" hidden="1">{#N/A,#N/A,FALSE,"Sheet1 (2)"}</definedName>
    <definedName name="vcx_2_1" hidden="1">{#N/A,#N/A,FALSE,"Sheet1 (2)"}</definedName>
    <definedName name="vcx_2_2" localSheetId="0" hidden="1">{#N/A,#N/A,FALSE,"Sheet1 (2)"}</definedName>
    <definedName name="vcx_2_2" hidden="1">{#N/A,#N/A,FALSE,"Sheet1 (2)"}</definedName>
    <definedName name="vcx_3" localSheetId="0" hidden="1">{#N/A,#N/A,FALSE,"Sheet1 (2)"}</definedName>
    <definedName name="vcx_3" hidden="1">{#N/A,#N/A,FALSE,"Sheet1 (2)"}</definedName>
    <definedName name="vcx_4" localSheetId="0" hidden="1">{#N/A,#N/A,FALSE,"Sheet1 (2)"}</definedName>
    <definedName name="vcx_4" hidden="1">{#N/A,#N/A,FALSE,"Sheet1 (2)"}</definedName>
    <definedName name="vdvdv" localSheetId="0" hidden="1">{#N/A,#N/A,FALSE,"Sheet1 (2)"}</definedName>
    <definedName name="vdvdv" hidden="1">{#N/A,#N/A,FALSE,"Sheet1 (2)"}</definedName>
    <definedName name="vDXcvzcvb" localSheetId="0" hidden="1">{"'Jan - March 2000'!$A$5:$J$46"}</definedName>
    <definedName name="vDXcvzcvb" hidden="1">{"'Jan - March 2000'!$A$5:$J$46"}</definedName>
    <definedName name="vektorm">#REF!</definedName>
    <definedName name="Veri_TabanI" localSheetId="0">'[24]Hasar Hattı'!#REF!</definedName>
    <definedName name="Veri_TabanI">'[26]Hasar Hattı'!#REF!</definedName>
    <definedName name="VERNEL">#REF!</definedName>
    <definedName name="VERNEL_2">#REF!</definedName>
    <definedName name="VERNEL_3">#REF!</definedName>
    <definedName name="VERNEL_4">#REF!</definedName>
    <definedName name="VERNEL_5">#REF!</definedName>
    <definedName name="VERNEL_6">#REF!</definedName>
    <definedName name="VERNEL_7">#REF!</definedName>
    <definedName name="VERNELARALIK">#REF!</definedName>
    <definedName name="VERNELARALIK_2">#REF!</definedName>
    <definedName name="VERNELARALIK_3">#REF!</definedName>
    <definedName name="VERNELARALIK_4">#REF!</definedName>
    <definedName name="VERNELARALIK_5">#REF!</definedName>
    <definedName name="VERNELARALIK_6">#REF!</definedName>
    <definedName name="VERNELARALIK_7">#REF!</definedName>
    <definedName name="vernelekim">#REF!</definedName>
    <definedName name="vernelekim_2">#REF!</definedName>
    <definedName name="vernelekim_3">#REF!</definedName>
    <definedName name="vernelekim_4">#REF!</definedName>
    <definedName name="vernelekim_5">#REF!</definedName>
    <definedName name="vernelekim_6">#REF!</definedName>
    <definedName name="vernelekim_7">#REF!</definedName>
    <definedName name="vernelkasım">#REF!</definedName>
    <definedName name="vernelkasım_2">#REF!</definedName>
    <definedName name="vernelkasım_3">#REF!</definedName>
    <definedName name="vernelkasım_4">#REF!</definedName>
    <definedName name="vernelkasım_5">#REF!</definedName>
    <definedName name="vernelkasım_6">#REF!</definedName>
    <definedName name="vernelkasım_7">#REF!</definedName>
    <definedName name="VERNELOC">#REF!</definedName>
    <definedName name="VERNELOC_2">#REF!</definedName>
    <definedName name="VERNELOC_3">#REF!</definedName>
    <definedName name="VERNELOC_4">#REF!</definedName>
    <definedName name="VERNELOC_5">#REF!</definedName>
    <definedName name="VERNELOC_6">#REF!</definedName>
    <definedName name="VERNELOC_7">#REF!</definedName>
    <definedName name="VERNELÖDEME">#REF!</definedName>
    <definedName name="VERNELÖDEME_2">#REF!</definedName>
    <definedName name="VERNELÖDEME_3">#REF!</definedName>
    <definedName name="VERNELÖDEME_4">#REF!</definedName>
    <definedName name="VERNELÖDEME_5">#REF!</definedName>
    <definedName name="VERNELÖDEME_6">#REF!</definedName>
    <definedName name="VERNELÖDEME_7">#REF!</definedName>
    <definedName name="VERNELPİV">#REF!</definedName>
    <definedName name="VERNELPİV_2">#REF!</definedName>
    <definedName name="VERNELPİV_3">#REF!</definedName>
    <definedName name="VERNELPİV_4">#REF!</definedName>
    <definedName name="VERNELPİV_5">#REF!</definedName>
    <definedName name="VERNELPİV_6">#REF!</definedName>
    <definedName name="VERNELPİV_7">#REF!</definedName>
    <definedName name="Version">[21]Hidden_Data!$AA$8</definedName>
    <definedName name="VF" localSheetId="0" hidden="1">{#N/A,#N/A,FALSE,"Sheet1 (2)"}</definedName>
    <definedName name="VF" hidden="1">{#N/A,#N/A,FALSE,"Sheet1 (2)"}</definedName>
    <definedName name="VF_1" localSheetId="0" hidden="1">{#N/A,#N/A,FALSE,"Sheet1 (2)"}</definedName>
    <definedName name="VF_1" hidden="1">{#N/A,#N/A,FALSE,"Sheet1 (2)"}</definedName>
    <definedName name="VF_1_1" localSheetId="0" hidden="1">{#N/A,#N/A,FALSE,"Sheet1 (2)"}</definedName>
    <definedName name="VF_1_1" hidden="1">{#N/A,#N/A,FALSE,"Sheet1 (2)"}</definedName>
    <definedName name="VF_1_2" localSheetId="0" hidden="1">{#N/A,#N/A,FALSE,"Sheet1 (2)"}</definedName>
    <definedName name="VF_1_2" hidden="1">{#N/A,#N/A,FALSE,"Sheet1 (2)"}</definedName>
    <definedName name="VF_1_3" localSheetId="0" hidden="1">{#N/A,#N/A,FALSE,"Sheet1 (2)"}</definedName>
    <definedName name="VF_1_3" hidden="1">{#N/A,#N/A,FALSE,"Sheet1 (2)"}</definedName>
    <definedName name="VF_2" localSheetId="0" hidden="1">{#N/A,#N/A,FALSE,"Sheet1 (2)"}</definedName>
    <definedName name="VF_2" hidden="1">{#N/A,#N/A,FALSE,"Sheet1 (2)"}</definedName>
    <definedName name="VF_2_1" localSheetId="0" hidden="1">{#N/A,#N/A,FALSE,"Sheet1 (2)"}</definedName>
    <definedName name="VF_2_1" hidden="1">{#N/A,#N/A,FALSE,"Sheet1 (2)"}</definedName>
    <definedName name="VF_2_2" localSheetId="0" hidden="1">{#N/A,#N/A,FALSE,"Sheet1 (2)"}</definedName>
    <definedName name="VF_2_2" hidden="1">{#N/A,#N/A,FALSE,"Sheet1 (2)"}</definedName>
    <definedName name="VF_3" localSheetId="0" hidden="1">{#N/A,#N/A,FALSE,"Sheet1 (2)"}</definedName>
    <definedName name="VF_3" hidden="1">{#N/A,#N/A,FALSE,"Sheet1 (2)"}</definedName>
    <definedName name="VF_4" localSheetId="0" hidden="1">{#N/A,#N/A,FALSE,"Sheet1 (2)"}</definedName>
    <definedName name="VF_4" hidden="1">{#N/A,#N/A,FALSE,"Sheet1 (2)"}</definedName>
    <definedName name="vhgh" localSheetId="0" hidden="1">{#N/A,#N/A,FALSE,"Sheet1 (2)"}</definedName>
    <definedName name="vhgh" hidden="1">{#N/A,#N/A,FALSE,"Sheet1 (2)"}</definedName>
    <definedName name="vhgh_1" localSheetId="0" hidden="1">{#N/A,#N/A,FALSE,"Sheet1 (2)"}</definedName>
    <definedName name="vhgh_1" hidden="1">{#N/A,#N/A,FALSE,"Sheet1 (2)"}</definedName>
    <definedName name="vhgh_1_1" localSheetId="0" hidden="1">{#N/A,#N/A,FALSE,"Sheet1 (2)"}</definedName>
    <definedName name="vhgh_1_1" hidden="1">{#N/A,#N/A,FALSE,"Sheet1 (2)"}</definedName>
    <definedName name="vhgh_1_2" localSheetId="0" hidden="1">{#N/A,#N/A,FALSE,"Sheet1 (2)"}</definedName>
    <definedName name="vhgh_1_2" hidden="1">{#N/A,#N/A,FALSE,"Sheet1 (2)"}</definedName>
    <definedName name="vhgh_1_3" localSheetId="0" hidden="1">{#N/A,#N/A,FALSE,"Sheet1 (2)"}</definedName>
    <definedName name="vhgh_1_3" hidden="1">{#N/A,#N/A,FALSE,"Sheet1 (2)"}</definedName>
    <definedName name="vhgh_2" localSheetId="0" hidden="1">{#N/A,#N/A,FALSE,"Sheet1 (2)"}</definedName>
    <definedName name="vhgh_2" hidden="1">{#N/A,#N/A,FALSE,"Sheet1 (2)"}</definedName>
    <definedName name="vhgh_2_1" localSheetId="0" hidden="1">{#N/A,#N/A,FALSE,"Sheet1 (2)"}</definedName>
    <definedName name="vhgh_2_1" hidden="1">{#N/A,#N/A,FALSE,"Sheet1 (2)"}</definedName>
    <definedName name="vhgh_2_2" localSheetId="0" hidden="1">{#N/A,#N/A,FALSE,"Sheet1 (2)"}</definedName>
    <definedName name="vhgh_2_2" hidden="1">{#N/A,#N/A,FALSE,"Sheet1 (2)"}</definedName>
    <definedName name="vhgh_3" localSheetId="0" hidden="1">{#N/A,#N/A,FALSE,"Sheet1 (2)"}</definedName>
    <definedName name="vhgh_3" hidden="1">{#N/A,#N/A,FALSE,"Sheet1 (2)"}</definedName>
    <definedName name="vhgh_4" localSheetId="0" hidden="1">{#N/A,#N/A,FALSE,"Sheet1 (2)"}</definedName>
    <definedName name="vhgh_4" hidden="1">{#N/A,#N/A,FALSE,"Sheet1 (2)"}</definedName>
    <definedName name="vidot">#REF!</definedName>
    <definedName name="VINCW">#REF!</definedName>
    <definedName name="VisibleRangeFirstColumn">#REF!</definedName>
    <definedName name="VNGC" localSheetId="0">[129]Kategoriler!$A$86:$B$102</definedName>
    <definedName name="VNGC">[130]Kategoriler!$A$86:$B$102</definedName>
    <definedName name="vpiv">#REF!</definedName>
    <definedName name="vpiv_2">#REF!</definedName>
    <definedName name="vpiv_3">#REF!</definedName>
    <definedName name="vpiv_4">#REF!</definedName>
    <definedName name="vpiv_5">#REF!</definedName>
    <definedName name="vpiv_6">#REF!</definedName>
    <definedName name="vpiv_7">#REF!</definedName>
    <definedName name="VPS">#REF!</definedName>
    <definedName name="vrnksmödeme">#REF!</definedName>
    <definedName name="vrnksmödeme_2">#REF!</definedName>
    <definedName name="vrnksmödeme_3">#REF!</definedName>
    <definedName name="vrnksmödeme_4">#REF!</definedName>
    <definedName name="vrnksmödeme_5">#REF!</definedName>
    <definedName name="vrnksmödeme_6">#REF!</definedName>
    <definedName name="vrnksmödeme_7">#REF!</definedName>
    <definedName name="vsd" localSheetId="0" hidden="1">{"'Jan - March 2000'!$A$5:$J$46"}</definedName>
    <definedName name="vsd" hidden="1">{"'Jan - March 2000'!$A$5:$J$46"}</definedName>
    <definedName name="vv">#REF!</definedName>
    <definedName name="vvv">[77]CampaignData!$B$16:$F$45</definedName>
    <definedName name="vvvvvvvvvvvvvvvvvv" localSheetId="0" hidden="1">{#N/A,#N/A,FALSE,"Sheet1 (2)"}</definedName>
    <definedName name="vvvvvvvvvvvvvvvvvv" hidden="1">{#N/A,#N/A,FALSE,"Sheet1 (2)"}</definedName>
    <definedName name="w" localSheetId="0" hidden="1">{#N/A,#N/A,FALSE,"Sheet1 (2)"}</definedName>
    <definedName name="w" hidden="1">{#N/A,#N/A,FALSE,"Sheet1 (2)"}</definedName>
    <definedName name="w_1" localSheetId="0" hidden="1">{#N/A,#N/A,FALSE,"Sheet1 (2)"}</definedName>
    <definedName name="w_1" hidden="1">{#N/A,#N/A,FALSE,"Sheet1 (2)"}</definedName>
    <definedName name="w_1_1" localSheetId="0" hidden="1">{#N/A,#N/A,FALSE,"Sheet1 (2)"}</definedName>
    <definedName name="w_1_1" hidden="1">{#N/A,#N/A,FALSE,"Sheet1 (2)"}</definedName>
    <definedName name="w_1_2" localSheetId="0" hidden="1">{#N/A,#N/A,FALSE,"Sheet1 (2)"}</definedName>
    <definedName name="w_1_2" hidden="1">{#N/A,#N/A,FALSE,"Sheet1 (2)"}</definedName>
    <definedName name="w_1_3" localSheetId="0" hidden="1">{#N/A,#N/A,FALSE,"Sheet1 (2)"}</definedName>
    <definedName name="w_1_3" hidden="1">{#N/A,#N/A,FALSE,"Sheet1 (2)"}</definedName>
    <definedName name="w_2" localSheetId="0" hidden="1">{#N/A,#N/A,FALSE,"Sheet1 (2)"}</definedName>
    <definedName name="w_2" hidden="1">{#N/A,#N/A,FALSE,"Sheet1 (2)"}</definedName>
    <definedName name="w_2_1" localSheetId="0" hidden="1">{#N/A,#N/A,FALSE,"Sheet1 (2)"}</definedName>
    <definedName name="w_2_1" hidden="1">{#N/A,#N/A,FALSE,"Sheet1 (2)"}</definedName>
    <definedName name="w_2_2" localSheetId="0" hidden="1">{#N/A,#N/A,FALSE,"Sheet1 (2)"}</definedName>
    <definedName name="w_2_2" hidden="1">{#N/A,#N/A,FALSE,"Sheet1 (2)"}</definedName>
    <definedName name="w_3" localSheetId="0" hidden="1">{#N/A,#N/A,FALSE,"Sheet1 (2)"}</definedName>
    <definedName name="w_3" hidden="1">{#N/A,#N/A,FALSE,"Sheet1 (2)"}</definedName>
    <definedName name="w_4" localSheetId="0" hidden="1">{#N/A,#N/A,FALSE,"Sheet1 (2)"}</definedName>
    <definedName name="w_4" hidden="1">{#N/A,#N/A,FALSE,"Sheet1 (2)"}</definedName>
    <definedName name="WAP">#REF!</definedName>
    <definedName name="WAP_2">#REF!</definedName>
    <definedName name="WAP_3">#REF!</definedName>
    <definedName name="WAP_4">#REF!</definedName>
    <definedName name="WAP_5">#REF!</definedName>
    <definedName name="WAP_6">#REF!</definedName>
    <definedName name="WAP_7">#REF!</definedName>
    <definedName name="waphazöd">#REF!</definedName>
    <definedName name="waphazöd_2">#REF!</definedName>
    <definedName name="waphazöd_3">#REF!</definedName>
    <definedName name="waphazöd_4">#REF!</definedName>
    <definedName name="waphazöd_5">#REF!</definedName>
    <definedName name="waphazöd_6">#REF!</definedName>
    <definedName name="waphazöd_7">#REF!</definedName>
    <definedName name="waphazödeme2">#REF!</definedName>
    <definedName name="waphazödeme2_2">#REF!</definedName>
    <definedName name="waphazödeme2_3">#REF!</definedName>
    <definedName name="waphazödeme2_4">#REF!</definedName>
    <definedName name="waphazödeme2_5">#REF!</definedName>
    <definedName name="waphazödeme2_6">#REF!</definedName>
    <definedName name="waphazödeme2_7">#REF!</definedName>
    <definedName name="WAPHAZÖZET">#REF!</definedName>
    <definedName name="WAPHAZÖZET_2">#REF!</definedName>
    <definedName name="WAPHAZÖZET_3">#REF!</definedName>
    <definedName name="WAPHAZÖZET_4">#REF!</definedName>
    <definedName name="WAPHAZÖZET_5">#REF!</definedName>
    <definedName name="WAPHAZÖZET_6">#REF!</definedName>
    <definedName name="WAPHAZÖZET_7">#REF!</definedName>
    <definedName name="waphazözet2">#REF!</definedName>
    <definedName name="waphazözet2_2">#REF!</definedName>
    <definedName name="waphazözet2_3">#REF!</definedName>
    <definedName name="waphazözet2_4">#REF!</definedName>
    <definedName name="waphazözet2_5">#REF!</definedName>
    <definedName name="waphazözet2_6">#REF!</definedName>
    <definedName name="waphazözet2_7">#REF!</definedName>
    <definedName name="WAPÖD2">#REF!</definedName>
    <definedName name="WAPÖD2_2">#REF!</definedName>
    <definedName name="WAPÖD2_3">#REF!</definedName>
    <definedName name="WAPÖD2_4">#REF!</definedName>
    <definedName name="WAPÖD2_5">#REF!</definedName>
    <definedName name="WAPÖD2_6">#REF!</definedName>
    <definedName name="WAPÖD2_7">#REF!</definedName>
    <definedName name="WAPÖDEME">#REF!</definedName>
    <definedName name="WAPÖDEME_2">#REF!</definedName>
    <definedName name="WAPÖDEME_3">#REF!</definedName>
    <definedName name="WAPÖDEME_4">#REF!</definedName>
    <definedName name="WAPÖDEME_5">#REF!</definedName>
    <definedName name="WAPÖDEME_6">#REF!</definedName>
    <definedName name="WAPÖDEME_7">#REF!</definedName>
    <definedName name="WAPÖZ2">#REF!</definedName>
    <definedName name="WAPÖZ2_2">#REF!</definedName>
    <definedName name="WAPÖZ2_3">#REF!</definedName>
    <definedName name="WAPÖZ2_4">#REF!</definedName>
    <definedName name="WAPÖZ2_5">#REF!</definedName>
    <definedName name="WAPÖZ2_6">#REF!</definedName>
    <definedName name="WAPÖZ2_7">#REF!</definedName>
    <definedName name="wcgel">#REF!</definedName>
    <definedName name="wcgel_2">#REF!</definedName>
    <definedName name="wcgel_3">#REF!</definedName>
    <definedName name="wcgel_4">#REF!</definedName>
    <definedName name="wcgel_5">#REF!</definedName>
    <definedName name="wcgel_6">#REF!</definedName>
    <definedName name="wcgel_7">#REF!</definedName>
    <definedName name="wcodeme">#REF!</definedName>
    <definedName name="wcodeme_2">#REF!</definedName>
    <definedName name="wcodeme_3">#REF!</definedName>
    <definedName name="wcodeme_4">#REF!</definedName>
    <definedName name="wcodeme_5">#REF!</definedName>
    <definedName name="wcodeme_6">#REF!</definedName>
    <definedName name="wcodeme_7">#REF!</definedName>
    <definedName name="WD" hidden="1">#REF!</definedName>
    <definedName name="WE" localSheetId="0" hidden="1">{#N/A,#N/A,FALSE,"Sheet1 (2)"}</definedName>
    <definedName name="WE" hidden="1">{#N/A,#N/A,FALSE,"Sheet1 (2)"}</definedName>
    <definedName name="WE_1" localSheetId="0" hidden="1">{#N/A,#N/A,FALSE,"Sheet1 (2)"}</definedName>
    <definedName name="WE_1" hidden="1">{#N/A,#N/A,FALSE,"Sheet1 (2)"}</definedName>
    <definedName name="WE_1_1" localSheetId="0" hidden="1">{#N/A,#N/A,FALSE,"Sheet1 (2)"}</definedName>
    <definedName name="WE_1_1" hidden="1">{#N/A,#N/A,FALSE,"Sheet1 (2)"}</definedName>
    <definedName name="WE_1_2" localSheetId="0" hidden="1">{#N/A,#N/A,FALSE,"Sheet1 (2)"}</definedName>
    <definedName name="WE_1_2" hidden="1">{#N/A,#N/A,FALSE,"Sheet1 (2)"}</definedName>
    <definedName name="WE_1_3" localSheetId="0" hidden="1">{#N/A,#N/A,FALSE,"Sheet1 (2)"}</definedName>
    <definedName name="WE_1_3" hidden="1">{#N/A,#N/A,FALSE,"Sheet1 (2)"}</definedName>
    <definedName name="WE_2" localSheetId="0" hidden="1">{#N/A,#N/A,FALSE,"Sheet1 (2)"}</definedName>
    <definedName name="WE_2" hidden="1">{#N/A,#N/A,FALSE,"Sheet1 (2)"}</definedName>
    <definedName name="WE_2_1" localSheetId="0" hidden="1">{#N/A,#N/A,FALSE,"Sheet1 (2)"}</definedName>
    <definedName name="WE_2_1" hidden="1">{#N/A,#N/A,FALSE,"Sheet1 (2)"}</definedName>
    <definedName name="WE_2_2" localSheetId="0" hidden="1">{#N/A,#N/A,FALSE,"Sheet1 (2)"}</definedName>
    <definedName name="WE_2_2" hidden="1">{#N/A,#N/A,FALSE,"Sheet1 (2)"}</definedName>
    <definedName name="WE_3" localSheetId="0" hidden="1">{#N/A,#N/A,FALSE,"Sheet1 (2)"}</definedName>
    <definedName name="WE_3" hidden="1">{#N/A,#N/A,FALSE,"Sheet1 (2)"}</definedName>
    <definedName name="WE_4" localSheetId="0" hidden="1">{#N/A,#N/A,FALSE,"Sheet1 (2)"}</definedName>
    <definedName name="WE_4" hidden="1">{#N/A,#N/A,FALSE,"Sheet1 (2)"}</definedName>
    <definedName name="WEAEVGFF" localSheetId="0" hidden="1">{#N/A,#N/A,FALSE,"Sheet1 (2)"}</definedName>
    <definedName name="WEAEVGFF" hidden="1">{#N/A,#N/A,FALSE,"Sheet1 (2)"}</definedName>
    <definedName name="WEAEVGFF_1" localSheetId="0" hidden="1">{#N/A,#N/A,FALSE,"Sheet1 (2)"}</definedName>
    <definedName name="WEAEVGFF_1" hidden="1">{#N/A,#N/A,FALSE,"Sheet1 (2)"}</definedName>
    <definedName name="WEAEVGFF_1_1" localSheetId="0" hidden="1">{#N/A,#N/A,FALSE,"Sheet1 (2)"}</definedName>
    <definedName name="WEAEVGFF_1_1" hidden="1">{#N/A,#N/A,FALSE,"Sheet1 (2)"}</definedName>
    <definedName name="WEAEVGFF_1_2" localSheetId="0" hidden="1">{#N/A,#N/A,FALSE,"Sheet1 (2)"}</definedName>
    <definedName name="WEAEVGFF_1_2" hidden="1">{#N/A,#N/A,FALSE,"Sheet1 (2)"}</definedName>
    <definedName name="WEAEVGFF_1_3" localSheetId="0" hidden="1">{#N/A,#N/A,FALSE,"Sheet1 (2)"}</definedName>
    <definedName name="WEAEVGFF_1_3" hidden="1">{#N/A,#N/A,FALSE,"Sheet1 (2)"}</definedName>
    <definedName name="WEAEVGFF_2" localSheetId="0" hidden="1">{#N/A,#N/A,FALSE,"Sheet1 (2)"}</definedName>
    <definedName name="WEAEVGFF_2" hidden="1">{#N/A,#N/A,FALSE,"Sheet1 (2)"}</definedName>
    <definedName name="WEAEVGFF_2_1" localSheetId="0" hidden="1">{#N/A,#N/A,FALSE,"Sheet1 (2)"}</definedName>
    <definedName name="WEAEVGFF_2_1" hidden="1">{#N/A,#N/A,FALSE,"Sheet1 (2)"}</definedName>
    <definedName name="WEAEVGFF_2_2" localSheetId="0" hidden="1">{#N/A,#N/A,FALSE,"Sheet1 (2)"}</definedName>
    <definedName name="WEAEVGFF_2_2" hidden="1">{#N/A,#N/A,FALSE,"Sheet1 (2)"}</definedName>
    <definedName name="WEAEVGFF_3" localSheetId="0" hidden="1">{#N/A,#N/A,FALSE,"Sheet1 (2)"}</definedName>
    <definedName name="WEAEVGFF_3" hidden="1">{#N/A,#N/A,FALSE,"Sheet1 (2)"}</definedName>
    <definedName name="WEAEVGFF_4" localSheetId="0" hidden="1">{#N/A,#N/A,FALSE,"Sheet1 (2)"}</definedName>
    <definedName name="WEAEVGFF_4" hidden="1">{#N/A,#N/A,FALSE,"Sheet1 (2)"}</definedName>
    <definedName name="Web_Service_URL">[21]Hidden_Data!$AA$10</definedName>
    <definedName name="WeekNumbers">[73]P3!#REF!</definedName>
    <definedName name="Weight">#REF!</definedName>
    <definedName name="weqwewqeqw" hidden="1">#REF!</definedName>
    <definedName name="WER" localSheetId="0" hidden="1">{#N/A,#N/A,FALSE,"Sheet1 (2)"}</definedName>
    <definedName name="WER" hidden="1">{#N/A,#N/A,FALSE,"Sheet1 (2)"}</definedName>
    <definedName name="WER_1" localSheetId="0" hidden="1">{#N/A,#N/A,FALSE,"Sheet1 (2)"}</definedName>
    <definedName name="WER_1" hidden="1">{#N/A,#N/A,FALSE,"Sheet1 (2)"}</definedName>
    <definedName name="WER_1_1" localSheetId="0" hidden="1">{#N/A,#N/A,FALSE,"Sheet1 (2)"}</definedName>
    <definedName name="WER_1_1" hidden="1">{#N/A,#N/A,FALSE,"Sheet1 (2)"}</definedName>
    <definedName name="WER_1_2" localSheetId="0" hidden="1">{#N/A,#N/A,FALSE,"Sheet1 (2)"}</definedName>
    <definedName name="WER_1_2" hidden="1">{#N/A,#N/A,FALSE,"Sheet1 (2)"}</definedName>
    <definedName name="WER_1_3" localSheetId="0" hidden="1">{#N/A,#N/A,FALSE,"Sheet1 (2)"}</definedName>
    <definedName name="WER_1_3" hidden="1">{#N/A,#N/A,FALSE,"Sheet1 (2)"}</definedName>
    <definedName name="WER_2" localSheetId="0" hidden="1">{#N/A,#N/A,FALSE,"Sheet1 (2)"}</definedName>
    <definedName name="WER_2" hidden="1">{#N/A,#N/A,FALSE,"Sheet1 (2)"}</definedName>
    <definedName name="WER_2_1" localSheetId="0" hidden="1">{#N/A,#N/A,FALSE,"Sheet1 (2)"}</definedName>
    <definedName name="WER_2_1" hidden="1">{#N/A,#N/A,FALSE,"Sheet1 (2)"}</definedName>
    <definedName name="WER_2_2" localSheetId="0" hidden="1">{#N/A,#N/A,FALSE,"Sheet1 (2)"}</definedName>
    <definedName name="WER_2_2" hidden="1">{#N/A,#N/A,FALSE,"Sheet1 (2)"}</definedName>
    <definedName name="WER_3" localSheetId="0" hidden="1">{#N/A,#N/A,FALSE,"Sheet1 (2)"}</definedName>
    <definedName name="WER_3" hidden="1">{#N/A,#N/A,FALSE,"Sheet1 (2)"}</definedName>
    <definedName name="WER_4" localSheetId="0" hidden="1">{#N/A,#N/A,FALSE,"Sheet1 (2)"}</definedName>
    <definedName name="WER_4" hidden="1">{#N/A,#N/A,FALSE,"Sheet1 (2)"}</definedName>
    <definedName name="WERWE" localSheetId="0" hidden="1">{#N/A,#N/A,FALSE,"Sheet1 (2)"}</definedName>
    <definedName name="WERWE" hidden="1">{#N/A,#N/A,FALSE,"Sheet1 (2)"}</definedName>
    <definedName name="WERWE_1" localSheetId="0" hidden="1">{#N/A,#N/A,FALSE,"Sheet1 (2)"}</definedName>
    <definedName name="WERWE_1" hidden="1">{#N/A,#N/A,FALSE,"Sheet1 (2)"}</definedName>
    <definedName name="WERWE_1_1" localSheetId="0" hidden="1">{#N/A,#N/A,FALSE,"Sheet1 (2)"}</definedName>
    <definedName name="WERWE_1_1" hidden="1">{#N/A,#N/A,FALSE,"Sheet1 (2)"}</definedName>
    <definedName name="WERWE_1_2" localSheetId="0" hidden="1">{#N/A,#N/A,FALSE,"Sheet1 (2)"}</definedName>
    <definedName name="WERWE_1_2" hidden="1">{#N/A,#N/A,FALSE,"Sheet1 (2)"}</definedName>
    <definedName name="WERWE_1_3" localSheetId="0" hidden="1">{#N/A,#N/A,FALSE,"Sheet1 (2)"}</definedName>
    <definedName name="WERWE_1_3" hidden="1">{#N/A,#N/A,FALSE,"Sheet1 (2)"}</definedName>
    <definedName name="WERWE_2" localSheetId="0" hidden="1">{#N/A,#N/A,FALSE,"Sheet1 (2)"}</definedName>
    <definedName name="WERWE_2" hidden="1">{#N/A,#N/A,FALSE,"Sheet1 (2)"}</definedName>
    <definedName name="WERWE_2_1" localSheetId="0" hidden="1">{#N/A,#N/A,FALSE,"Sheet1 (2)"}</definedName>
    <definedName name="WERWE_2_1" hidden="1">{#N/A,#N/A,FALSE,"Sheet1 (2)"}</definedName>
    <definedName name="WERWE_2_2" localSheetId="0" hidden="1">{#N/A,#N/A,FALSE,"Sheet1 (2)"}</definedName>
    <definedName name="WERWE_2_2" hidden="1">{#N/A,#N/A,FALSE,"Sheet1 (2)"}</definedName>
    <definedName name="WERWE_3" localSheetId="0" hidden="1">{#N/A,#N/A,FALSE,"Sheet1 (2)"}</definedName>
    <definedName name="WERWE_3" hidden="1">{#N/A,#N/A,FALSE,"Sheet1 (2)"}</definedName>
    <definedName name="WERWE_4" localSheetId="0" hidden="1">{#N/A,#N/A,FALSE,"Sheet1 (2)"}</definedName>
    <definedName name="WERWE_4" hidden="1">{#N/A,#N/A,FALSE,"Sheet1 (2)"}</definedName>
    <definedName name="WERWER" localSheetId="0" hidden="1">{#N/A,#N/A,FALSE,"Sheet1 (2)"}</definedName>
    <definedName name="WERWER" hidden="1">{#N/A,#N/A,FALSE,"Sheet1 (2)"}</definedName>
    <definedName name="WERWER_1" localSheetId="0" hidden="1">{#N/A,#N/A,FALSE,"Sheet1 (2)"}</definedName>
    <definedName name="WERWER_1" hidden="1">{#N/A,#N/A,FALSE,"Sheet1 (2)"}</definedName>
    <definedName name="WERWER_1_1" localSheetId="0" hidden="1">{#N/A,#N/A,FALSE,"Sheet1 (2)"}</definedName>
    <definedName name="WERWER_1_1" hidden="1">{#N/A,#N/A,FALSE,"Sheet1 (2)"}</definedName>
    <definedName name="WERWER_1_2" localSheetId="0" hidden="1">{#N/A,#N/A,FALSE,"Sheet1 (2)"}</definedName>
    <definedName name="WERWER_1_2" hidden="1">{#N/A,#N/A,FALSE,"Sheet1 (2)"}</definedName>
    <definedName name="WERWER_1_3" localSheetId="0" hidden="1">{#N/A,#N/A,FALSE,"Sheet1 (2)"}</definedName>
    <definedName name="WERWER_1_3" hidden="1">{#N/A,#N/A,FALSE,"Sheet1 (2)"}</definedName>
    <definedName name="WERWER_2" localSheetId="0" hidden="1">{#N/A,#N/A,FALSE,"Sheet1 (2)"}</definedName>
    <definedName name="WERWER_2" hidden="1">{#N/A,#N/A,FALSE,"Sheet1 (2)"}</definedName>
    <definedName name="WERWER_2_1" localSheetId="0" hidden="1">{#N/A,#N/A,FALSE,"Sheet1 (2)"}</definedName>
    <definedName name="WERWER_2_1" hidden="1">{#N/A,#N/A,FALSE,"Sheet1 (2)"}</definedName>
    <definedName name="WERWER_2_2" localSheetId="0" hidden="1">{#N/A,#N/A,FALSE,"Sheet1 (2)"}</definedName>
    <definedName name="WERWER_2_2" hidden="1">{#N/A,#N/A,FALSE,"Sheet1 (2)"}</definedName>
    <definedName name="WERWER_3" localSheetId="0" hidden="1">{#N/A,#N/A,FALSE,"Sheet1 (2)"}</definedName>
    <definedName name="WERWER_3" hidden="1">{#N/A,#N/A,FALSE,"Sheet1 (2)"}</definedName>
    <definedName name="WERWER_4" localSheetId="0" hidden="1">{#N/A,#N/A,FALSE,"Sheet1 (2)"}</definedName>
    <definedName name="WERWER_4" hidden="1">{#N/A,#N/A,FALSE,"Sheet1 (2)"}</definedName>
    <definedName name="WERWRWERWER" localSheetId="0" hidden="1">{#N/A,#N/A,FALSE,"Sheet1 (2)"}</definedName>
    <definedName name="WERWRWERWER" hidden="1">{#N/A,#N/A,FALSE,"Sheet1 (2)"}</definedName>
    <definedName name="WERWRWERWER_1" localSheetId="0" hidden="1">{#N/A,#N/A,FALSE,"Sheet1 (2)"}</definedName>
    <definedName name="WERWRWERWER_1" hidden="1">{#N/A,#N/A,FALSE,"Sheet1 (2)"}</definedName>
    <definedName name="WERWRWERWER_1_1" localSheetId="0" hidden="1">{#N/A,#N/A,FALSE,"Sheet1 (2)"}</definedName>
    <definedName name="WERWRWERWER_1_1" hidden="1">{#N/A,#N/A,FALSE,"Sheet1 (2)"}</definedName>
    <definedName name="WERWRWERWER_1_2" localSheetId="0" hidden="1">{#N/A,#N/A,FALSE,"Sheet1 (2)"}</definedName>
    <definedName name="WERWRWERWER_1_2" hidden="1">{#N/A,#N/A,FALSE,"Sheet1 (2)"}</definedName>
    <definedName name="WERWRWERWER_1_3" localSheetId="0" hidden="1">{#N/A,#N/A,FALSE,"Sheet1 (2)"}</definedName>
    <definedName name="WERWRWERWER_1_3" hidden="1">{#N/A,#N/A,FALSE,"Sheet1 (2)"}</definedName>
    <definedName name="WERWRWERWER_2" localSheetId="0" hidden="1">{#N/A,#N/A,FALSE,"Sheet1 (2)"}</definedName>
    <definedName name="WERWRWERWER_2" hidden="1">{#N/A,#N/A,FALSE,"Sheet1 (2)"}</definedName>
    <definedName name="WERWRWERWER_2_1" localSheetId="0" hidden="1">{#N/A,#N/A,FALSE,"Sheet1 (2)"}</definedName>
    <definedName name="WERWRWERWER_2_1" hidden="1">{#N/A,#N/A,FALSE,"Sheet1 (2)"}</definedName>
    <definedName name="WERWRWERWER_2_2" localSheetId="0" hidden="1">{#N/A,#N/A,FALSE,"Sheet1 (2)"}</definedName>
    <definedName name="WERWRWERWER_2_2" hidden="1">{#N/A,#N/A,FALSE,"Sheet1 (2)"}</definedName>
    <definedName name="WERWRWERWER_3" localSheetId="0" hidden="1">{#N/A,#N/A,FALSE,"Sheet1 (2)"}</definedName>
    <definedName name="WERWRWERWER_3" hidden="1">{#N/A,#N/A,FALSE,"Sheet1 (2)"}</definedName>
    <definedName name="WERWRWERWER_4" localSheetId="0" hidden="1">{#N/A,#N/A,FALSE,"Sheet1 (2)"}</definedName>
    <definedName name="WERWRWERWER_4" hidden="1">{#N/A,#N/A,FALSE,"Sheet1 (2)"}</definedName>
    <definedName name="wesd" localSheetId="0" hidden="1">{#N/A,#N/A,FALSE,"Sheet1 (2)"}</definedName>
    <definedName name="wesd" hidden="1">{#N/A,#N/A,FALSE,"Sheet1 (2)"}</definedName>
    <definedName name="wesd_1" localSheetId="0" hidden="1">{#N/A,#N/A,FALSE,"Sheet1 (2)"}</definedName>
    <definedName name="wesd_1" hidden="1">{#N/A,#N/A,FALSE,"Sheet1 (2)"}</definedName>
    <definedName name="wesd_1_1" localSheetId="0" hidden="1">{#N/A,#N/A,FALSE,"Sheet1 (2)"}</definedName>
    <definedName name="wesd_1_1" hidden="1">{#N/A,#N/A,FALSE,"Sheet1 (2)"}</definedName>
    <definedName name="wesd_1_2" localSheetId="0" hidden="1">{#N/A,#N/A,FALSE,"Sheet1 (2)"}</definedName>
    <definedName name="wesd_1_2" hidden="1">{#N/A,#N/A,FALSE,"Sheet1 (2)"}</definedName>
    <definedName name="wesd_1_3" localSheetId="0" hidden="1">{#N/A,#N/A,FALSE,"Sheet1 (2)"}</definedName>
    <definedName name="wesd_1_3" hidden="1">{#N/A,#N/A,FALSE,"Sheet1 (2)"}</definedName>
    <definedName name="wesd_2" localSheetId="0" hidden="1">{#N/A,#N/A,FALSE,"Sheet1 (2)"}</definedName>
    <definedName name="wesd_2" hidden="1">{#N/A,#N/A,FALSE,"Sheet1 (2)"}</definedName>
    <definedName name="wesd_2_1" localSheetId="0" hidden="1">{#N/A,#N/A,FALSE,"Sheet1 (2)"}</definedName>
    <definedName name="wesd_2_1" hidden="1">{#N/A,#N/A,FALSE,"Sheet1 (2)"}</definedName>
    <definedName name="wesd_2_2" localSheetId="0" hidden="1">{#N/A,#N/A,FALSE,"Sheet1 (2)"}</definedName>
    <definedName name="wesd_2_2" hidden="1">{#N/A,#N/A,FALSE,"Sheet1 (2)"}</definedName>
    <definedName name="wesd_3" localSheetId="0" hidden="1">{#N/A,#N/A,FALSE,"Sheet1 (2)"}</definedName>
    <definedName name="wesd_3" hidden="1">{#N/A,#N/A,FALSE,"Sheet1 (2)"}</definedName>
    <definedName name="wesd_4" localSheetId="0" hidden="1">{#N/A,#N/A,FALSE,"Sheet1 (2)"}</definedName>
    <definedName name="wesd_4" hidden="1">{#N/A,#N/A,FALSE,"Sheet1 (2)"}</definedName>
    <definedName name="WEW" localSheetId="0" hidden="1">{#N/A,#N/A,FALSE,"Sheet1 (2)"}</definedName>
    <definedName name="WEW" hidden="1">{#N/A,#N/A,FALSE,"Sheet1 (2)"}</definedName>
    <definedName name="wewq">#REF!</definedName>
    <definedName name="Work">#REF!</definedName>
    <definedName name="wqer" localSheetId="0">'Haziran Gerçekleşen Plan'!wqer</definedName>
    <definedName name="wqer">[0]!wqer</definedName>
    <definedName name="WR" localSheetId="0" hidden="1">{#N/A,#N/A,FALSE,"Sheet1 (2)"}</definedName>
    <definedName name="WR" hidden="1">{#N/A,#N/A,FALSE,"Sheet1 (2)"}</definedName>
    <definedName name="wrn.aa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schedules.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schedules.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capital._.schedules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executive._.summary." localSheetId="0" hidden="1">{"ex sum oth brnds",#N/A,FALSE,"Baking - retail"}</definedName>
    <definedName name="wrn.executive._.summary." hidden="1">{"ex sum oth brnds",#N/A,FALSE,"Baking - retail"}</definedName>
    <definedName name="wrn.gt." localSheetId="0" hidden="1">{#N/A,#N/A,FALSE,"MALİTABLOLAR"}</definedName>
    <definedName name="wrn.gt." hidden="1">{#N/A,#N/A,FALSE,"MALİTABLOLAR"}</definedName>
    <definedName name="wrn.gt._1" localSheetId="0" hidden="1">{#N/A,#N/A,FALSE,"MALİTABLOLAR"}</definedName>
    <definedName name="wrn.gt._1" hidden="1">{#N/A,#N/A,FALSE,"MALİTABLOLAR"}</definedName>
    <definedName name="wrn.gt._1_1" localSheetId="0" hidden="1">{#N/A,#N/A,FALSE,"MALİTABLOLAR"}</definedName>
    <definedName name="wrn.gt._1_1" hidden="1">{#N/A,#N/A,FALSE,"MALİTABLOLAR"}</definedName>
    <definedName name="wrn.gt._1_2" localSheetId="0" hidden="1">{#N/A,#N/A,FALSE,"MALİTABLOLAR"}</definedName>
    <definedName name="wrn.gt._1_2" hidden="1">{#N/A,#N/A,FALSE,"MALİTABLOLAR"}</definedName>
    <definedName name="wrn.gt._1_3" localSheetId="0" hidden="1">{#N/A,#N/A,FALSE,"MALİTABLOLAR"}</definedName>
    <definedName name="wrn.gt._1_3" hidden="1">{#N/A,#N/A,FALSE,"MALİTABLOLAR"}</definedName>
    <definedName name="wrn.gt._2" localSheetId="0" hidden="1">{#N/A,#N/A,FALSE,"MALİTABLOLAR"}</definedName>
    <definedName name="wrn.gt._2" hidden="1">{#N/A,#N/A,FALSE,"MALİTABLOLAR"}</definedName>
    <definedName name="wrn.gt._2_1" localSheetId="0" hidden="1">{#N/A,#N/A,FALSE,"MALİTABLOLAR"}</definedName>
    <definedName name="wrn.gt._2_1" hidden="1">{#N/A,#N/A,FALSE,"MALİTABLOLAR"}</definedName>
    <definedName name="wrn.gt._2_2" localSheetId="0" hidden="1">{#N/A,#N/A,FALSE,"MALİTABLOLAR"}</definedName>
    <definedName name="wrn.gt._2_2" hidden="1">{#N/A,#N/A,FALSE,"MALİTABLOLAR"}</definedName>
    <definedName name="wrn.gt._3" localSheetId="0" hidden="1">{#N/A,#N/A,FALSE,"MALİTABLOLAR"}</definedName>
    <definedName name="wrn.gt._3" hidden="1">{#N/A,#N/A,FALSE,"MALİTABLOLAR"}</definedName>
    <definedName name="wrn.gt._4" localSheetId="0" hidden="1">{#N/A,#N/A,FALSE,"MALİTABLOLAR"}</definedName>
    <definedName name="wrn.gt._4" hidden="1">{#N/A,#N/A,FALSE,"MALİTABLOLAR"}</definedName>
    <definedName name="wrn.Month." localSheetId="0" hidden="1">{#N/A,#N/A,FALSE,"Comp Balance";#N/A,#N/A,FALSE,"Sum Balance ";#N/A,#N/A,FALSE,"Balance Trend";#N/A,#N/A,FALSE,"Comp PL";#N/A,#N/A,FALSE,"PL";#N/A,#N/A,FALSE,"Sum PL";#N/A,#N/A,FALSE,"PL Trend";#N/A,#N/A,FALSE,"Change"}</definedName>
    <definedName name="wrn.Month." hidden="1">{#N/A,#N/A,FALSE,"Comp Balance";#N/A,#N/A,FALSE,"Sum Balance ";#N/A,#N/A,FALSE,"Balance Trend";#N/A,#N/A,FALSE,"Comp PL";#N/A,#N/A,FALSE,"PL";#N/A,#N/A,FALSE,"Sum PL";#N/A,#N/A,FALSE,"PL Trend";#N/A,#N/A,FALSE,"Change"}</definedName>
    <definedName name="wrn.payback." localSheetId="0" hidden="1">{"payback",#N/A,FALSE,"Wirtschaftlichkeitsberechnung"}</definedName>
    <definedName name="wrn.payback." hidden="1">{"payback",#N/A,FALSE,"Wirtschaftlichkeitsberechnung"}</definedName>
    <definedName name="wrn.payback2." localSheetId="0" hidden="1">{"payback2",#N/A,FALSE,"Wirtschaftlichkeitsberechnung"}</definedName>
    <definedName name="wrn.payback2." hidden="1">{"payback2",#N/A,FALSE,"Wirtschaftlichkeitsberechnung"}</definedName>
    <definedName name="wrn.RADYO._.PRINT.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wrn.RADYO._.PRINT.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wrn.RADYO._.PRINT._1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wrn.RADYO._.PRINT._1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wrn.RADYO._.PRINT._1_1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wrn.RADYO._.PRINT._1_1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wrn.RADYO._.PRINT._1_2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wrn.RADYO._.PRINT._1_2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wrn.RADYO._.PRINT._1_3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wrn.RADYO._.PRINT._1_3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wrn.RADYO._.PRINT._2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wrn.RADYO._.PRINT._2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wrn.RADYO._.PRINT._2_1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wrn.RADYO._.PRINT._2_1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wrn.RADYO._.PRINT._2_2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wrn.RADYO._.PRINT._2_2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wrn.RADYO._.PRINT._3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wrn.RADYO._.PRINT._3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wrn.RADYO._.PRINT._4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wrn.RADYO._.PRINT._4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wrn.report." localSheetId="0" hidden="1">{#N/A,#N/A,FALSE,"Summary"}</definedName>
    <definedName name="wrn.report." hidden="1">{#N/A,#N/A,FALSE,"Summary"}</definedName>
    <definedName name="wrn.Report1." localSheetId="0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rn.Report1.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rn.Satışların._.Maliyeti." localSheetId="0" hidden="1">{#N/A,#N/A,FALSE,"MALİTABLOLAR";#N/A,#N/A,FALSE,"PERS MSRMRZ";#N/A,#N/A,FALSE,"MALİTABLOLAR";#N/A,#N/A,FALSE,"İskonto"}</definedName>
    <definedName name="wrn.Satışların._.Maliyeti." hidden="1">{#N/A,#N/A,FALSE,"MALİTABLOLAR";#N/A,#N/A,FALSE,"PERS MSRMRZ";#N/A,#N/A,FALSE,"MALİTABLOLAR";#N/A,#N/A,FALSE,"İskonto"}</definedName>
    <definedName name="wrn.Satışların._.Maliyeti._1" localSheetId="0" hidden="1">{#N/A,#N/A,FALSE,"MALİTABLOLAR";#N/A,#N/A,FALSE,"PERS MSRMRZ";#N/A,#N/A,FALSE,"MALİTABLOLAR";#N/A,#N/A,FALSE,"İskonto"}</definedName>
    <definedName name="wrn.Satışların._.Maliyeti._1" hidden="1">{#N/A,#N/A,FALSE,"MALİTABLOLAR";#N/A,#N/A,FALSE,"PERS MSRMRZ";#N/A,#N/A,FALSE,"MALİTABLOLAR";#N/A,#N/A,FALSE,"İskonto"}</definedName>
    <definedName name="wrn.Satışların._.Maliyeti._1_1" localSheetId="0" hidden="1">{#N/A,#N/A,FALSE,"MALİTABLOLAR";#N/A,#N/A,FALSE,"PERS MSRMRZ";#N/A,#N/A,FALSE,"MALİTABLOLAR";#N/A,#N/A,FALSE,"İskonto"}</definedName>
    <definedName name="wrn.Satışların._.Maliyeti._1_1" hidden="1">{#N/A,#N/A,FALSE,"MALİTABLOLAR";#N/A,#N/A,FALSE,"PERS MSRMRZ";#N/A,#N/A,FALSE,"MALİTABLOLAR";#N/A,#N/A,FALSE,"İskonto"}</definedName>
    <definedName name="wrn.Satışların._.Maliyeti._1_2" localSheetId="0" hidden="1">{#N/A,#N/A,FALSE,"MALİTABLOLAR";#N/A,#N/A,FALSE,"PERS MSRMRZ";#N/A,#N/A,FALSE,"MALİTABLOLAR";#N/A,#N/A,FALSE,"İskonto"}</definedName>
    <definedName name="wrn.Satışların._.Maliyeti._1_2" hidden="1">{#N/A,#N/A,FALSE,"MALİTABLOLAR";#N/A,#N/A,FALSE,"PERS MSRMRZ";#N/A,#N/A,FALSE,"MALİTABLOLAR";#N/A,#N/A,FALSE,"İskonto"}</definedName>
    <definedName name="wrn.Satışların._.Maliyeti._1_3" localSheetId="0" hidden="1">{#N/A,#N/A,FALSE,"MALİTABLOLAR";#N/A,#N/A,FALSE,"PERS MSRMRZ";#N/A,#N/A,FALSE,"MALİTABLOLAR";#N/A,#N/A,FALSE,"İskonto"}</definedName>
    <definedName name="wrn.Satışların._.Maliyeti._1_3" hidden="1">{#N/A,#N/A,FALSE,"MALİTABLOLAR";#N/A,#N/A,FALSE,"PERS MSRMRZ";#N/A,#N/A,FALSE,"MALİTABLOLAR";#N/A,#N/A,FALSE,"İskonto"}</definedName>
    <definedName name="wrn.Satışların._.Maliyeti._2" localSheetId="0" hidden="1">{#N/A,#N/A,FALSE,"MALİTABLOLAR";#N/A,#N/A,FALSE,"PERS MSRMRZ";#N/A,#N/A,FALSE,"MALİTABLOLAR";#N/A,#N/A,FALSE,"İskonto"}</definedName>
    <definedName name="wrn.Satışların._.Maliyeti._2" hidden="1">{#N/A,#N/A,FALSE,"MALİTABLOLAR";#N/A,#N/A,FALSE,"PERS MSRMRZ";#N/A,#N/A,FALSE,"MALİTABLOLAR";#N/A,#N/A,FALSE,"İskonto"}</definedName>
    <definedName name="wrn.Satışların._.Maliyeti._2_1" localSheetId="0" hidden="1">{#N/A,#N/A,FALSE,"MALİTABLOLAR";#N/A,#N/A,FALSE,"PERS MSRMRZ";#N/A,#N/A,FALSE,"MALİTABLOLAR";#N/A,#N/A,FALSE,"İskonto"}</definedName>
    <definedName name="wrn.Satışların._.Maliyeti._2_1" hidden="1">{#N/A,#N/A,FALSE,"MALİTABLOLAR";#N/A,#N/A,FALSE,"PERS MSRMRZ";#N/A,#N/A,FALSE,"MALİTABLOLAR";#N/A,#N/A,FALSE,"İskonto"}</definedName>
    <definedName name="wrn.Satışların._.Maliyeti._2_2" localSheetId="0" hidden="1">{#N/A,#N/A,FALSE,"MALİTABLOLAR";#N/A,#N/A,FALSE,"PERS MSRMRZ";#N/A,#N/A,FALSE,"MALİTABLOLAR";#N/A,#N/A,FALSE,"İskonto"}</definedName>
    <definedName name="wrn.Satışların._.Maliyeti._2_2" hidden="1">{#N/A,#N/A,FALSE,"MALİTABLOLAR";#N/A,#N/A,FALSE,"PERS MSRMRZ";#N/A,#N/A,FALSE,"MALİTABLOLAR";#N/A,#N/A,FALSE,"İskonto"}</definedName>
    <definedName name="wrn.Satışların._.Maliyeti._3" localSheetId="0" hidden="1">{#N/A,#N/A,FALSE,"MALİTABLOLAR";#N/A,#N/A,FALSE,"PERS MSRMRZ";#N/A,#N/A,FALSE,"MALİTABLOLAR";#N/A,#N/A,FALSE,"İskonto"}</definedName>
    <definedName name="wrn.Satışların._.Maliyeti._3" hidden="1">{#N/A,#N/A,FALSE,"MALİTABLOLAR";#N/A,#N/A,FALSE,"PERS MSRMRZ";#N/A,#N/A,FALSE,"MALİTABLOLAR";#N/A,#N/A,FALSE,"İskonto"}</definedName>
    <definedName name="wrn.Satışların._.Maliyeti._4" localSheetId="0" hidden="1">{#N/A,#N/A,FALSE,"MALİTABLOLAR";#N/A,#N/A,FALSE,"PERS MSRMRZ";#N/A,#N/A,FALSE,"MALİTABLOLAR";#N/A,#N/A,FALSE,"İskonto"}</definedName>
    <definedName name="wrn.Satışların._.Maliyeti._4" hidden="1">{#N/A,#N/A,FALSE,"MALİTABLOLAR";#N/A,#N/A,FALSE,"PERS MSRMRZ";#N/A,#N/A,FALSE,"MALİTABLOLAR";#N/A,#N/A,FALSE,"İskonto"}</definedName>
    <definedName name="wrn.sse" localSheetId="0" hidden="1">{#N/A,#N/A,FALSE,"Sheet1 (2)"}</definedName>
    <definedName name="wrn.sse" hidden="1">{#N/A,#N/A,FALSE,"Sheet1 (2)"}</definedName>
    <definedName name="wrn.sse_1" localSheetId="0" hidden="1">{#N/A,#N/A,FALSE,"Sheet1 (2)"}</definedName>
    <definedName name="wrn.sse_1" hidden="1">{#N/A,#N/A,FALSE,"Sheet1 (2)"}</definedName>
    <definedName name="wrn.sse_1_1" localSheetId="0" hidden="1">{#N/A,#N/A,FALSE,"Sheet1 (2)"}</definedName>
    <definedName name="wrn.sse_1_1" hidden="1">{#N/A,#N/A,FALSE,"Sheet1 (2)"}</definedName>
    <definedName name="wrn.sse_1_2" localSheetId="0" hidden="1">{#N/A,#N/A,FALSE,"Sheet1 (2)"}</definedName>
    <definedName name="wrn.sse_1_2" hidden="1">{#N/A,#N/A,FALSE,"Sheet1 (2)"}</definedName>
    <definedName name="wrn.sse_1_3" localSheetId="0" hidden="1">{#N/A,#N/A,FALSE,"Sheet1 (2)"}</definedName>
    <definedName name="wrn.sse_1_3" hidden="1">{#N/A,#N/A,FALSE,"Sheet1 (2)"}</definedName>
    <definedName name="wrn.sse_2" localSheetId="0" hidden="1">{#N/A,#N/A,FALSE,"Sheet1 (2)"}</definedName>
    <definedName name="wrn.sse_2" hidden="1">{#N/A,#N/A,FALSE,"Sheet1 (2)"}</definedName>
    <definedName name="wrn.sse_2_1" localSheetId="0" hidden="1">{#N/A,#N/A,FALSE,"Sheet1 (2)"}</definedName>
    <definedName name="wrn.sse_2_1" hidden="1">{#N/A,#N/A,FALSE,"Sheet1 (2)"}</definedName>
    <definedName name="wrn.sse_2_2" localSheetId="0" hidden="1">{#N/A,#N/A,FALSE,"Sheet1 (2)"}</definedName>
    <definedName name="wrn.sse_2_2" hidden="1">{#N/A,#N/A,FALSE,"Sheet1 (2)"}</definedName>
    <definedName name="wrn.sse_3" localSheetId="0" hidden="1">{#N/A,#N/A,FALSE,"Sheet1 (2)"}</definedName>
    <definedName name="wrn.sse_3" hidden="1">{#N/A,#N/A,FALSE,"Sheet1 (2)"}</definedName>
    <definedName name="wrn.sse_4" localSheetId="0" hidden="1">{#N/A,#N/A,FALSE,"Sheet1 (2)"}</definedName>
    <definedName name="wrn.sse_4" hidden="1">{#N/A,#N/A,FALSE,"Sheet1 (2)"}</definedName>
    <definedName name="wrn.SSS." localSheetId="0" hidden="1">{#N/A,#N/A,FALSE,"Sheet1 (2)"}</definedName>
    <definedName name="wrn.SSS." hidden="1">{#N/A,#N/A,FALSE,"Sheet1 (2)"}</definedName>
    <definedName name="wrn.SSS._1" localSheetId="0" hidden="1">{#N/A,#N/A,FALSE,"Sheet1 (2)"}</definedName>
    <definedName name="wrn.SSS._1" hidden="1">{#N/A,#N/A,FALSE,"Sheet1 (2)"}</definedName>
    <definedName name="wrn.SSS._1_1" localSheetId="0" hidden="1">{#N/A,#N/A,FALSE,"Sheet1 (2)"}</definedName>
    <definedName name="wrn.SSS._1_1" hidden="1">{#N/A,#N/A,FALSE,"Sheet1 (2)"}</definedName>
    <definedName name="wrn.SSS._1_2" localSheetId="0" hidden="1">{#N/A,#N/A,FALSE,"Sheet1 (2)"}</definedName>
    <definedName name="wrn.SSS._1_2" hidden="1">{#N/A,#N/A,FALSE,"Sheet1 (2)"}</definedName>
    <definedName name="wrn.SSS._1_3" localSheetId="0" hidden="1">{#N/A,#N/A,FALSE,"Sheet1 (2)"}</definedName>
    <definedName name="wrn.SSS._1_3" hidden="1">{#N/A,#N/A,FALSE,"Sheet1 (2)"}</definedName>
    <definedName name="wrn.SSS._2" localSheetId="0" hidden="1">{#N/A,#N/A,FALSE,"Sheet1 (2)"}</definedName>
    <definedName name="wrn.SSS._2" hidden="1">{#N/A,#N/A,FALSE,"Sheet1 (2)"}</definedName>
    <definedName name="wrn.SSS._2_1" localSheetId="0" hidden="1">{#N/A,#N/A,FALSE,"Sheet1 (2)"}</definedName>
    <definedName name="wrn.SSS._2_1" hidden="1">{#N/A,#N/A,FALSE,"Sheet1 (2)"}</definedName>
    <definedName name="wrn.SSS._2_2" localSheetId="0" hidden="1">{#N/A,#N/A,FALSE,"Sheet1 (2)"}</definedName>
    <definedName name="wrn.SSS._2_2" hidden="1">{#N/A,#N/A,FALSE,"Sheet1 (2)"}</definedName>
    <definedName name="wrn.SSS._3" localSheetId="0" hidden="1">{#N/A,#N/A,FALSE,"Sheet1 (2)"}</definedName>
    <definedName name="wrn.SSS._3" hidden="1">{#N/A,#N/A,FALSE,"Sheet1 (2)"}</definedName>
    <definedName name="wrn.SSS._4" localSheetId="0" hidden="1">{#N/A,#N/A,FALSE,"Sheet1 (2)"}</definedName>
    <definedName name="wrn.SSS._4" hidden="1">{#N/A,#N/A,FALSE,"Sheet1 (2)"}</definedName>
    <definedName name="wrn.tobacco_charts." localSheetId="0" hidden="1">{#N/A,#N/A,FALSE,"L&amp;M Performance";#N/A,#N/A,FALSE,"Brand Performance";#N/A,#N/A,FALSE,"Marlboro Performance"}</definedName>
    <definedName name="wrn.tobacco_charts." hidden="1">{#N/A,#N/A,FALSE,"L&amp;M Performance";#N/A,#N/A,FALSE,"Brand Performance";#N/A,#N/A,FALSE,"Marlboro Performance"}</definedName>
    <definedName name="wrthsdfgbsfbg" localSheetId="0" hidden="1">{#N/A,#N/A,FALSE,"Sheet1 (2)"}</definedName>
    <definedName name="wrthsdfgbsfbg" hidden="1">{#N/A,#N/A,FALSE,"Sheet1 (2)"}</definedName>
    <definedName name="wrthsdfgbsfbg_1" localSheetId="0" hidden="1">{#N/A,#N/A,FALSE,"Sheet1 (2)"}</definedName>
    <definedName name="wrthsdfgbsfbg_1" hidden="1">{#N/A,#N/A,FALSE,"Sheet1 (2)"}</definedName>
    <definedName name="wrthsdfgbsfbg_1_1" localSheetId="0" hidden="1">{#N/A,#N/A,FALSE,"Sheet1 (2)"}</definedName>
    <definedName name="wrthsdfgbsfbg_1_1" hidden="1">{#N/A,#N/A,FALSE,"Sheet1 (2)"}</definedName>
    <definedName name="wrthsdfgbsfbg_1_2" localSheetId="0" hidden="1">{#N/A,#N/A,FALSE,"Sheet1 (2)"}</definedName>
    <definedName name="wrthsdfgbsfbg_1_2" hidden="1">{#N/A,#N/A,FALSE,"Sheet1 (2)"}</definedName>
    <definedName name="wrthsdfgbsfbg_1_3" localSheetId="0" hidden="1">{#N/A,#N/A,FALSE,"Sheet1 (2)"}</definedName>
    <definedName name="wrthsdfgbsfbg_1_3" hidden="1">{#N/A,#N/A,FALSE,"Sheet1 (2)"}</definedName>
    <definedName name="wrthsdfgbsfbg_2" localSheetId="0" hidden="1">{#N/A,#N/A,FALSE,"Sheet1 (2)"}</definedName>
    <definedName name="wrthsdfgbsfbg_2" hidden="1">{#N/A,#N/A,FALSE,"Sheet1 (2)"}</definedName>
    <definedName name="wrthsdfgbsfbg_2_1" localSheetId="0" hidden="1">{#N/A,#N/A,FALSE,"Sheet1 (2)"}</definedName>
    <definedName name="wrthsdfgbsfbg_2_1" hidden="1">{#N/A,#N/A,FALSE,"Sheet1 (2)"}</definedName>
    <definedName name="wrthsdfgbsfbg_2_2" localSheetId="0" hidden="1">{#N/A,#N/A,FALSE,"Sheet1 (2)"}</definedName>
    <definedName name="wrthsdfgbsfbg_2_2" hidden="1">{#N/A,#N/A,FALSE,"Sheet1 (2)"}</definedName>
    <definedName name="wrthsdfgbsfbg_3" localSheetId="0" hidden="1">{#N/A,#N/A,FALSE,"Sheet1 (2)"}</definedName>
    <definedName name="wrthsdfgbsfbg_3" hidden="1">{#N/A,#N/A,FALSE,"Sheet1 (2)"}</definedName>
    <definedName name="wrthsdfgbsfbg_4" localSheetId="0" hidden="1">{#N/A,#N/A,FALSE,"Sheet1 (2)"}</definedName>
    <definedName name="wrthsdfgbsfbg_4" hidden="1">{#N/A,#N/A,FALSE,"Sheet1 (2)"}</definedName>
    <definedName name="wrtrtr" localSheetId="0" hidden="1">{#N/A,#N/A,FALSE,"Sheet1 (2)"}</definedName>
    <definedName name="wrtrtr" hidden="1">{#N/A,#N/A,FALSE,"Sheet1 (2)"}</definedName>
    <definedName name="wrtrtr_1" localSheetId="0" hidden="1">{#N/A,#N/A,FALSE,"Sheet1 (2)"}</definedName>
    <definedName name="wrtrtr_1" hidden="1">{#N/A,#N/A,FALSE,"Sheet1 (2)"}</definedName>
    <definedName name="wrtrtr_1_1" localSheetId="0" hidden="1">{#N/A,#N/A,FALSE,"Sheet1 (2)"}</definedName>
    <definedName name="wrtrtr_1_1" hidden="1">{#N/A,#N/A,FALSE,"Sheet1 (2)"}</definedName>
    <definedName name="wrtrtr_1_2" localSheetId="0" hidden="1">{#N/A,#N/A,FALSE,"Sheet1 (2)"}</definedName>
    <definedName name="wrtrtr_1_2" hidden="1">{#N/A,#N/A,FALSE,"Sheet1 (2)"}</definedName>
    <definedName name="wrtrtr_1_3" localSheetId="0" hidden="1">{#N/A,#N/A,FALSE,"Sheet1 (2)"}</definedName>
    <definedName name="wrtrtr_1_3" hidden="1">{#N/A,#N/A,FALSE,"Sheet1 (2)"}</definedName>
    <definedName name="wrtrtr_2" localSheetId="0" hidden="1">{#N/A,#N/A,FALSE,"Sheet1 (2)"}</definedName>
    <definedName name="wrtrtr_2" hidden="1">{#N/A,#N/A,FALSE,"Sheet1 (2)"}</definedName>
    <definedName name="wrtrtr_2_1" localSheetId="0" hidden="1">{#N/A,#N/A,FALSE,"Sheet1 (2)"}</definedName>
    <definedName name="wrtrtr_2_1" hidden="1">{#N/A,#N/A,FALSE,"Sheet1 (2)"}</definedName>
    <definedName name="wrtrtr_2_2" localSheetId="0" hidden="1">{#N/A,#N/A,FALSE,"Sheet1 (2)"}</definedName>
    <definedName name="wrtrtr_2_2" hidden="1">{#N/A,#N/A,FALSE,"Sheet1 (2)"}</definedName>
    <definedName name="wrtrtr_3" localSheetId="0" hidden="1">{#N/A,#N/A,FALSE,"Sheet1 (2)"}</definedName>
    <definedName name="wrtrtr_3" hidden="1">{#N/A,#N/A,FALSE,"Sheet1 (2)"}</definedName>
    <definedName name="wrtrtr_4" localSheetId="0" hidden="1">{#N/A,#N/A,FALSE,"Sheet1 (2)"}</definedName>
    <definedName name="wrtrtr_4" hidden="1">{#N/A,#N/A,FALSE,"Sheet1 (2)"}</definedName>
    <definedName name="wrttsgqgq" localSheetId="0" hidden="1">{#N/A,#N/A,FALSE,"Sheet1 (2)"}</definedName>
    <definedName name="wrttsgqgq" hidden="1">{#N/A,#N/A,FALSE,"Sheet1 (2)"}</definedName>
    <definedName name="wrttsgqgq_1" localSheetId="0" hidden="1">{#N/A,#N/A,FALSE,"Sheet1 (2)"}</definedName>
    <definedName name="wrttsgqgq_1" hidden="1">{#N/A,#N/A,FALSE,"Sheet1 (2)"}</definedName>
    <definedName name="wrttsgqgq_1_1" localSheetId="0" hidden="1">{#N/A,#N/A,FALSE,"Sheet1 (2)"}</definedName>
    <definedName name="wrttsgqgq_1_1" hidden="1">{#N/A,#N/A,FALSE,"Sheet1 (2)"}</definedName>
    <definedName name="wrttsgqgq_1_2" localSheetId="0" hidden="1">{#N/A,#N/A,FALSE,"Sheet1 (2)"}</definedName>
    <definedName name="wrttsgqgq_1_2" hidden="1">{#N/A,#N/A,FALSE,"Sheet1 (2)"}</definedName>
    <definedName name="wrttsgqgq_1_3" localSheetId="0" hidden="1">{#N/A,#N/A,FALSE,"Sheet1 (2)"}</definedName>
    <definedName name="wrttsgqgq_1_3" hidden="1">{#N/A,#N/A,FALSE,"Sheet1 (2)"}</definedName>
    <definedName name="wrttsgqgq_2" localSheetId="0" hidden="1">{#N/A,#N/A,FALSE,"Sheet1 (2)"}</definedName>
    <definedName name="wrttsgqgq_2" hidden="1">{#N/A,#N/A,FALSE,"Sheet1 (2)"}</definedName>
    <definedName name="wrttsgqgq_2_1" localSheetId="0" hidden="1">{#N/A,#N/A,FALSE,"Sheet1 (2)"}</definedName>
    <definedName name="wrttsgqgq_2_1" hidden="1">{#N/A,#N/A,FALSE,"Sheet1 (2)"}</definedName>
    <definedName name="wrttsgqgq_2_2" localSheetId="0" hidden="1">{#N/A,#N/A,FALSE,"Sheet1 (2)"}</definedName>
    <definedName name="wrttsgqgq_2_2" hidden="1">{#N/A,#N/A,FALSE,"Sheet1 (2)"}</definedName>
    <definedName name="wrttsgqgq_3" localSheetId="0" hidden="1">{#N/A,#N/A,FALSE,"Sheet1 (2)"}</definedName>
    <definedName name="wrttsgqgq_3" hidden="1">{#N/A,#N/A,FALSE,"Sheet1 (2)"}</definedName>
    <definedName name="wrttsgqgq_4" localSheetId="0" hidden="1">{#N/A,#N/A,FALSE,"Sheet1 (2)"}</definedName>
    <definedName name="wrttsgqgq_4" hidden="1">{#N/A,#N/A,FALSE,"Sheet1 (2)"}</definedName>
    <definedName name="wvu.steve." localSheetId="0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wvu.steve.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ww">[138]ATV!#REF!</definedName>
    <definedName name="www" localSheetId="0" hidden="1">{#N/A,#N/A,FALSE,"Sheet1 (2)"}</definedName>
    <definedName name="www" hidden="1">{#N/A,#N/A,FALSE,"Sheet1 (2)"}</definedName>
    <definedName name="www_1" localSheetId="0" hidden="1">{#N/A,#N/A,FALSE,"Sheet1 (2)"}</definedName>
    <definedName name="www_1" hidden="1">{#N/A,#N/A,FALSE,"Sheet1 (2)"}</definedName>
    <definedName name="www_1_1" localSheetId="0" hidden="1">{#N/A,#N/A,FALSE,"Sheet1 (2)"}</definedName>
    <definedName name="www_1_1" hidden="1">{#N/A,#N/A,FALSE,"Sheet1 (2)"}</definedName>
    <definedName name="www_1_2" localSheetId="0" hidden="1">{#N/A,#N/A,FALSE,"Sheet1 (2)"}</definedName>
    <definedName name="www_1_2" hidden="1">{#N/A,#N/A,FALSE,"Sheet1 (2)"}</definedName>
    <definedName name="www_1_3" localSheetId="0" hidden="1">{#N/A,#N/A,FALSE,"Sheet1 (2)"}</definedName>
    <definedName name="www_1_3" hidden="1">{#N/A,#N/A,FALSE,"Sheet1 (2)"}</definedName>
    <definedName name="www_2" localSheetId="0" hidden="1">{#N/A,#N/A,FALSE,"Sheet1 (2)"}</definedName>
    <definedName name="www_2" hidden="1">{#N/A,#N/A,FALSE,"Sheet1 (2)"}</definedName>
    <definedName name="www_2_1" localSheetId="0" hidden="1">{#N/A,#N/A,FALSE,"Sheet1 (2)"}</definedName>
    <definedName name="www_2_1" hidden="1">{#N/A,#N/A,FALSE,"Sheet1 (2)"}</definedName>
    <definedName name="www_2_2" localSheetId="0" hidden="1">{#N/A,#N/A,FALSE,"Sheet1 (2)"}</definedName>
    <definedName name="www_2_2" hidden="1">{#N/A,#N/A,FALSE,"Sheet1 (2)"}</definedName>
    <definedName name="www_3" localSheetId="0" hidden="1">{#N/A,#N/A,FALSE,"Sheet1 (2)"}</definedName>
    <definedName name="www_3" hidden="1">{#N/A,#N/A,FALSE,"Sheet1 (2)"}</definedName>
    <definedName name="www_4" localSheetId="0" hidden="1">{#N/A,#N/A,FALSE,"Sheet1 (2)"}</definedName>
    <definedName name="www_4" hidden="1">{#N/A,#N/A,FALSE,"Sheet1 (2)"}</definedName>
    <definedName name="X" localSheetId="0" hidden="1">{#N/A,#N/A,FALSE,"Sheet1 (2)"}</definedName>
    <definedName name="X" hidden="1">{#N/A,#N/A,FALSE,"Sheet1 (2)"}</definedName>
    <definedName name="X_1" localSheetId="0" hidden="1">{#N/A,#N/A,FALSE,"Sheet1 (2)"}</definedName>
    <definedName name="X_1" hidden="1">{#N/A,#N/A,FALSE,"Sheet1 (2)"}</definedName>
    <definedName name="X_1_1" localSheetId="0" hidden="1">{#N/A,#N/A,FALSE,"Sheet1 (2)"}</definedName>
    <definedName name="X_1_1" hidden="1">{#N/A,#N/A,FALSE,"Sheet1 (2)"}</definedName>
    <definedName name="X_1_2" localSheetId="0" hidden="1">{#N/A,#N/A,FALSE,"Sheet1 (2)"}</definedName>
    <definedName name="X_1_2" hidden="1">{#N/A,#N/A,FALSE,"Sheet1 (2)"}</definedName>
    <definedName name="X_1_3" localSheetId="0" hidden="1">{#N/A,#N/A,FALSE,"Sheet1 (2)"}</definedName>
    <definedName name="X_1_3" hidden="1">{#N/A,#N/A,FALSE,"Sheet1 (2)"}</definedName>
    <definedName name="X_2" localSheetId="0" hidden="1">{#N/A,#N/A,FALSE,"Sheet1 (2)"}</definedName>
    <definedName name="X_2" hidden="1">{#N/A,#N/A,FALSE,"Sheet1 (2)"}</definedName>
    <definedName name="X_2_1" localSheetId="0" hidden="1">{#N/A,#N/A,FALSE,"Sheet1 (2)"}</definedName>
    <definedName name="X_2_1" hidden="1">{#N/A,#N/A,FALSE,"Sheet1 (2)"}</definedName>
    <definedName name="X_2_2" localSheetId="0" hidden="1">{#N/A,#N/A,FALSE,"Sheet1 (2)"}</definedName>
    <definedName name="X_2_2" hidden="1">{#N/A,#N/A,FALSE,"Sheet1 (2)"}</definedName>
    <definedName name="X_3" localSheetId="0" hidden="1">{#N/A,#N/A,FALSE,"Sheet1 (2)"}</definedName>
    <definedName name="X_3" hidden="1">{#N/A,#N/A,FALSE,"Sheet1 (2)"}</definedName>
    <definedName name="X_4" localSheetId="0" hidden="1">{#N/A,#N/A,FALSE,"Sheet1 (2)"}</definedName>
    <definedName name="X_4" hidden="1">{#N/A,#N/A,FALSE,"Sheet1 (2)"}</definedName>
    <definedName name="xcvhxkcvjlkcvjl" hidden="1">#REF!</definedName>
    <definedName name="XLR_ERRNAMESTR" hidden="1">#REF!</definedName>
    <definedName name="XLR_VERSION" hidden="1">#REF!</definedName>
    <definedName name="xsad" hidden="1">#REF!</definedName>
    <definedName name="xshop2">'[139]Cross-Shop'!$A$4:$AH$1853</definedName>
    <definedName name="XSXASX" localSheetId="0" hidden="1">{#N/A,#N/A,FALSE,"Sheet1 (2)"}</definedName>
    <definedName name="XSXASX" hidden="1">{#N/A,#N/A,FALSE,"Sheet1 (2)"}</definedName>
    <definedName name="xx" localSheetId="0" hidden="1">{#N/A,#N/A,FALSE,"Sheet1 (2)"}</definedName>
    <definedName name="xx" hidden="1">{#N/A,#N/A,FALSE,"Sheet1 (2)"}</definedName>
    <definedName name="xx_1" localSheetId="0" hidden="1">{#N/A,#N/A,FALSE,"Sheet1 (2)"}</definedName>
    <definedName name="xx_1" hidden="1">{#N/A,#N/A,FALSE,"Sheet1 (2)"}</definedName>
    <definedName name="xx_1_1" localSheetId="0" hidden="1">{#N/A,#N/A,FALSE,"Sheet1 (2)"}</definedName>
    <definedName name="xx_1_1" hidden="1">{#N/A,#N/A,FALSE,"Sheet1 (2)"}</definedName>
    <definedName name="xx_1_2" localSheetId="0" hidden="1">{#N/A,#N/A,FALSE,"Sheet1 (2)"}</definedName>
    <definedName name="xx_1_2" hidden="1">{#N/A,#N/A,FALSE,"Sheet1 (2)"}</definedName>
    <definedName name="xx_1_3" localSheetId="0" hidden="1">{#N/A,#N/A,FALSE,"Sheet1 (2)"}</definedName>
    <definedName name="xx_1_3" hidden="1">{#N/A,#N/A,FALSE,"Sheet1 (2)"}</definedName>
    <definedName name="xx_2" localSheetId="0" hidden="1">{#N/A,#N/A,FALSE,"Sheet1 (2)"}</definedName>
    <definedName name="xx_2" hidden="1">{#N/A,#N/A,FALSE,"Sheet1 (2)"}</definedName>
    <definedName name="xx_2_1" localSheetId="0" hidden="1">{#N/A,#N/A,FALSE,"Sheet1 (2)"}</definedName>
    <definedName name="xx_2_1" hidden="1">{#N/A,#N/A,FALSE,"Sheet1 (2)"}</definedName>
    <definedName name="xx_2_2" localSheetId="0" hidden="1">{#N/A,#N/A,FALSE,"Sheet1 (2)"}</definedName>
    <definedName name="xx_2_2" hidden="1">{#N/A,#N/A,FALSE,"Sheet1 (2)"}</definedName>
    <definedName name="xx_3" localSheetId="0" hidden="1">{#N/A,#N/A,FALSE,"Sheet1 (2)"}</definedName>
    <definedName name="xx_3" hidden="1">{#N/A,#N/A,FALSE,"Sheet1 (2)"}</definedName>
    <definedName name="xx_4" localSheetId="0" hidden="1">{#N/A,#N/A,FALSE,"Sheet1 (2)"}</definedName>
    <definedName name="xx_4" hidden="1">{#N/A,#N/A,FALSE,"Sheet1 (2)"}</definedName>
    <definedName name="xxx" localSheetId="0" hidden="1">{#N/A,#N/A,FALSE,"Sheet1 (2)"}</definedName>
    <definedName name="xxx" hidden="1">{#N/A,#N/A,FALSE,"Sheet1 (2)"}</definedName>
    <definedName name="xxx_1" localSheetId="0" hidden="1">{#N/A,#N/A,FALSE,"Sheet1 (2)"}</definedName>
    <definedName name="xxx_1" hidden="1">{#N/A,#N/A,FALSE,"Sheet1 (2)"}</definedName>
    <definedName name="xxx_1_1" localSheetId="0" hidden="1">{#N/A,#N/A,FALSE,"Sheet1 (2)"}</definedName>
    <definedName name="xxx_1_1" hidden="1">{#N/A,#N/A,FALSE,"Sheet1 (2)"}</definedName>
    <definedName name="xxx_1_2" localSheetId="0" hidden="1">{#N/A,#N/A,FALSE,"Sheet1 (2)"}</definedName>
    <definedName name="xxx_1_2" hidden="1">{#N/A,#N/A,FALSE,"Sheet1 (2)"}</definedName>
    <definedName name="xxx_1_3" localSheetId="0" hidden="1">{#N/A,#N/A,FALSE,"Sheet1 (2)"}</definedName>
    <definedName name="xxx_1_3" hidden="1">{#N/A,#N/A,FALSE,"Sheet1 (2)"}</definedName>
    <definedName name="xxx_2" localSheetId="0" hidden="1">{#N/A,#N/A,FALSE,"Sheet1 (2)"}</definedName>
    <definedName name="xxx_2" hidden="1">{#N/A,#N/A,FALSE,"Sheet1 (2)"}</definedName>
    <definedName name="xxx_2_1" localSheetId="0" hidden="1">{#N/A,#N/A,FALSE,"Sheet1 (2)"}</definedName>
    <definedName name="xxx_2_1" hidden="1">{#N/A,#N/A,FALSE,"Sheet1 (2)"}</definedName>
    <definedName name="xxx_2_2" localSheetId="0" hidden="1">{#N/A,#N/A,FALSE,"Sheet1 (2)"}</definedName>
    <definedName name="xxx_2_2" hidden="1">{#N/A,#N/A,FALSE,"Sheet1 (2)"}</definedName>
    <definedName name="xxx_3" localSheetId="0" hidden="1">{#N/A,#N/A,FALSE,"Sheet1 (2)"}</definedName>
    <definedName name="xxx_3" hidden="1">{#N/A,#N/A,FALSE,"Sheet1 (2)"}</definedName>
    <definedName name="xxx_4" localSheetId="0" hidden="1">{#N/A,#N/A,FALSE,"Sheet1 (2)"}</definedName>
    <definedName name="xxx_4" hidden="1">{#N/A,#N/A,FALSE,"Sheet1 (2)"}</definedName>
    <definedName name="XXXX">"Anno  "&amp;[136]!Anno-1</definedName>
    <definedName name="XXXXX">[136]Ref!Mese&amp;" "&amp;[136]!Anno</definedName>
    <definedName name="xxxxxxxx" localSheetId="0" hidden="1">{#N/A,#N/A,FALSE,"Sheet1 (2)"}</definedName>
    <definedName name="xxxxxxxx" hidden="1">{#N/A,#N/A,FALSE,"Sheet1 (2)"}</definedName>
    <definedName name="xxxxxxxx_1" localSheetId="0" hidden="1">{#N/A,#N/A,FALSE,"Sheet1 (2)"}</definedName>
    <definedName name="xxxxxxxx_1" hidden="1">{#N/A,#N/A,FALSE,"Sheet1 (2)"}</definedName>
    <definedName name="xxxxxxxx_1_1" localSheetId="0" hidden="1">{#N/A,#N/A,FALSE,"Sheet1 (2)"}</definedName>
    <definedName name="xxxxxxxx_1_1" hidden="1">{#N/A,#N/A,FALSE,"Sheet1 (2)"}</definedName>
    <definedName name="xxxxxxxx_1_2" localSheetId="0" hidden="1">{#N/A,#N/A,FALSE,"Sheet1 (2)"}</definedName>
    <definedName name="xxxxxxxx_1_2" hidden="1">{#N/A,#N/A,FALSE,"Sheet1 (2)"}</definedName>
    <definedName name="xxxxxxxx_1_3" localSheetId="0" hidden="1">{#N/A,#N/A,FALSE,"Sheet1 (2)"}</definedName>
    <definedName name="xxxxxxxx_1_3" hidden="1">{#N/A,#N/A,FALSE,"Sheet1 (2)"}</definedName>
    <definedName name="xxxxxxxx_2" localSheetId="0" hidden="1">{#N/A,#N/A,FALSE,"Sheet1 (2)"}</definedName>
    <definedName name="xxxxxxxx_2" hidden="1">{#N/A,#N/A,FALSE,"Sheet1 (2)"}</definedName>
    <definedName name="xxxxxxxx_2_1" localSheetId="0" hidden="1">{#N/A,#N/A,FALSE,"Sheet1 (2)"}</definedName>
    <definedName name="xxxxxxxx_2_1" hidden="1">{#N/A,#N/A,FALSE,"Sheet1 (2)"}</definedName>
    <definedName name="xxxxxxxx_2_2" localSheetId="0" hidden="1">{#N/A,#N/A,FALSE,"Sheet1 (2)"}</definedName>
    <definedName name="xxxxxxxx_2_2" hidden="1">{#N/A,#N/A,FALSE,"Sheet1 (2)"}</definedName>
    <definedName name="xxxxxxxx_3" localSheetId="0" hidden="1">{#N/A,#N/A,FALSE,"Sheet1 (2)"}</definedName>
    <definedName name="xxxxxxxx_3" hidden="1">{#N/A,#N/A,FALSE,"Sheet1 (2)"}</definedName>
    <definedName name="xxxxxxxx_4" localSheetId="0" hidden="1">{#N/A,#N/A,FALSE,"Sheet1 (2)"}</definedName>
    <definedName name="xxxxxxxx_4" hidden="1">{#N/A,#N/A,FALSE,"Sheet1 (2)"}</definedName>
    <definedName name="xxxxxxxxxxxxxxx" localSheetId="0" hidden="1">{"'Jan - March 2000'!$A$5:$J$46"}</definedName>
    <definedName name="xxxxxxxxxxxxxxx" hidden="1">{"'Jan - March 2000'!$A$5:$J$46"}</definedName>
    <definedName name="xxxxxxxxxxxxxxxxxxxx" localSheetId="0" hidden="1">{#N/A,#N/A,FALSE,"Sheet1 (2)"}</definedName>
    <definedName name="xxxxxxxxxxxxxxxxxxxx" hidden="1">{#N/A,#N/A,FALSE,"Sheet1 (2)"}</definedName>
    <definedName name="xxxxxxxxxxxxxxxxxxxxxxxx" localSheetId="0" hidden="1">{#N/A,#N/A,FALSE,"Sheet1 (2)"}</definedName>
    <definedName name="xxxxxxxxxxxxxxxxxxxxxxxx" hidden="1">{#N/A,#N/A,FALSE,"Sheet1 (2)"}</definedName>
    <definedName name="xyz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xyz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xyzt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xyzt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xyzt_1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xyzt_1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xyzt_1_1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xyzt_1_1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xyzt_1_2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xyzt_1_2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xyzt_1_3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xyzt_1_3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xyzt_2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xyzt_2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xyzt_2_1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xyzt_2_1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xyzt_2_2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xyzt_2_2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xyzt_3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xyzt_3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xyzt_4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xyzt_4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Y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Y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Y_1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Y_1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Y_1_1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Y_1_1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Y_1_2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Y_1_2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Y_1_3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Y_1_3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Y_2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Y_2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Y_2_1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Y_2_1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Y_2_2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Y_2_2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Y_3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Y_3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Y_4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Y_4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y6476uywuw" localSheetId="0" hidden="1">{#N/A,#N/A,FALSE,"Sheet1 (2)"}</definedName>
    <definedName name="y6476uywuw" hidden="1">{#N/A,#N/A,FALSE,"Sheet1 (2)"}</definedName>
    <definedName name="y6476uywuw_1" localSheetId="0" hidden="1">{#N/A,#N/A,FALSE,"Sheet1 (2)"}</definedName>
    <definedName name="y6476uywuw_1" hidden="1">{#N/A,#N/A,FALSE,"Sheet1 (2)"}</definedName>
    <definedName name="y6476uywuw_1_1" localSheetId="0" hidden="1">{#N/A,#N/A,FALSE,"Sheet1 (2)"}</definedName>
    <definedName name="y6476uywuw_1_1" hidden="1">{#N/A,#N/A,FALSE,"Sheet1 (2)"}</definedName>
    <definedName name="y6476uywuw_1_2" localSheetId="0" hidden="1">{#N/A,#N/A,FALSE,"Sheet1 (2)"}</definedName>
    <definedName name="y6476uywuw_1_2" hidden="1">{#N/A,#N/A,FALSE,"Sheet1 (2)"}</definedName>
    <definedName name="y6476uywuw_1_3" localSheetId="0" hidden="1">{#N/A,#N/A,FALSE,"Sheet1 (2)"}</definedName>
    <definedName name="y6476uywuw_1_3" hidden="1">{#N/A,#N/A,FALSE,"Sheet1 (2)"}</definedName>
    <definedName name="y6476uywuw_2" localSheetId="0" hidden="1">{#N/A,#N/A,FALSE,"Sheet1 (2)"}</definedName>
    <definedName name="y6476uywuw_2" hidden="1">{#N/A,#N/A,FALSE,"Sheet1 (2)"}</definedName>
    <definedName name="y6476uywuw_2_1" localSheetId="0" hidden="1">{#N/A,#N/A,FALSE,"Sheet1 (2)"}</definedName>
    <definedName name="y6476uywuw_2_1" hidden="1">{#N/A,#N/A,FALSE,"Sheet1 (2)"}</definedName>
    <definedName name="y6476uywuw_2_2" localSheetId="0" hidden="1">{#N/A,#N/A,FALSE,"Sheet1 (2)"}</definedName>
    <definedName name="y6476uywuw_2_2" hidden="1">{#N/A,#N/A,FALSE,"Sheet1 (2)"}</definedName>
    <definedName name="y6476uywuw_3" localSheetId="0" hidden="1">{#N/A,#N/A,FALSE,"Sheet1 (2)"}</definedName>
    <definedName name="y6476uywuw_3" hidden="1">{#N/A,#N/A,FALSE,"Sheet1 (2)"}</definedName>
    <definedName name="y6476uywuw_4" localSheetId="0" hidden="1">{#N/A,#N/A,FALSE,"Sheet1 (2)"}</definedName>
    <definedName name="y6476uywuw_4" hidden="1">{#N/A,#N/A,FALSE,"Sheet1 (2)"}</definedName>
    <definedName name="y6t6gf" localSheetId="0" hidden="1">{#N/A,#N/A,FALSE,"Sheet1 (2)"}</definedName>
    <definedName name="y6t6gf" hidden="1">{#N/A,#N/A,FALSE,"Sheet1 (2)"}</definedName>
    <definedName name="y6t6gf_1" localSheetId="0" hidden="1">{#N/A,#N/A,FALSE,"Sheet1 (2)"}</definedName>
    <definedName name="y6t6gf_1" hidden="1">{#N/A,#N/A,FALSE,"Sheet1 (2)"}</definedName>
    <definedName name="y6t6gf_1_1" localSheetId="0" hidden="1">{#N/A,#N/A,FALSE,"Sheet1 (2)"}</definedName>
    <definedName name="y6t6gf_1_1" hidden="1">{#N/A,#N/A,FALSE,"Sheet1 (2)"}</definedName>
    <definedName name="y6t6gf_1_2" localSheetId="0" hidden="1">{#N/A,#N/A,FALSE,"Sheet1 (2)"}</definedName>
    <definedName name="y6t6gf_1_2" hidden="1">{#N/A,#N/A,FALSE,"Sheet1 (2)"}</definedName>
    <definedName name="y6t6gf_1_3" localSheetId="0" hidden="1">{#N/A,#N/A,FALSE,"Sheet1 (2)"}</definedName>
    <definedName name="y6t6gf_1_3" hidden="1">{#N/A,#N/A,FALSE,"Sheet1 (2)"}</definedName>
    <definedName name="y6t6gf_2" localSheetId="0" hidden="1">{#N/A,#N/A,FALSE,"Sheet1 (2)"}</definedName>
    <definedName name="y6t6gf_2" hidden="1">{#N/A,#N/A,FALSE,"Sheet1 (2)"}</definedName>
    <definedName name="y6t6gf_2_1" localSheetId="0" hidden="1">{#N/A,#N/A,FALSE,"Sheet1 (2)"}</definedName>
    <definedName name="y6t6gf_2_1" hidden="1">{#N/A,#N/A,FALSE,"Sheet1 (2)"}</definedName>
    <definedName name="y6t6gf_2_2" localSheetId="0" hidden="1">{#N/A,#N/A,FALSE,"Sheet1 (2)"}</definedName>
    <definedName name="y6t6gf_2_2" hidden="1">{#N/A,#N/A,FALSE,"Sheet1 (2)"}</definedName>
    <definedName name="y6t6gf_3" localSheetId="0" hidden="1">{#N/A,#N/A,FALSE,"Sheet1 (2)"}</definedName>
    <definedName name="y6t6gf_3" hidden="1">{#N/A,#N/A,FALSE,"Sheet1 (2)"}</definedName>
    <definedName name="y6t6gf_4" localSheetId="0" hidden="1">{#N/A,#N/A,FALSE,"Sheet1 (2)"}</definedName>
    <definedName name="y6t6gf_4" hidden="1">{#N/A,#N/A,FALSE,"Sheet1 (2)"}</definedName>
    <definedName name="YAĞ" localSheetId="0" hidden="1">{#N/A,#N/A,FALSE,"MALİTABLOLAR"}</definedName>
    <definedName name="YAĞ" hidden="1">{#N/A,#N/A,FALSE,"MALİTABLOLAR"}</definedName>
    <definedName name="YAĞ_1" localSheetId="0" hidden="1">{#N/A,#N/A,FALSE,"MALİTABLOLAR"}</definedName>
    <definedName name="YAĞ_1" hidden="1">{#N/A,#N/A,FALSE,"MALİTABLOLAR"}</definedName>
    <definedName name="YAĞ_1_1" localSheetId="0" hidden="1">{#N/A,#N/A,FALSE,"MALİTABLOLAR"}</definedName>
    <definedName name="YAĞ_1_1" hidden="1">{#N/A,#N/A,FALSE,"MALİTABLOLAR"}</definedName>
    <definedName name="YAĞ_1_2" localSheetId="0" hidden="1">{#N/A,#N/A,FALSE,"MALİTABLOLAR"}</definedName>
    <definedName name="YAĞ_1_2" hidden="1">{#N/A,#N/A,FALSE,"MALİTABLOLAR"}</definedName>
    <definedName name="YAĞ_1_3" localSheetId="0" hidden="1">{#N/A,#N/A,FALSE,"MALİTABLOLAR"}</definedName>
    <definedName name="YAĞ_1_3" hidden="1">{#N/A,#N/A,FALSE,"MALİTABLOLAR"}</definedName>
    <definedName name="YAĞ_2" localSheetId="0" hidden="1">{#N/A,#N/A,FALSE,"MALİTABLOLAR"}</definedName>
    <definedName name="YAĞ_2" hidden="1">{#N/A,#N/A,FALSE,"MALİTABLOLAR"}</definedName>
    <definedName name="YAĞ_2_1" localSheetId="0" hidden="1">{#N/A,#N/A,FALSE,"MALİTABLOLAR"}</definedName>
    <definedName name="YAĞ_2_1" hidden="1">{#N/A,#N/A,FALSE,"MALİTABLOLAR"}</definedName>
    <definedName name="YAĞ_2_2" localSheetId="0" hidden="1">{#N/A,#N/A,FALSE,"MALİTABLOLAR"}</definedName>
    <definedName name="YAĞ_2_2" hidden="1">{#N/A,#N/A,FALSE,"MALİTABLOLAR"}</definedName>
    <definedName name="YAĞ_3" localSheetId="0" hidden="1">{#N/A,#N/A,FALSE,"MALİTABLOLAR"}</definedName>
    <definedName name="YAĞ_3" hidden="1">{#N/A,#N/A,FALSE,"MALİTABLOLAR"}</definedName>
    <definedName name="YAĞ_4" localSheetId="0" hidden="1">{#N/A,#N/A,FALSE,"MALİTABLOLAR"}</definedName>
    <definedName name="YAĞ_4" hidden="1">{#N/A,#N/A,FALSE,"MALİTABLOLAR"}</definedName>
    <definedName name="Yahoo">#REF!</definedName>
    <definedName name="YALOVA">#REF!</definedName>
    <definedName name="YANDEX">#REF!</definedName>
    <definedName name="yas" localSheetId="0" hidden="1">{#N/A,#N/A,FALSE,"Sheet1 (2)"}</definedName>
    <definedName name="yas" hidden="1">{#N/A,#N/A,FALSE,"Sheet1 (2)"}</definedName>
    <definedName name="YEARR" localSheetId="0" hidden="1">{"'Jan - March 2000'!$A$5:$J$46"}</definedName>
    <definedName name="YEARR" hidden="1">{"'Jan - March 2000'!$A$5:$J$46"}</definedName>
    <definedName name="yelda" localSheetId="0" hidden="1">{#N/A,#N/A,FALSE,"Sheet1 (2)"}</definedName>
    <definedName name="yelda" hidden="1">{#N/A,#N/A,FALSE,"Sheet1 (2)"}</definedName>
    <definedName name="yelda_1" localSheetId="0" hidden="1">{#N/A,#N/A,FALSE,"Sheet1 (2)"}</definedName>
    <definedName name="yelda_1" hidden="1">{#N/A,#N/A,FALSE,"Sheet1 (2)"}</definedName>
    <definedName name="yelda_1_1" localSheetId="0" hidden="1">{#N/A,#N/A,FALSE,"Sheet1 (2)"}</definedName>
    <definedName name="yelda_1_1" hidden="1">{#N/A,#N/A,FALSE,"Sheet1 (2)"}</definedName>
    <definedName name="yelda_1_2" localSheetId="0" hidden="1">{#N/A,#N/A,FALSE,"Sheet1 (2)"}</definedName>
    <definedName name="yelda_1_2" hidden="1">{#N/A,#N/A,FALSE,"Sheet1 (2)"}</definedName>
    <definedName name="yelda_1_3" localSheetId="0" hidden="1">{#N/A,#N/A,FALSE,"Sheet1 (2)"}</definedName>
    <definedName name="yelda_1_3" hidden="1">{#N/A,#N/A,FALSE,"Sheet1 (2)"}</definedName>
    <definedName name="yelda_2" localSheetId="0" hidden="1">{#N/A,#N/A,FALSE,"Sheet1 (2)"}</definedName>
    <definedName name="yelda_2" hidden="1">{#N/A,#N/A,FALSE,"Sheet1 (2)"}</definedName>
    <definedName name="yelda_2_1" localSheetId="0" hidden="1">{#N/A,#N/A,FALSE,"Sheet1 (2)"}</definedName>
    <definedName name="yelda_2_1" hidden="1">{#N/A,#N/A,FALSE,"Sheet1 (2)"}</definedName>
    <definedName name="yelda_2_2" localSheetId="0" hidden="1">{#N/A,#N/A,FALSE,"Sheet1 (2)"}</definedName>
    <definedName name="yelda_2_2" hidden="1">{#N/A,#N/A,FALSE,"Sheet1 (2)"}</definedName>
    <definedName name="yelda_3" localSheetId="0" hidden="1">{#N/A,#N/A,FALSE,"Sheet1 (2)"}</definedName>
    <definedName name="yelda_3" hidden="1">{#N/A,#N/A,FALSE,"Sheet1 (2)"}</definedName>
    <definedName name="yelda_4" localSheetId="0" hidden="1">{#N/A,#N/A,FALSE,"Sheet1 (2)"}</definedName>
    <definedName name="yelda_4" hidden="1">{#N/A,#N/A,FALSE,"Sheet1 (2)"}</definedName>
    <definedName name="YEMEKSEPETİ">#REF!</definedName>
    <definedName name="YENI">#REF!</definedName>
    <definedName name="YENİ" localSheetId="0" hidden="1">{#N/A,#N/A,FALSE,"Sheet1 (2)"}</definedName>
    <definedName name="YENİ" hidden="1">{#N/A,#N/A,FALSE,"Sheet1 (2)"}</definedName>
    <definedName name="YENİ_1" localSheetId="0" hidden="1">{#N/A,#N/A,FALSE,"Sheet1 (2)"}</definedName>
    <definedName name="YENİ_1" hidden="1">{#N/A,#N/A,FALSE,"Sheet1 (2)"}</definedName>
    <definedName name="YENİ_1_1" localSheetId="0" hidden="1">{#N/A,#N/A,FALSE,"Sheet1 (2)"}</definedName>
    <definedName name="YENİ_1_1" hidden="1">{#N/A,#N/A,FALSE,"Sheet1 (2)"}</definedName>
    <definedName name="YENİ_1_2" localSheetId="0" hidden="1">{#N/A,#N/A,FALSE,"Sheet1 (2)"}</definedName>
    <definedName name="YENİ_1_2" hidden="1">{#N/A,#N/A,FALSE,"Sheet1 (2)"}</definedName>
    <definedName name="YENİ_1_3" localSheetId="0" hidden="1">{#N/A,#N/A,FALSE,"Sheet1 (2)"}</definedName>
    <definedName name="YENİ_1_3" hidden="1">{#N/A,#N/A,FALSE,"Sheet1 (2)"}</definedName>
    <definedName name="YENİ_2" localSheetId="0" hidden="1">{#N/A,#N/A,FALSE,"Sheet1 (2)"}</definedName>
    <definedName name="YENİ_2" hidden="1">{#N/A,#N/A,FALSE,"Sheet1 (2)"}</definedName>
    <definedName name="YENİ_2_1" localSheetId="0" hidden="1">{#N/A,#N/A,FALSE,"Sheet1 (2)"}</definedName>
    <definedName name="YENİ_2_1" hidden="1">{#N/A,#N/A,FALSE,"Sheet1 (2)"}</definedName>
    <definedName name="YENİ_2_2" localSheetId="0" hidden="1">{#N/A,#N/A,FALSE,"Sheet1 (2)"}</definedName>
    <definedName name="YENİ_2_2" hidden="1">{#N/A,#N/A,FALSE,"Sheet1 (2)"}</definedName>
    <definedName name="YENİ_3" localSheetId="0" hidden="1">{#N/A,#N/A,FALSE,"Sheet1 (2)"}</definedName>
    <definedName name="YENİ_3" hidden="1">{#N/A,#N/A,FALSE,"Sheet1 (2)"}</definedName>
    <definedName name="YENİ_4" localSheetId="0" hidden="1">{#N/A,#N/A,FALSE,"Sheet1 (2)"}</definedName>
    <definedName name="YENİ_4" hidden="1">{#N/A,#N/A,FALSE,"Sheet1 (2)"}</definedName>
    <definedName name="YENİGÜN">#REF!</definedName>
    <definedName name="yenitarget">[42]GRP!$G$3:$HW$3</definedName>
    <definedName name="yenı_1" localSheetId="0" hidden="1">{#N/A,#N/A,FALSE,"Sheet1 (2)"}</definedName>
    <definedName name="yenı_1" hidden="1">{#N/A,#N/A,FALSE,"Sheet1 (2)"}</definedName>
    <definedName name="yenı_1_1" localSheetId="0" hidden="1">{#N/A,#N/A,FALSE,"Sheet1 (2)"}</definedName>
    <definedName name="yenı_1_1" hidden="1">{#N/A,#N/A,FALSE,"Sheet1 (2)"}</definedName>
    <definedName name="yenı_1_2" localSheetId="0" hidden="1">{#N/A,#N/A,FALSE,"Sheet1 (2)"}</definedName>
    <definedName name="yenı_1_2" hidden="1">{#N/A,#N/A,FALSE,"Sheet1 (2)"}</definedName>
    <definedName name="yenı_1_3" localSheetId="0" hidden="1">{#N/A,#N/A,FALSE,"Sheet1 (2)"}</definedName>
    <definedName name="yenı_1_3" hidden="1">{#N/A,#N/A,FALSE,"Sheet1 (2)"}</definedName>
    <definedName name="yenı_2" localSheetId="0" hidden="1">{#N/A,#N/A,FALSE,"Sheet1 (2)"}</definedName>
    <definedName name="yenı_2" hidden="1">{#N/A,#N/A,FALSE,"Sheet1 (2)"}</definedName>
    <definedName name="yenı_2_1" localSheetId="0" hidden="1">{#N/A,#N/A,FALSE,"Sheet1 (2)"}</definedName>
    <definedName name="yenı_2_1" hidden="1">{#N/A,#N/A,FALSE,"Sheet1 (2)"}</definedName>
    <definedName name="yenı_2_2" localSheetId="0" hidden="1">{#N/A,#N/A,FALSE,"Sheet1 (2)"}</definedName>
    <definedName name="yenı_2_2" hidden="1">{#N/A,#N/A,FALSE,"Sheet1 (2)"}</definedName>
    <definedName name="yenı_3" localSheetId="0" hidden="1">{#N/A,#N/A,FALSE,"Sheet1 (2)"}</definedName>
    <definedName name="yenı_3" hidden="1">{#N/A,#N/A,FALSE,"Sheet1 (2)"}</definedName>
    <definedName name="yenı_4" localSheetId="0" hidden="1">{#N/A,#N/A,FALSE,"Sheet1 (2)"}</definedName>
    <definedName name="yenı_4" hidden="1">{#N/A,#N/A,FALSE,"Sheet1 (2)"}</definedName>
    <definedName name="YEREL" localSheetId="0" hidden="1">{#N/A,#N/A,FALSE,"Sheet1 (2)"}</definedName>
    <definedName name="YEREL" hidden="1">{#N/A,#N/A,FALSE,"Sheet1 (2)"}</definedName>
    <definedName name="YEREL_1" localSheetId="0" hidden="1">{#N/A,#N/A,FALSE,"Sheet1 (2)"}</definedName>
    <definedName name="YEREL_1" hidden="1">{#N/A,#N/A,FALSE,"Sheet1 (2)"}</definedName>
    <definedName name="YEREL_1_1" localSheetId="0" hidden="1">{#N/A,#N/A,FALSE,"Sheet1 (2)"}</definedName>
    <definedName name="YEREL_1_1" hidden="1">{#N/A,#N/A,FALSE,"Sheet1 (2)"}</definedName>
    <definedName name="YEREL_1_2" localSheetId="0" hidden="1">{#N/A,#N/A,FALSE,"Sheet1 (2)"}</definedName>
    <definedName name="YEREL_1_2" hidden="1">{#N/A,#N/A,FALSE,"Sheet1 (2)"}</definedName>
    <definedName name="YEREL_1_3" localSheetId="0" hidden="1">{#N/A,#N/A,FALSE,"Sheet1 (2)"}</definedName>
    <definedName name="YEREL_1_3" hidden="1">{#N/A,#N/A,FALSE,"Sheet1 (2)"}</definedName>
    <definedName name="YEREL_2" localSheetId="0" hidden="1">{#N/A,#N/A,FALSE,"Sheet1 (2)"}</definedName>
    <definedName name="YEREL_2" hidden="1">{#N/A,#N/A,FALSE,"Sheet1 (2)"}</definedName>
    <definedName name="YEREL_2_1" localSheetId="0" hidden="1">{#N/A,#N/A,FALSE,"Sheet1 (2)"}</definedName>
    <definedName name="YEREL_2_1" hidden="1">{#N/A,#N/A,FALSE,"Sheet1 (2)"}</definedName>
    <definedName name="YEREL_2_2" localSheetId="0" hidden="1">{#N/A,#N/A,FALSE,"Sheet1 (2)"}</definedName>
    <definedName name="YEREL_2_2" hidden="1">{#N/A,#N/A,FALSE,"Sheet1 (2)"}</definedName>
    <definedName name="YEREL_3" localSheetId="0" hidden="1">{#N/A,#N/A,FALSE,"Sheet1 (2)"}</definedName>
    <definedName name="YEREL_3" hidden="1">{#N/A,#N/A,FALSE,"Sheet1 (2)"}</definedName>
    <definedName name="YEREL_4" localSheetId="0" hidden="1">{#N/A,#N/A,FALSE,"Sheet1 (2)"}</definedName>
    <definedName name="YEREL_4" hidden="1">{#N/A,#N/A,FALSE,"Sheet1 (2)"}</definedName>
    <definedName name="yerler" localSheetId="0" hidden="1">{#N/A,#N/A,FALSE,"Sheet1 (2)"}</definedName>
    <definedName name="yerler" hidden="1">{#N/A,#N/A,FALSE,"Sheet1 (2)"}</definedName>
    <definedName name="YES">#REF!</definedName>
    <definedName name="yes_blank_list">[51]Meta!$L$11:$L$13</definedName>
    <definedName name="yfg">#REF!</definedName>
    <definedName name="ygbr" localSheetId="0">'Haziran Gerçekleşen Plan'!ygbr</definedName>
    <definedName name="ygbr">[0]!ygbr</definedName>
    <definedName name="Yield">#REF!</definedName>
    <definedName name="yıl">'[140]plan-der'!$B$1:$B$65536</definedName>
    <definedName name="yıl1">'[140]plan-der'!$M$1:$M$65536</definedName>
    <definedName name="Yıllık" hidden="1">#REF!</definedName>
    <definedName name="YKB">#REF!</definedName>
    <definedName name="YKB_2">#REF!</definedName>
    <definedName name="YKB_3">#REF!</definedName>
    <definedName name="YKB_4">#REF!</definedName>
    <definedName name="YKB_5">#REF!</definedName>
    <definedName name="YKB_6">#REF!</definedName>
    <definedName name="YKB_7">#REF!</definedName>
    <definedName name="ykb2">#REF!</definedName>
    <definedName name="ykb2_2">#REF!</definedName>
    <definedName name="ykb2_3">#REF!</definedName>
    <definedName name="ykb2_4">#REF!</definedName>
    <definedName name="ykb2_5">#REF!</definedName>
    <definedName name="ykb2_6">#REF!</definedName>
    <definedName name="ykb2_7">#REF!</definedName>
    <definedName name="YKBMARTGERÇ">#REF!</definedName>
    <definedName name="YKBMARTGERÇ_2">#REF!</definedName>
    <definedName name="YKBMARTGERÇ_3">#REF!</definedName>
    <definedName name="YKBMARTGERÇ_4">#REF!</definedName>
    <definedName name="YKBMARTGERÇ_5">#REF!</definedName>
    <definedName name="YKBMARTGERÇ_6">#REF!</definedName>
    <definedName name="YKBMARTGERÇ_7">#REF!</definedName>
    <definedName name="ykbod">#REF!</definedName>
    <definedName name="ykbod_2">#REF!</definedName>
    <definedName name="ykbod_3">#REF!</definedName>
    <definedName name="ykbod_4">#REF!</definedName>
    <definedName name="ykbod_5">#REF!</definedName>
    <definedName name="ykbod_6">#REF!</definedName>
    <definedName name="ykbod_7">#REF!</definedName>
    <definedName name="YOK" localSheetId="0" hidden="1">{#N/A,#N/A,FALSE,"MALİTABLOLAR"}</definedName>
    <definedName name="YOK" hidden="1">{#N/A,#N/A,FALSE,"MALİTABLOLAR"}</definedName>
    <definedName name="YOK_1" localSheetId="0" hidden="1">{#N/A,#N/A,FALSE,"MALİTABLOLAR"}</definedName>
    <definedName name="YOK_1" hidden="1">{#N/A,#N/A,FALSE,"MALİTABLOLAR"}</definedName>
    <definedName name="YOK_1_1" localSheetId="0" hidden="1">{#N/A,#N/A,FALSE,"MALİTABLOLAR"}</definedName>
    <definedName name="YOK_1_1" hidden="1">{#N/A,#N/A,FALSE,"MALİTABLOLAR"}</definedName>
    <definedName name="YOK_1_2" localSheetId="0" hidden="1">{#N/A,#N/A,FALSE,"MALİTABLOLAR"}</definedName>
    <definedName name="YOK_1_2" hidden="1">{#N/A,#N/A,FALSE,"MALİTABLOLAR"}</definedName>
    <definedName name="YOK_1_3" localSheetId="0" hidden="1">{#N/A,#N/A,FALSE,"MALİTABLOLAR"}</definedName>
    <definedName name="YOK_1_3" hidden="1">{#N/A,#N/A,FALSE,"MALİTABLOLAR"}</definedName>
    <definedName name="YOK_2" localSheetId="0" hidden="1">{#N/A,#N/A,FALSE,"MALİTABLOLAR"}</definedName>
    <definedName name="YOK_2" hidden="1">{#N/A,#N/A,FALSE,"MALİTABLOLAR"}</definedName>
    <definedName name="YOK_2_1" localSheetId="0" hidden="1">{#N/A,#N/A,FALSE,"MALİTABLOLAR"}</definedName>
    <definedName name="YOK_2_1" hidden="1">{#N/A,#N/A,FALSE,"MALİTABLOLAR"}</definedName>
    <definedName name="YOK_2_2" localSheetId="0" hidden="1">{#N/A,#N/A,FALSE,"MALİTABLOLAR"}</definedName>
    <definedName name="YOK_2_2" hidden="1">{#N/A,#N/A,FALSE,"MALİTABLOLAR"}</definedName>
    <definedName name="YOK_3" localSheetId="0" hidden="1">{#N/A,#N/A,FALSE,"MALİTABLOLAR"}</definedName>
    <definedName name="YOK_3" hidden="1">{#N/A,#N/A,FALSE,"MALİTABLOLAR"}</definedName>
    <definedName name="YOK_4" localSheetId="0" hidden="1">{#N/A,#N/A,FALSE,"MALİTABLOLAR"}</definedName>
    <definedName name="YOK_4" hidden="1">{#N/A,#N/A,FALSE,"MALİTABLOLAR"}</definedName>
    <definedName name="Youtube">#REF!</definedName>
    <definedName name="YOZGAT">#REF!</definedName>
    <definedName name="ytjhh" localSheetId="0" hidden="1">{#N/A,#N/A,FALSE,"Sheet1 (2)"}</definedName>
    <definedName name="ytjhh" hidden="1">{#N/A,#N/A,FALSE,"Sheet1 (2)"}</definedName>
    <definedName name="yujty" localSheetId="0" hidden="1">{#N/A,#N/A,FALSE,"Sheet1 (2)"}</definedName>
    <definedName name="yujty" hidden="1">{#N/A,#N/A,FALSE,"Sheet1 (2)"}</definedName>
    <definedName name="yut">#REF!</definedName>
    <definedName name="yutjty" localSheetId="0" hidden="1">{#N/A,#N/A,FALSE,"Sheet1 (2)"}</definedName>
    <definedName name="yutjty" hidden="1">{#N/A,#N/A,FALSE,"Sheet1 (2)"}</definedName>
    <definedName name="yuuyjjj" localSheetId="0" hidden="1">{#N/A,#N/A,FALSE,"Sheet1 (2)"}</definedName>
    <definedName name="yuuyjjj" hidden="1">{#N/A,#N/A,FALSE,"Sheet1 (2)"}</definedName>
    <definedName name="yuuyjjj_1" localSheetId="0" hidden="1">{#N/A,#N/A,FALSE,"Sheet1 (2)"}</definedName>
    <definedName name="yuuyjjj_1" hidden="1">{#N/A,#N/A,FALSE,"Sheet1 (2)"}</definedName>
    <definedName name="yuuyjjj_1_1" localSheetId="0" hidden="1">{#N/A,#N/A,FALSE,"Sheet1 (2)"}</definedName>
    <definedName name="yuuyjjj_1_1" hidden="1">{#N/A,#N/A,FALSE,"Sheet1 (2)"}</definedName>
    <definedName name="yuuyjjj_1_2" localSheetId="0" hidden="1">{#N/A,#N/A,FALSE,"Sheet1 (2)"}</definedName>
    <definedName name="yuuyjjj_1_2" hidden="1">{#N/A,#N/A,FALSE,"Sheet1 (2)"}</definedName>
    <definedName name="yuuyjjj_1_3" localSheetId="0" hidden="1">{#N/A,#N/A,FALSE,"Sheet1 (2)"}</definedName>
    <definedName name="yuuyjjj_1_3" hidden="1">{#N/A,#N/A,FALSE,"Sheet1 (2)"}</definedName>
    <definedName name="yuuyjjj_2" localSheetId="0" hidden="1">{#N/A,#N/A,FALSE,"Sheet1 (2)"}</definedName>
    <definedName name="yuuyjjj_2" hidden="1">{#N/A,#N/A,FALSE,"Sheet1 (2)"}</definedName>
    <definedName name="yuuyjjj_2_1" localSheetId="0" hidden="1">{#N/A,#N/A,FALSE,"Sheet1 (2)"}</definedName>
    <definedName name="yuuyjjj_2_1" hidden="1">{#N/A,#N/A,FALSE,"Sheet1 (2)"}</definedName>
    <definedName name="yuuyjjj_2_2" localSheetId="0" hidden="1">{#N/A,#N/A,FALSE,"Sheet1 (2)"}</definedName>
    <definedName name="yuuyjjj_2_2" hidden="1">{#N/A,#N/A,FALSE,"Sheet1 (2)"}</definedName>
    <definedName name="yuuyjjj_3" localSheetId="0" hidden="1">{#N/A,#N/A,FALSE,"Sheet1 (2)"}</definedName>
    <definedName name="yuuyjjj_3" hidden="1">{#N/A,#N/A,FALSE,"Sheet1 (2)"}</definedName>
    <definedName name="yuuyjjj_4" localSheetId="0" hidden="1">{#N/A,#N/A,FALSE,"Sheet1 (2)"}</definedName>
    <definedName name="yuuyjjj_4" hidden="1">{#N/A,#N/A,FALSE,"Sheet1 (2)"}</definedName>
    <definedName name="yuyuyrjysu" localSheetId="0" hidden="1">{#N/A,#N/A,FALSE,"Sheet1 (2)"}</definedName>
    <definedName name="yuyuyrjysu" hidden="1">{#N/A,#N/A,FALSE,"Sheet1 (2)"}</definedName>
    <definedName name="yuyuyrjysu_1" localSheetId="0" hidden="1">{#N/A,#N/A,FALSE,"Sheet1 (2)"}</definedName>
    <definedName name="yuyuyrjysu_1" hidden="1">{#N/A,#N/A,FALSE,"Sheet1 (2)"}</definedName>
    <definedName name="yuyuyrjysu_1_1" localSheetId="0" hidden="1">{#N/A,#N/A,FALSE,"Sheet1 (2)"}</definedName>
    <definedName name="yuyuyrjysu_1_1" hidden="1">{#N/A,#N/A,FALSE,"Sheet1 (2)"}</definedName>
    <definedName name="yuyuyrjysu_1_2" localSheetId="0" hidden="1">{#N/A,#N/A,FALSE,"Sheet1 (2)"}</definedName>
    <definedName name="yuyuyrjysu_1_2" hidden="1">{#N/A,#N/A,FALSE,"Sheet1 (2)"}</definedName>
    <definedName name="yuyuyrjysu_1_3" localSheetId="0" hidden="1">{#N/A,#N/A,FALSE,"Sheet1 (2)"}</definedName>
    <definedName name="yuyuyrjysu_1_3" hidden="1">{#N/A,#N/A,FALSE,"Sheet1 (2)"}</definedName>
    <definedName name="yuyuyrjysu_2" localSheetId="0" hidden="1">{#N/A,#N/A,FALSE,"Sheet1 (2)"}</definedName>
    <definedName name="yuyuyrjysu_2" hidden="1">{#N/A,#N/A,FALSE,"Sheet1 (2)"}</definedName>
    <definedName name="yuyuyrjysu_2_1" localSheetId="0" hidden="1">{#N/A,#N/A,FALSE,"Sheet1 (2)"}</definedName>
    <definedName name="yuyuyrjysu_2_1" hidden="1">{#N/A,#N/A,FALSE,"Sheet1 (2)"}</definedName>
    <definedName name="yuyuyrjysu_2_2" localSheetId="0" hidden="1">{#N/A,#N/A,FALSE,"Sheet1 (2)"}</definedName>
    <definedName name="yuyuyrjysu_2_2" hidden="1">{#N/A,#N/A,FALSE,"Sheet1 (2)"}</definedName>
    <definedName name="yuyuyrjysu_3" localSheetId="0" hidden="1">{#N/A,#N/A,FALSE,"Sheet1 (2)"}</definedName>
    <definedName name="yuyuyrjysu_3" hidden="1">{#N/A,#N/A,FALSE,"Sheet1 (2)"}</definedName>
    <definedName name="yuyuyrjysu_4" localSheetId="0" hidden="1">{#N/A,#N/A,FALSE,"Sheet1 (2)"}</definedName>
    <definedName name="yuyuyrjysu_4" hidden="1">{#N/A,#N/A,FALSE,"Sheet1 (2)"}</definedName>
    <definedName name="YY" localSheetId="0" hidden="1">{#N/A,#N/A,FALSE,"MALİTABLOLAR"}</definedName>
    <definedName name="YY" hidden="1">{#N/A,#N/A,FALSE,"MALİTABLOLAR"}</definedName>
    <definedName name="yyy" localSheetId="0" hidden="1">{#N/A,#N/A,FALSE,"Sheet1 (2)"}</definedName>
    <definedName name="yyy" hidden="1">{#N/A,#N/A,FALSE,"Sheet1 (2)"}</definedName>
    <definedName name="yyy_1" localSheetId="0" hidden="1">{#N/A,#N/A,FALSE,"Sheet1 (2)"}</definedName>
    <definedName name="yyy_1" hidden="1">{#N/A,#N/A,FALSE,"Sheet1 (2)"}</definedName>
    <definedName name="yyy_1_1" localSheetId="0" hidden="1">{#N/A,#N/A,FALSE,"Sheet1 (2)"}</definedName>
    <definedName name="yyy_1_1" hidden="1">{#N/A,#N/A,FALSE,"Sheet1 (2)"}</definedName>
    <definedName name="yyy_1_2" localSheetId="0" hidden="1">{#N/A,#N/A,FALSE,"Sheet1 (2)"}</definedName>
    <definedName name="yyy_1_2" hidden="1">{#N/A,#N/A,FALSE,"Sheet1 (2)"}</definedName>
    <definedName name="yyy_1_3" localSheetId="0" hidden="1">{#N/A,#N/A,FALSE,"Sheet1 (2)"}</definedName>
    <definedName name="yyy_1_3" hidden="1">{#N/A,#N/A,FALSE,"Sheet1 (2)"}</definedName>
    <definedName name="yyy_2" localSheetId="0" hidden="1">{#N/A,#N/A,FALSE,"Sheet1 (2)"}</definedName>
    <definedName name="yyy_2" hidden="1">{#N/A,#N/A,FALSE,"Sheet1 (2)"}</definedName>
    <definedName name="yyy_2_1" localSheetId="0" hidden="1">{#N/A,#N/A,FALSE,"Sheet1 (2)"}</definedName>
    <definedName name="yyy_2_1" hidden="1">{#N/A,#N/A,FALSE,"Sheet1 (2)"}</definedName>
    <definedName name="yyy_2_2" localSheetId="0" hidden="1">{#N/A,#N/A,FALSE,"Sheet1 (2)"}</definedName>
    <definedName name="yyy_2_2" hidden="1">{#N/A,#N/A,FALSE,"Sheet1 (2)"}</definedName>
    <definedName name="yyy_3" localSheetId="0" hidden="1">{#N/A,#N/A,FALSE,"Sheet1 (2)"}</definedName>
    <definedName name="yyy_3" hidden="1">{#N/A,#N/A,FALSE,"Sheet1 (2)"}</definedName>
    <definedName name="yyy_4" localSheetId="0" hidden="1">{#N/A,#N/A,FALSE,"Sheet1 (2)"}</definedName>
    <definedName name="yyy_4" hidden="1">{#N/A,#N/A,FALSE,"Sheet1 (2)"}</definedName>
    <definedName name="yyyyyyyy">#REF!</definedName>
    <definedName name="z" hidden="1">#REF!</definedName>
    <definedName name="Zaman_Dilimi">[42]Ayarlar!$A$2:$B$7</definedName>
    <definedName name="zcvbcxbn">#REF!</definedName>
    <definedName name="zdfbfa" localSheetId="0" hidden="1">{#N/A,#N/A,FALSE,"1997 P&amp;L(pk) (Atlanta)";#N/A,#N/A,FALSE,"ONGOING P&amp;L(PK)(Atlanta)"}</definedName>
    <definedName name="zdfbfa" hidden="1">{#N/A,#N/A,FALSE,"1997 P&amp;L(pk) (Atlanta)";#N/A,#N/A,FALSE,"ONGOING P&amp;L(PK)(Atlanta)"}</definedName>
    <definedName name="zdfsdfds" localSheetId="0" hidden="1">{"'Jan - March 2000'!$A$5:$J$46"}</definedName>
    <definedName name="zdfsdfds" hidden="1">{"'Jan - March 2000'!$A$5:$J$46"}</definedName>
    <definedName name="Ze">#REF!</definedName>
    <definedName name="ZEDPAS">#REF!</definedName>
    <definedName name="ZEDPAS_2">#REF!</definedName>
    <definedName name="ZEDPAS_3">#REF!</definedName>
    <definedName name="ZEDPAS_4">#REF!</definedName>
    <definedName name="ZEDPAS_5">#REF!</definedName>
    <definedName name="ZEDPAS_6">#REF!</definedName>
    <definedName name="ZEDPAS_7">#REF!</definedName>
    <definedName name="ZEYNEP" localSheetId="0" hidden="1">{#N/A,#N/A,FALSE,"Sheet1 (2)"}</definedName>
    <definedName name="ZEYNEP" hidden="1">{#N/A,#N/A,FALSE,"Sheet1 (2)"}</definedName>
    <definedName name="ZEYNEP_1" localSheetId="0" hidden="1">{#N/A,#N/A,FALSE,"Sheet1 (2)"}</definedName>
    <definedName name="ZEYNEP_1" hidden="1">{#N/A,#N/A,FALSE,"Sheet1 (2)"}</definedName>
    <definedName name="ZEYNEP_1_1" localSheetId="0" hidden="1">{#N/A,#N/A,FALSE,"Sheet1 (2)"}</definedName>
    <definedName name="ZEYNEP_1_1" hidden="1">{#N/A,#N/A,FALSE,"Sheet1 (2)"}</definedName>
    <definedName name="ZEYNEP_1_2" localSheetId="0" hidden="1">{#N/A,#N/A,FALSE,"Sheet1 (2)"}</definedName>
    <definedName name="ZEYNEP_1_2" hidden="1">{#N/A,#N/A,FALSE,"Sheet1 (2)"}</definedName>
    <definedName name="ZEYNEP_1_3" localSheetId="0" hidden="1">{#N/A,#N/A,FALSE,"Sheet1 (2)"}</definedName>
    <definedName name="ZEYNEP_1_3" hidden="1">{#N/A,#N/A,FALSE,"Sheet1 (2)"}</definedName>
    <definedName name="ZEYNEP_2" localSheetId="0" hidden="1">{#N/A,#N/A,FALSE,"Sheet1 (2)"}</definedName>
    <definedName name="ZEYNEP_2" hidden="1">{#N/A,#N/A,FALSE,"Sheet1 (2)"}</definedName>
    <definedName name="ZEYNEP_2_1" localSheetId="0" hidden="1">{#N/A,#N/A,FALSE,"Sheet1 (2)"}</definedName>
    <definedName name="ZEYNEP_2_1" hidden="1">{#N/A,#N/A,FALSE,"Sheet1 (2)"}</definedName>
    <definedName name="ZEYNEP_2_2" localSheetId="0" hidden="1">{#N/A,#N/A,FALSE,"Sheet1 (2)"}</definedName>
    <definedName name="ZEYNEP_2_2" hidden="1">{#N/A,#N/A,FALSE,"Sheet1 (2)"}</definedName>
    <definedName name="ZEYNEP_3" localSheetId="0" hidden="1">{#N/A,#N/A,FALSE,"Sheet1 (2)"}</definedName>
    <definedName name="ZEYNEP_3" hidden="1">{#N/A,#N/A,FALSE,"Sheet1 (2)"}</definedName>
    <definedName name="ZEYNEP_4" localSheetId="0" hidden="1">{#N/A,#N/A,FALSE,"Sheet1 (2)"}</definedName>
    <definedName name="ZEYNEP_4" hidden="1">{#N/A,#N/A,FALSE,"Sheet1 (2)"}</definedName>
    <definedName name="zfdghrt" localSheetId="0" hidden="1">{#N/A,#N/A,FALSE,"Sheet1 (2)"}</definedName>
    <definedName name="zfdghrt" hidden="1">{#N/A,#N/A,FALSE,"Sheet1 (2)"}</definedName>
    <definedName name="zizi" localSheetId="0" hidden="1">{#N/A,#N/A,FALSE,"MALİTABLOLAR"}</definedName>
    <definedName name="zizi" hidden="1">{#N/A,#N/A,FALSE,"MALİTABLOLAR"}</definedName>
    <definedName name="zizi_1" localSheetId="0" hidden="1">{#N/A,#N/A,FALSE,"MALİTABLOLAR"}</definedName>
    <definedName name="zizi_1" hidden="1">{#N/A,#N/A,FALSE,"MALİTABLOLAR"}</definedName>
    <definedName name="zizi_1_1" localSheetId="0" hidden="1">{#N/A,#N/A,FALSE,"MALİTABLOLAR"}</definedName>
    <definedName name="zizi_1_1" hidden="1">{#N/A,#N/A,FALSE,"MALİTABLOLAR"}</definedName>
    <definedName name="zizi_1_2" localSheetId="0" hidden="1">{#N/A,#N/A,FALSE,"MALİTABLOLAR"}</definedName>
    <definedName name="zizi_1_2" hidden="1">{#N/A,#N/A,FALSE,"MALİTABLOLAR"}</definedName>
    <definedName name="zizi_1_3" localSheetId="0" hidden="1">{#N/A,#N/A,FALSE,"MALİTABLOLAR"}</definedName>
    <definedName name="zizi_1_3" hidden="1">{#N/A,#N/A,FALSE,"MALİTABLOLAR"}</definedName>
    <definedName name="zizi_2" localSheetId="0" hidden="1">{#N/A,#N/A,FALSE,"MALİTABLOLAR"}</definedName>
    <definedName name="zizi_2" hidden="1">{#N/A,#N/A,FALSE,"MALİTABLOLAR"}</definedName>
    <definedName name="zizi_2_1" localSheetId="0" hidden="1">{#N/A,#N/A,FALSE,"MALİTABLOLAR"}</definedName>
    <definedName name="zizi_2_1" hidden="1">{#N/A,#N/A,FALSE,"MALİTABLOLAR"}</definedName>
    <definedName name="zizi_2_2" localSheetId="0" hidden="1">{#N/A,#N/A,FALSE,"MALİTABLOLAR"}</definedName>
    <definedName name="zizi_2_2" hidden="1">{#N/A,#N/A,FALSE,"MALİTABLOLAR"}</definedName>
    <definedName name="zizi_3" localSheetId="0" hidden="1">{#N/A,#N/A,FALSE,"MALİTABLOLAR"}</definedName>
    <definedName name="zizi_3" hidden="1">{#N/A,#N/A,FALSE,"MALİTABLOLAR"}</definedName>
    <definedName name="zizi_4" localSheetId="0" hidden="1">{#N/A,#N/A,FALSE,"MALİTABLOLAR"}</definedName>
    <definedName name="zizi_4" hidden="1">{#N/A,#N/A,FALSE,"MALİTABLOLAR"}</definedName>
    <definedName name="ZON1">[4]Foglio1!#REF!</definedName>
    <definedName name="ZONGULDAK">#REF!</definedName>
    <definedName name="zxc" localSheetId="0" hidden="1">{#N/A,#N/A,FALSE,"Sheet1 (2)"}</definedName>
    <definedName name="zxc" hidden="1">{#N/A,#N/A,FALSE,"Sheet1 (2)"}</definedName>
    <definedName name="zxc_1" localSheetId="0" hidden="1">{#N/A,#N/A,FALSE,"Sheet1 (2)"}</definedName>
    <definedName name="zxc_1" hidden="1">{#N/A,#N/A,FALSE,"Sheet1 (2)"}</definedName>
    <definedName name="zxc_1_1" localSheetId="0" hidden="1">{#N/A,#N/A,FALSE,"Sheet1 (2)"}</definedName>
    <definedName name="zxc_1_1" hidden="1">{#N/A,#N/A,FALSE,"Sheet1 (2)"}</definedName>
    <definedName name="zxc_1_2" localSheetId="0" hidden="1">{#N/A,#N/A,FALSE,"Sheet1 (2)"}</definedName>
    <definedName name="zxc_1_2" hidden="1">{#N/A,#N/A,FALSE,"Sheet1 (2)"}</definedName>
    <definedName name="zxc_1_3" localSheetId="0" hidden="1">{#N/A,#N/A,FALSE,"Sheet1 (2)"}</definedName>
    <definedName name="zxc_1_3" hidden="1">{#N/A,#N/A,FALSE,"Sheet1 (2)"}</definedName>
    <definedName name="zxc_2" localSheetId="0" hidden="1">{#N/A,#N/A,FALSE,"Sheet1 (2)"}</definedName>
    <definedName name="zxc_2" hidden="1">{#N/A,#N/A,FALSE,"Sheet1 (2)"}</definedName>
    <definedName name="zxc_2_1" localSheetId="0" hidden="1">{#N/A,#N/A,FALSE,"Sheet1 (2)"}</definedName>
    <definedName name="zxc_2_1" hidden="1">{#N/A,#N/A,FALSE,"Sheet1 (2)"}</definedName>
    <definedName name="zxc_2_2" localSheetId="0" hidden="1">{#N/A,#N/A,FALSE,"Sheet1 (2)"}</definedName>
    <definedName name="zxc_2_2" hidden="1">{#N/A,#N/A,FALSE,"Sheet1 (2)"}</definedName>
    <definedName name="zxc_3" localSheetId="0" hidden="1">{#N/A,#N/A,FALSE,"Sheet1 (2)"}</definedName>
    <definedName name="zxc_3" hidden="1">{#N/A,#N/A,FALSE,"Sheet1 (2)"}</definedName>
    <definedName name="zxc_4" localSheetId="0" hidden="1">{#N/A,#N/A,FALSE,"Sheet1 (2)"}</definedName>
    <definedName name="zxc_4" hidden="1">{#N/A,#N/A,FALSE,"Sheet1 (2)"}</definedName>
    <definedName name="zz" localSheetId="0" hidden="1">{#N/A,#N/A,FALSE,"Sheet1 (2)"}</definedName>
    <definedName name="zz" hidden="1">{#N/A,#N/A,FALSE,"Sheet1 (2)"}</definedName>
    <definedName name="zz_1" localSheetId="0" hidden="1">{#N/A,#N/A,FALSE,"Sheet1 (2)"}</definedName>
    <definedName name="zz_1" hidden="1">{#N/A,#N/A,FALSE,"Sheet1 (2)"}</definedName>
    <definedName name="zz_1_1" localSheetId="0" hidden="1">{#N/A,#N/A,FALSE,"Sheet1 (2)"}</definedName>
    <definedName name="zz_1_1" hidden="1">{#N/A,#N/A,FALSE,"Sheet1 (2)"}</definedName>
    <definedName name="zz_1_2" localSheetId="0" hidden="1">{#N/A,#N/A,FALSE,"Sheet1 (2)"}</definedName>
    <definedName name="zz_1_2" hidden="1">{#N/A,#N/A,FALSE,"Sheet1 (2)"}</definedName>
    <definedName name="zz_1_3" localSheetId="0" hidden="1">{#N/A,#N/A,FALSE,"Sheet1 (2)"}</definedName>
    <definedName name="zz_1_3" hidden="1">{#N/A,#N/A,FALSE,"Sheet1 (2)"}</definedName>
    <definedName name="zz_2" localSheetId="0" hidden="1">{#N/A,#N/A,FALSE,"Sheet1 (2)"}</definedName>
    <definedName name="zz_2" hidden="1">{#N/A,#N/A,FALSE,"Sheet1 (2)"}</definedName>
    <definedName name="zz_2_1" localSheetId="0" hidden="1">{#N/A,#N/A,FALSE,"Sheet1 (2)"}</definedName>
    <definedName name="zz_2_1" hidden="1">{#N/A,#N/A,FALSE,"Sheet1 (2)"}</definedName>
    <definedName name="zz_2_2" localSheetId="0" hidden="1">{#N/A,#N/A,FALSE,"Sheet1 (2)"}</definedName>
    <definedName name="zz_2_2" hidden="1">{#N/A,#N/A,FALSE,"Sheet1 (2)"}</definedName>
    <definedName name="zz_3" localSheetId="0" hidden="1">{#N/A,#N/A,FALSE,"Sheet1 (2)"}</definedName>
    <definedName name="zz_3" hidden="1">{#N/A,#N/A,FALSE,"Sheet1 (2)"}</definedName>
    <definedName name="zz_4" localSheetId="0" hidden="1">{#N/A,#N/A,FALSE,"Sheet1 (2)"}</definedName>
    <definedName name="zz_4" hidden="1">{#N/A,#N/A,FALSE,"Sheet1 (2)"}</definedName>
    <definedName name="ZZZ" localSheetId="0" hidden="1">{#N/A,#N/A,FALSE,"MALİTABLOLAR";#N/A,#N/A,FALSE,"PERS MSRMRZ";#N/A,#N/A,FALSE,"MALİTABLOLAR";#N/A,#N/A,FALSE,"İskonto"}</definedName>
    <definedName name="ZZZ" hidden="1">{#N/A,#N/A,FALSE,"MALİTABLOLAR";#N/A,#N/A,FALSE,"PERS MSRMRZ";#N/A,#N/A,FALSE,"MALİTABLOLAR";#N/A,#N/A,FALSE,"İskonto"}</definedName>
    <definedName name="zzzz" hidden="1">#REF!</definedName>
    <definedName name="ZZZZZ" hidden="1">#REF!</definedName>
    <definedName name="zzzzzzzzzzzzzz" localSheetId="0" hidden="1">{#N/A,#N/A,FALSE,"Sheet1 (2)"}</definedName>
    <definedName name="zzzzzzzzzzzzzz" hidden="1">{#N/A,#N/A,FALSE,"Sheet1 (2)"}</definedName>
    <definedName name="zzzzzzzzzzzzzz_1" localSheetId="0" hidden="1">{#N/A,#N/A,FALSE,"Sheet1 (2)"}</definedName>
    <definedName name="zzzzzzzzzzzzzz_1" hidden="1">{#N/A,#N/A,FALSE,"Sheet1 (2)"}</definedName>
    <definedName name="zzzzzzzzzzzzzz_1_1" localSheetId="0" hidden="1">{#N/A,#N/A,FALSE,"Sheet1 (2)"}</definedName>
    <definedName name="zzzzzzzzzzzzzz_1_1" hidden="1">{#N/A,#N/A,FALSE,"Sheet1 (2)"}</definedName>
    <definedName name="zzzzzzzzzzzzzz_1_2" localSheetId="0" hidden="1">{#N/A,#N/A,FALSE,"Sheet1 (2)"}</definedName>
    <definedName name="zzzzzzzzzzzzzz_1_2" hidden="1">{#N/A,#N/A,FALSE,"Sheet1 (2)"}</definedName>
    <definedName name="zzzzzzzzzzzzzz_1_3" localSheetId="0" hidden="1">{#N/A,#N/A,FALSE,"Sheet1 (2)"}</definedName>
    <definedName name="zzzzzzzzzzzzzz_1_3" hidden="1">{#N/A,#N/A,FALSE,"Sheet1 (2)"}</definedName>
    <definedName name="zzzzzzzzzzzzzz_2" localSheetId="0" hidden="1">{#N/A,#N/A,FALSE,"Sheet1 (2)"}</definedName>
    <definedName name="zzzzzzzzzzzzzz_2" hidden="1">{#N/A,#N/A,FALSE,"Sheet1 (2)"}</definedName>
    <definedName name="zzzzzzzzzzzzzz_2_1" localSheetId="0" hidden="1">{#N/A,#N/A,FALSE,"Sheet1 (2)"}</definedName>
    <definedName name="zzzzzzzzzzzzzz_2_1" hidden="1">{#N/A,#N/A,FALSE,"Sheet1 (2)"}</definedName>
    <definedName name="zzzzzzzzzzzzzz_2_2" localSheetId="0" hidden="1">{#N/A,#N/A,FALSE,"Sheet1 (2)"}</definedName>
    <definedName name="zzzzzzzzzzzzzz_2_2" hidden="1">{#N/A,#N/A,FALSE,"Sheet1 (2)"}</definedName>
    <definedName name="zzzzzzzzzzzzzz_3" localSheetId="0" hidden="1">{#N/A,#N/A,FALSE,"Sheet1 (2)"}</definedName>
    <definedName name="zzzzzzzzzzzzzz_3" hidden="1">{#N/A,#N/A,FALSE,"Sheet1 (2)"}</definedName>
    <definedName name="zzzzzzzzzzzzzz_4" localSheetId="0" hidden="1">{#N/A,#N/A,FALSE,"Sheet1 (2)"}</definedName>
    <definedName name="zzzzzzzzzzzzzz_4" hidden="1">{#N/A,#N/A,FALSE,"Sheet1 (2)"}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5" i="6" l="1"/>
  <c r="G35" i="6"/>
  <c r="H34" i="6"/>
  <c r="G34" i="6"/>
  <c r="L33" i="6"/>
  <c r="H33" i="6"/>
  <c r="G33" i="6"/>
  <c r="M32" i="6"/>
  <c r="O32" i="6" s="1"/>
  <c r="K32" i="6"/>
  <c r="I32" i="6"/>
  <c r="M31" i="6"/>
  <c r="O31" i="6" s="1"/>
  <c r="K31" i="6"/>
  <c r="I31" i="6"/>
  <c r="M30" i="6"/>
  <c r="O30" i="6" s="1"/>
  <c r="K30" i="6"/>
  <c r="I30" i="6"/>
  <c r="M29" i="6"/>
  <c r="O29" i="6" s="1"/>
  <c r="K29" i="6"/>
  <c r="I29" i="6"/>
  <c r="M28" i="6"/>
  <c r="O28" i="6" s="1"/>
  <c r="K28" i="6"/>
  <c r="I28" i="6"/>
  <c r="M27" i="6"/>
  <c r="O27" i="6" s="1"/>
  <c r="K27" i="6"/>
  <c r="I27" i="6"/>
  <c r="M26" i="6"/>
  <c r="O26" i="6" s="1"/>
  <c r="K26" i="6"/>
  <c r="I26" i="6"/>
  <c r="M25" i="6"/>
  <c r="O25" i="6" s="1"/>
  <c r="K25" i="6"/>
  <c r="I25" i="6"/>
  <c r="M24" i="6"/>
  <c r="O24" i="6" s="1"/>
  <c r="K24" i="6"/>
  <c r="I24" i="6"/>
  <c r="O23" i="6"/>
  <c r="N23" i="6"/>
  <c r="K23" i="6"/>
  <c r="I23" i="6"/>
  <c r="O22" i="6"/>
  <c r="N22" i="6"/>
  <c r="K22" i="6"/>
  <c r="I22" i="6"/>
  <c r="O21" i="6"/>
  <c r="N21" i="6"/>
  <c r="O20" i="6"/>
  <c r="N20" i="6"/>
  <c r="K20" i="6"/>
  <c r="I20" i="6"/>
  <c r="O19" i="6"/>
  <c r="N19" i="6"/>
  <c r="K19" i="6"/>
  <c r="I19" i="6"/>
  <c r="O18" i="6"/>
  <c r="N18" i="6"/>
  <c r="K18" i="6"/>
  <c r="I18" i="6"/>
  <c r="O17" i="6"/>
  <c r="N17" i="6"/>
  <c r="K17" i="6"/>
  <c r="I17" i="6"/>
  <c r="O16" i="6"/>
  <c r="N16" i="6"/>
  <c r="N33" i="6" s="1"/>
  <c r="E10" i="6" s="1"/>
  <c r="O15" i="6"/>
  <c r="K15" i="6"/>
  <c r="I15" i="6"/>
  <c r="E11" i="6"/>
  <c r="E9" i="6"/>
  <c r="O33" i="6" l="1"/>
  <c r="M33" i="6"/>
  <c r="E8" i="6" s="1"/>
  <c r="E7" i="6" s="1"/>
  <c r="E6" i="6" s="1"/>
</calcChain>
</file>

<file path=xl/sharedStrings.xml><?xml version="1.0" encoding="utf-8"?>
<sst xmlns="http://schemas.openxmlformats.org/spreadsheetml/2006/main" count="133" uniqueCount="69">
  <si>
    <t>Yayın Türü</t>
  </si>
  <si>
    <t>Doğuş</t>
  </si>
  <si>
    <t>Mecra</t>
  </si>
  <si>
    <t>Marka:</t>
  </si>
  <si>
    <t>Dardanel - Sardalya</t>
  </si>
  <si>
    <t>Kampanya Adı:</t>
  </si>
  <si>
    <t>Kampanya Dönemi:</t>
  </si>
  <si>
    <t>Haziran.</t>
  </si>
  <si>
    <t>Planlanan Herşey Dahil  Kampanya Bütçesi:</t>
  </si>
  <si>
    <t>Kalan Plan Bütçesi:</t>
  </si>
  <si>
    <t>Gerçekleşen  Kampanya Maliyeti:</t>
  </si>
  <si>
    <t>Gerçekleşen Yayın Maliyeti:</t>
  </si>
  <si>
    <t>Gerçekleşen Adserveri Bedeli:</t>
  </si>
  <si>
    <t>Gerçekleşen AHB Bedeli:</t>
  </si>
  <si>
    <t>Gerçekleşen Reseller Bedeli</t>
  </si>
  <si>
    <t>Sardalya</t>
  </si>
  <si>
    <t>Objektive</t>
  </si>
  <si>
    <t>Unit Cost</t>
  </si>
  <si>
    <t>Budget</t>
  </si>
  <si>
    <t>Platform</t>
  </si>
  <si>
    <t>Site/Network</t>
  </si>
  <si>
    <t>Kategori / Hedefleme</t>
  </si>
  <si>
    <t>Planlanan Impression/View</t>
  </si>
  <si>
    <t>Gerçekleşen Impression/View</t>
  </si>
  <si>
    <t>Gerçekleşme Oranı</t>
  </si>
  <si>
    <t>Planlanan Unit Cost       (CPM, CPV, CPC)</t>
  </si>
  <si>
    <t>Gerçekleşen Unit Cost 
(CPM, CPV,  CPC)</t>
  </si>
  <si>
    <t xml:space="preserve"> Planlanan Yayın Bedeli</t>
  </si>
  <si>
    <t>Gerçekleşen Yayın Maliyeti</t>
  </si>
  <si>
    <t>Gerçekleşen AHB</t>
  </si>
  <si>
    <t>Kalan Yayın Maliyeti</t>
  </si>
  <si>
    <t>Desktop / Mobile</t>
  </si>
  <si>
    <t>Mimeda</t>
  </si>
  <si>
    <t xml:space="preserve">Mimeda </t>
  </si>
  <si>
    <t>Hedeflemeli Yayın</t>
  </si>
  <si>
    <t>Spoonsor Ürün</t>
  </si>
  <si>
    <t>_</t>
  </si>
  <si>
    <t>Google</t>
  </si>
  <si>
    <t xml:space="preserve">Youtube </t>
  </si>
  <si>
    <t>Masthead (8 saniye Lezzet)</t>
  </si>
  <si>
    <t>Non Skippable</t>
  </si>
  <si>
    <t>Connected Tv</t>
  </si>
  <si>
    <t>Meta</t>
  </si>
  <si>
    <t>Instagram</t>
  </si>
  <si>
    <t>Video Views</t>
  </si>
  <si>
    <t>Traffic</t>
  </si>
  <si>
    <t>Cpas</t>
  </si>
  <si>
    <t>TikTok</t>
  </si>
  <si>
    <t>Disney</t>
  </si>
  <si>
    <t>Disney+</t>
  </si>
  <si>
    <t>Preroll</t>
  </si>
  <si>
    <t>HepsiBurada</t>
  </si>
  <si>
    <t>Hbo Max</t>
  </si>
  <si>
    <t>Now</t>
  </si>
  <si>
    <t>Eşref Rüya, Uzak Şehir, Güller ve Günahlar</t>
  </si>
  <si>
    <t xml:space="preserve">Web + App </t>
  </si>
  <si>
    <t>Turkuvaz</t>
  </si>
  <si>
    <t>A.B.İ</t>
  </si>
  <si>
    <t>Can</t>
  </si>
  <si>
    <t>Kızılcık Şerbeti, Delikanlı</t>
  </si>
  <si>
    <t>Sahipsizler , Sevdiğim Sensin</t>
  </si>
  <si>
    <t>Trt1</t>
  </si>
  <si>
    <t>Taşacak Bu Deniz</t>
  </si>
  <si>
    <t>OutStream</t>
  </si>
  <si>
    <t>Youtube Spor Kanalları</t>
  </si>
  <si>
    <t>Youtube                               (Sporcast
SkySpor 
343 Digital
Akıl Oyunu 
Eski Açık
Eagle 5
10 Numara
Hodri Meydan 
Murat GDK 
Saha İçi)</t>
  </si>
  <si>
    <t xml:space="preserve">3D Kreatör Alt Bant </t>
  </si>
  <si>
    <t>Spotify</t>
  </si>
  <si>
    <t>Audio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</si>
</sst>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_-&quot;₺&quot;* #,##0.00_-;\-&quot;₺&quot;* #,##0.00_-;_-&quot;₺&quot;* &quot;-&quot;??_-;_-@_-"/>
    <numFmt numFmtId="171" formatCode="&quot;₺&quot;#,##0.00"/>
    <numFmt numFmtId="179" formatCode="#,##0\ &quot;view&quot;"/>
    <numFmt numFmtId="180" formatCode="#,##0\ &quot;click&quot;"/>
    <numFmt numFmtId="181" formatCode="_-[$₺-41F]* #,##0.00_-;\-[$₺-41F]* #,##0.00_-;_-[$₺-41F]* &quot;-&quot;??_-;_-@_-"/>
    <numFmt numFmtId="182" formatCode="#,##0\ &quot;imp&quot;"/>
  </numFmts>
  <fonts count="23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1"/>
      <name val="Calibri"/>
      <family val="2"/>
      <charset val="162"/>
    </font>
    <font>
      <sz val="11"/>
      <color theme="1"/>
      <name val="Aptos Narrow"/>
      <family val="2"/>
      <scheme val="minor"/>
    </font>
    <font>
      <sz val="10"/>
      <name val="Arial Tur"/>
      <charset val="162"/>
    </font>
    <font>
      <sz val="14"/>
      <color theme="1"/>
      <name val="Aptos Narrow"/>
      <family val="2"/>
      <charset val="162"/>
      <scheme val="minor"/>
    </font>
    <font>
      <b/>
      <sz val="18"/>
      <color theme="0"/>
      <name val="Poppins"/>
      <charset val="162"/>
    </font>
    <font>
      <sz val="18"/>
      <color theme="1"/>
      <name val="Poppins"/>
      <charset val="162"/>
    </font>
    <font>
      <b/>
      <sz val="18"/>
      <color theme="1"/>
      <name val="Poppins"/>
      <charset val="162"/>
    </font>
    <font>
      <b/>
      <sz val="24"/>
      <color theme="1"/>
      <name val="Poppins"/>
      <charset val="162"/>
    </font>
    <font>
      <b/>
      <sz val="24"/>
      <color rgb="FF0070C0"/>
      <name val="Poppins"/>
      <charset val="162"/>
    </font>
    <font>
      <sz val="14"/>
      <color theme="1"/>
      <name val="Poppins"/>
      <charset val="162"/>
    </font>
    <font>
      <sz val="11"/>
      <color theme="1"/>
      <name val="Poppins"/>
      <charset val="162"/>
    </font>
    <font>
      <b/>
      <sz val="16"/>
      <color theme="0"/>
      <name val="Poppins"/>
      <charset val="162"/>
    </font>
    <font>
      <sz val="10"/>
      <name val="Arial Tur"/>
    </font>
    <font>
      <b/>
      <sz val="17"/>
      <color theme="0"/>
      <name val="Poppins"/>
      <charset val="162"/>
    </font>
    <font>
      <sz val="20"/>
      <color theme="1"/>
      <name val="Poppins"/>
      <charset val="162"/>
    </font>
    <font>
      <sz val="20"/>
      <color theme="0"/>
      <name val="Poppins"/>
      <charset val="162"/>
    </font>
    <font>
      <b/>
      <sz val="20"/>
      <color theme="0"/>
      <name val="Poppins"/>
      <charset val="162"/>
    </font>
    <font>
      <sz val="20"/>
      <color rgb="FFFF0000"/>
      <name val="Poppins"/>
      <charset val="162"/>
    </font>
    <font>
      <b/>
      <u/>
      <sz val="20"/>
      <color rgb="FFC00000"/>
      <name val="Poppins"/>
      <charset val="162"/>
    </font>
    <font>
      <b/>
      <u/>
      <sz val="12"/>
      <color rgb="FFC00000"/>
      <name val="Poppins"/>
      <charset val="162"/>
    </font>
    <font>
      <sz val="10"/>
      <name val="Arial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-0.249977111117893"/>
        <bgColor rgb="FF000000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3" fillId="0" borderId="0"/>
    <xf numFmtId="9" fontId="3" fillId="0" borderId="0" applyFont="0" applyFill="0" applyBorder="0" applyAlignment="0" applyProtection="0"/>
    <xf numFmtId="0" fontId="4" fillId="0" borderId="0"/>
    <xf numFmtId="0" fontId="14" fillId="0" borderId="0"/>
    <xf numFmtId="0" fontId="22" fillId="0" borderId="0"/>
  </cellStyleXfs>
  <cellXfs count="67">
    <xf numFmtId="0" fontId="0" fillId="0" borderId="0" xfId="0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5" fontId="7" fillId="2" borderId="0" xfId="2" applyFont="1" applyFill="1" applyBorder="1" applyAlignment="1">
      <alignment vertical="center"/>
    </xf>
    <xf numFmtId="165" fontId="7" fillId="2" borderId="7" xfId="2" applyFont="1" applyFill="1" applyBorder="1" applyAlignment="1">
      <alignment vertical="center"/>
    </xf>
    <xf numFmtId="165" fontId="5" fillId="0" borderId="0" xfId="2" applyFont="1" applyAlignment="1">
      <alignment horizontal="center" vertical="center"/>
    </xf>
    <xf numFmtId="171" fontId="5" fillId="0" borderId="0" xfId="0" applyNumberFormat="1" applyFont="1" applyAlignment="1">
      <alignment horizontal="center" vertical="center"/>
    </xf>
    <xf numFmtId="165" fontId="0" fillId="0" borderId="0" xfId="2" applyFont="1"/>
    <xf numFmtId="9" fontId="5" fillId="0" borderId="0" xfId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/>
    <xf numFmtId="0" fontId="13" fillId="4" borderId="0" xfId="0" applyFont="1" applyFill="1" applyAlignment="1">
      <alignment horizontal="center" vertical="center"/>
    </xf>
    <xf numFmtId="179" fontId="6" fillId="3" borderId="5" xfId="7" applyNumberFormat="1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center" vertical="top" wrapText="1"/>
    </xf>
    <xf numFmtId="180" fontId="6" fillId="3" borderId="10" xfId="0" applyNumberFormat="1" applyFont="1" applyFill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0" fontId="17" fillId="3" borderId="9" xfId="0" applyFont="1" applyFill="1" applyBorder="1" applyAlignment="1">
      <alignment horizontal="center" vertical="center" wrapText="1"/>
    </xf>
    <xf numFmtId="180" fontId="18" fillId="3" borderId="11" xfId="7" applyNumberFormat="1" applyFont="1" applyFill="1" applyBorder="1" applyAlignment="1">
      <alignment horizontal="center" vertical="center"/>
    </xf>
    <xf numFmtId="180" fontId="16" fillId="2" borderId="9" xfId="7" applyNumberFormat="1" applyFont="1" applyFill="1" applyBorder="1" applyAlignment="1">
      <alignment horizontal="center" vertical="center"/>
    </xf>
    <xf numFmtId="9" fontId="18" fillId="3" borderId="9" xfId="1" applyFont="1" applyFill="1" applyBorder="1" applyAlignment="1">
      <alignment horizontal="center" vertical="center"/>
    </xf>
    <xf numFmtId="181" fontId="16" fillId="6" borderId="9" xfId="2" applyNumberFormat="1" applyFont="1" applyFill="1" applyBorder="1" applyAlignment="1">
      <alignment horizontal="center" vertical="center"/>
    </xf>
    <xf numFmtId="181" fontId="18" fillId="7" borderId="9" xfId="2" applyNumberFormat="1" applyFont="1" applyFill="1" applyBorder="1" applyAlignment="1">
      <alignment horizontal="center" vertical="center"/>
    </xf>
    <xf numFmtId="182" fontId="18" fillId="3" borderId="11" xfId="7" applyNumberFormat="1" applyFont="1" applyFill="1" applyBorder="1" applyAlignment="1">
      <alignment horizontal="center" vertical="center"/>
    </xf>
    <xf numFmtId="182" fontId="16" fillId="2" borderId="9" xfId="7" applyNumberFormat="1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 wrapText="1"/>
    </xf>
    <xf numFmtId="182" fontId="19" fillId="2" borderId="9" xfId="7" applyNumberFormat="1" applyFont="1" applyFill="1" applyBorder="1" applyAlignment="1">
      <alignment horizontal="center" vertical="center"/>
    </xf>
    <xf numFmtId="181" fontId="16" fillId="6" borderId="9" xfId="1" applyNumberFormat="1" applyFont="1" applyFill="1" applyBorder="1" applyAlignment="1">
      <alignment horizontal="center" vertical="center"/>
    </xf>
    <xf numFmtId="181" fontId="18" fillId="7" borderId="9" xfId="2" applyNumberFormat="1" applyFont="1" applyFill="1" applyBorder="1" applyAlignment="1">
      <alignment horizontal="center" vertical="center" wrapText="1"/>
    </xf>
    <xf numFmtId="180" fontId="19" fillId="2" borderId="9" xfId="7" applyNumberFormat="1" applyFont="1" applyFill="1" applyBorder="1" applyAlignment="1">
      <alignment horizontal="center" vertical="center"/>
    </xf>
    <xf numFmtId="0" fontId="16" fillId="6" borderId="9" xfId="2" applyNumberFormat="1" applyFont="1" applyFill="1" applyBorder="1" applyAlignment="1">
      <alignment horizontal="center" vertical="center"/>
    </xf>
    <xf numFmtId="179" fontId="18" fillId="3" borderId="11" xfId="7" applyNumberFormat="1" applyFont="1" applyFill="1" applyBorder="1" applyAlignment="1">
      <alignment horizontal="center" vertical="center"/>
    </xf>
    <xf numFmtId="179" fontId="16" fillId="2" borderId="9" xfId="7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82" fontId="20" fillId="2" borderId="0" xfId="7" applyNumberFormat="1" applyFont="1" applyFill="1" applyAlignment="1">
      <alignment horizontal="center" vertical="center"/>
    </xf>
    <xf numFmtId="179" fontId="20" fillId="0" borderId="0" xfId="0" applyNumberFormat="1" applyFont="1" applyAlignment="1">
      <alignment horizontal="center" vertical="center" wrapText="1"/>
    </xf>
    <xf numFmtId="182" fontId="20" fillId="0" borderId="0" xfId="0" applyNumberFormat="1" applyFont="1" applyAlignment="1">
      <alignment horizontal="center" vertical="center" wrapText="1"/>
    </xf>
    <xf numFmtId="165" fontId="20" fillId="0" borderId="0" xfId="0" applyNumberFormat="1" applyFont="1" applyAlignment="1">
      <alignment horizontal="center" vertical="center"/>
    </xf>
    <xf numFmtId="179" fontId="20" fillId="2" borderId="0" xfId="7" applyNumberFormat="1" applyFont="1" applyFill="1" applyAlignment="1">
      <alignment horizontal="center" vertical="center"/>
    </xf>
    <xf numFmtId="182" fontId="16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180" fontId="20" fillId="2" borderId="0" xfId="7" applyNumberFormat="1" applyFont="1" applyFill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82" fontId="21" fillId="0" borderId="0" xfId="0" applyNumberFormat="1" applyFont="1" applyAlignment="1">
      <alignment horizontal="center" vertical="center" wrapText="1"/>
    </xf>
    <xf numFmtId="179" fontId="6" fillId="3" borderId="5" xfId="7" applyNumberFormat="1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right" vertical="center"/>
    </xf>
    <xf numFmtId="0" fontId="6" fillId="4" borderId="0" xfId="0" applyFont="1" applyFill="1" applyAlignment="1">
      <alignment horizontal="right" vertical="center"/>
    </xf>
    <xf numFmtId="171" fontId="7" fillId="2" borderId="0" xfId="0" applyNumberFormat="1" applyFont="1" applyFill="1" applyAlignment="1">
      <alignment horizontal="center" vertical="center"/>
    </xf>
    <xf numFmtId="171" fontId="7" fillId="2" borderId="7" xfId="0" applyNumberFormat="1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right" vertical="center"/>
    </xf>
    <xf numFmtId="0" fontId="6" fillId="4" borderId="5" xfId="0" applyFont="1" applyFill="1" applyBorder="1" applyAlignment="1">
      <alignment horizontal="right" vertical="center"/>
    </xf>
    <xf numFmtId="171" fontId="7" fillId="2" borderId="5" xfId="0" applyNumberFormat="1" applyFont="1" applyFill="1" applyBorder="1" applyAlignment="1">
      <alignment horizontal="center" vertical="center"/>
    </xf>
    <xf numFmtId="171" fontId="7" fillId="2" borderId="8" xfId="0" applyNumberFormat="1" applyFont="1" applyFill="1" applyBorder="1" applyAlignment="1">
      <alignment horizontal="center" vertical="center"/>
    </xf>
    <xf numFmtId="171" fontId="10" fillId="5" borderId="0" xfId="0" applyNumberFormat="1" applyFont="1" applyFill="1" applyAlignment="1">
      <alignment horizontal="center" vertical="center"/>
    </xf>
    <xf numFmtId="171" fontId="10" fillId="5" borderId="7" xfId="0" applyNumberFormat="1" applyFont="1" applyFill="1" applyBorder="1" applyAlignment="1">
      <alignment horizontal="center" vertical="center"/>
    </xf>
    <xf numFmtId="171" fontId="9" fillId="5" borderId="0" xfId="0" applyNumberFormat="1" applyFont="1" applyFill="1" applyAlignment="1">
      <alignment horizontal="center" vertical="center"/>
    </xf>
    <xf numFmtId="171" fontId="9" fillId="5" borderId="7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right" vertical="center"/>
    </xf>
    <xf numFmtId="0" fontId="6" fillId="3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</cellXfs>
  <cellStyles count="9">
    <cellStyle name="Currency" xfId="2" builtinId="4"/>
    <cellStyle name="Normal" xfId="0" builtinId="0"/>
    <cellStyle name="Normal 10" xfId="4" xr:uid="{90D12CD4-EB24-4150-BA01-485F7DD04756}"/>
    <cellStyle name="Normal 2" xfId="3" xr:uid="{A4DA7064-A94C-4DAB-9C9D-BF22D2BA2137}"/>
    <cellStyle name="Normal 2 2" xfId="8" xr:uid="{8A44C3BB-F7CD-4D4C-8D52-77924BB3BE92}"/>
    <cellStyle name="Normal 35 6" xfId="6" xr:uid="{824374A9-6A8C-4B24-BA8A-C682F3073CEF}"/>
    <cellStyle name="Normal_Zed_s'nek_UCLA_onlineplan_Feb27" xfId="7" xr:uid="{BE97CBC9-DC7F-4D98-B876-30696EB80126}"/>
    <cellStyle name="Per cent" xfId="1" builtinId="5"/>
    <cellStyle name="Percent 2" xfId="5" xr:uid="{A6A83F66-623D-4865-8F3B-1CBBE129A3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6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83.xml"/><Relationship Id="rId138" Type="http://schemas.openxmlformats.org/officeDocument/2006/relationships/externalLink" Target="externalLinks/externalLink137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73.xml"/><Relationship Id="rId128" Type="http://schemas.openxmlformats.org/officeDocument/2006/relationships/externalLink" Target="externalLinks/externalLink127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18" Type="http://schemas.openxmlformats.org/officeDocument/2006/relationships/externalLink" Target="externalLinks/externalLink117.xml"/><Relationship Id="rId134" Type="http://schemas.openxmlformats.org/officeDocument/2006/relationships/externalLink" Target="externalLinks/externalLink133.xml"/><Relationship Id="rId139" Type="http://schemas.openxmlformats.org/officeDocument/2006/relationships/externalLink" Target="externalLinks/externalLink138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124" Type="http://schemas.openxmlformats.org/officeDocument/2006/relationships/externalLink" Target="externalLinks/externalLink123.xml"/><Relationship Id="rId129" Type="http://schemas.openxmlformats.org/officeDocument/2006/relationships/externalLink" Target="externalLinks/externalLink128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40" Type="http://schemas.openxmlformats.org/officeDocument/2006/relationships/externalLink" Target="externalLinks/externalLink139.xml"/><Relationship Id="rId145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119" Type="http://schemas.openxmlformats.org/officeDocument/2006/relationships/externalLink" Target="externalLinks/externalLink118.xml"/><Relationship Id="rId44" Type="http://schemas.openxmlformats.org/officeDocument/2006/relationships/externalLink" Target="externalLinks/externalLink43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130" Type="http://schemas.openxmlformats.org/officeDocument/2006/relationships/externalLink" Target="externalLinks/externalLink129.xml"/><Relationship Id="rId135" Type="http://schemas.openxmlformats.org/officeDocument/2006/relationships/externalLink" Target="externalLinks/externalLink134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120" Type="http://schemas.openxmlformats.org/officeDocument/2006/relationships/externalLink" Target="externalLinks/externalLink119.xml"/><Relationship Id="rId125" Type="http://schemas.openxmlformats.org/officeDocument/2006/relationships/externalLink" Target="externalLinks/externalLink124.xml"/><Relationship Id="rId141" Type="http://schemas.openxmlformats.org/officeDocument/2006/relationships/externalLink" Target="externalLinks/externalLink140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externalLink" Target="externalLinks/externalLink114.xml"/><Relationship Id="rId131" Type="http://schemas.openxmlformats.org/officeDocument/2006/relationships/externalLink" Target="externalLinks/externalLink130.xml"/><Relationship Id="rId136" Type="http://schemas.openxmlformats.org/officeDocument/2006/relationships/externalLink" Target="externalLinks/externalLink13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126" Type="http://schemas.openxmlformats.org/officeDocument/2006/relationships/externalLink" Target="externalLinks/externalLink125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121" Type="http://schemas.openxmlformats.org/officeDocument/2006/relationships/externalLink" Target="externalLinks/externalLink120.xml"/><Relationship Id="rId142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externalLink" Target="externalLinks/externalLink115.xml"/><Relationship Id="rId137" Type="http://schemas.openxmlformats.org/officeDocument/2006/relationships/externalLink" Target="externalLinks/externalLink13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32" Type="http://schemas.openxmlformats.org/officeDocument/2006/relationships/externalLink" Target="externalLinks/externalLink131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27" Type="http://schemas.openxmlformats.org/officeDocument/2006/relationships/externalLink" Target="externalLinks/externalLink12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122" Type="http://schemas.openxmlformats.org/officeDocument/2006/relationships/externalLink" Target="externalLinks/externalLink121.xml"/><Relationship Id="rId143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26" Type="http://schemas.openxmlformats.org/officeDocument/2006/relationships/externalLink" Target="externalLinks/externalLink25.xml"/><Relationship Id="rId47" Type="http://schemas.openxmlformats.org/officeDocument/2006/relationships/externalLink" Target="externalLinks/externalLink46.xml"/><Relationship Id="rId68" Type="http://schemas.openxmlformats.org/officeDocument/2006/relationships/externalLink" Target="externalLinks/externalLink67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33" Type="http://schemas.openxmlformats.org/officeDocument/2006/relationships/externalLink" Target="externalLinks/externalLink132.xml"/><Relationship Id="rId16" Type="http://schemas.openxmlformats.org/officeDocument/2006/relationships/externalLink" Target="externalLinks/externalLink15.xml"/><Relationship Id="rId37" Type="http://schemas.openxmlformats.org/officeDocument/2006/relationships/externalLink" Target="externalLinks/externalLink36.xml"/><Relationship Id="rId58" Type="http://schemas.openxmlformats.org/officeDocument/2006/relationships/externalLink" Target="externalLinks/externalLink57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123" Type="http://schemas.openxmlformats.org/officeDocument/2006/relationships/externalLink" Target="externalLinks/externalLink122.xml"/><Relationship Id="rId14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Server/LOCALTIME/PLANNING/Ykb/2001/02%20February%202001/YKB-ADK%20February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Server/LOCALTIME/erkan/data/PROJE/BUTCE/2003/BRAND%20MARKETING%20KULLANILABILIR20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icpfsw19-01/PLANNING/erkan/data/PROJE/BUTCE/2003/BRAND%20MARKETING%20KULLANILABILIR20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Indeksserver/indeks%20data/WINDOWS/Temporary%20Internet%20Files/OLK5171/Documents%20and%20Settings/u051527/Impostazioni%20locali/Temporary%20Internet%20Files/OLKD/General%20Presentations/Cartel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Meist2kd1/umpcdata/PLANNING/Ykb/2001/02%20February%202001/YKB-ADK%20February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Meist2kd1/umpcdata/erkan/data/PROJE/BUTCE/2003/BRAND%20MARKETING%20KULLANILABILIR200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folder/Oger/TT/2010/Kampanyalar/TT%20S&#246;mestr/Proje%20Dosya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WINDOWS/TEMP/Tv-0799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Server/LOCALTIME/COMMUNICATION%20PLANNING%20DEPARTMENT/Commercial%20Union/1999/Plans/Alo%20Hasar%20Hatti/CU%20Dergi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10.0.0.100/frekans/WINDOWS/Temporary%20Internet%20Files/OLK5171/Documents%20and%20Settings/u051527/Impostazioni%20locali/Temporary%20Internet%20Files/OLKD/General%20Presentations/Cartel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Meist2kd1/umpcdata/COMMUNICATION%20PLANNING%20DEPARTMENT/Commercial%20Union/1999/Plans/Alo%20Hasar%20Hatti/CU%20Dergi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10.0.0.100/frekans/COMMUNICATION%20PLANNING%20DEPARTMENT/Commercial%20Union/1999/Plans/Alo%20Hasar%20Hatti/CU%20Dergi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Meist2kd1/umpcdata/COMMUNICATION%20PLANNING%20DEPARTMENT/Commercial%20Union/2000/Plans/CU%20gazet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10.0.0.100/frekans/COMMUNICATION%20PLANNING%20DEPARTMENT/Commercial%20Union/2000/Plans/CU%20gazet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Server/LOCALTIME/COMMUNICATION%20PLANNING%20DEPARTMENT/Commercial%20Union/2000/Plans/CU%20gazet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zmedia-my.sharepoint.com/10.0.20.10/pazarlama%20ortak/BEGO&#209;A/BEGO&#209;A/IVAS-MARCA/TANG-HIBR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zmedia-my.sharepoint.com/10.0.20.10/pazarlama%20ortak/GCO/PIPELINE/Pipeline%202002/Pipeline%20process/pipeline_current_tes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ssezek/maslak/COMMUNICATION%20PLANNING%20DEPARTMENT/Commercial%20Union/2000/Plans/CU%20gazete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ssezek/maslak/COMMUNICATION%20PLANNING%20DEPARTMENT/Commercial%20Union/1999/Plans/Alo%20Hasar%20Hatti/CU%20Dergi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Users/Telekom/AppData/Local/Microsoft/Windows/Temporary%20Internet%20Files/Content.Outlook/BV8W3AZF/Proje%20Dosya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TRIST1FSM05/Shared/Microsoft/Activation/BGs/Windows/Windows%207/BTS%202012/Vendor%20Proposals/Video/BrightRoll/BR%20Proposal_MSFT%20Windows%20BTS_4.11%20Proposal_rev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ssezek/maslak/COMMUNICATION%20PLANNING%20DEPARTMENT/Commercial%20Union/1999/Plans/Alo%20Hasar%20Hatti/CU%20Dergi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TRIST1FSM01/Medya/Users/Sezgin/AppData/Local/Microsoft/Windows/INetCache/Content.Outlook/90OZEZ87/Ist-fps100/dfs/COMMUNICATION%20PLANNING%20DEPARTMENT/Commercial%20Union/1999/Plans/Alo%20Hasar%20Hatti/CU%20Dergi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ssezek/maslak/COMMUNICATION%20PLANNING%20DEPARTMENT/Commercial%20Union/2000/Plans/CU%20gazete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ssezek/maslak/COMMUNICATION%20PLANNING%20DEPARTMENT/Commercial%20Union/2000/Plans/CU%20gazete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TRIST1FSM01/Medya/Users/Sezgin/AppData/Local/Microsoft/Windows/INetCache/Content.Outlook/90OZEZ87/Ist-fps100/dfs/COMMUNICATION%20PLANNING%20DEPARTMENT/Commercial%20Union/2000/Plans/CU%20gazete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Server/LOCALTIME/COMMUNICATION%20PLANNING%20DEPARTMENT/Commercial%20Union/2000/Plans/CU%20gazete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icpfsw19-01/PLANNING/WINDOWS/Temporary%20Internet%20Files/OLK5171/Documents%20and%20Settings/u051527/Impostazioni%20locali/Temporary%20Internet%20Files/OLKD/General%20Presentations/Cartel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Srv-radyoevi/elif/COMMUNICATION%20PLANNING%20DEPARTMENT/Commercial%20Union/1999/Plans/Alo%20Hasar%20Hatti/CU%20Dergi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TRIST1FSM05/Shared/Documents%20and%20Settings/HWentz/Local%20Settings/Temporary%20Internet%20Files/OLK1/CVS.Playskool.Pricing.7.28.08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TRIST1FSM05/Shared/Underwriters%20Laboratories/Site%20Proposals/Meredith/UL.Pricing.9.18.08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TRIST1FSM05/Shared/Documents%20and%20Settings/Michael%20Lane/Local%20Settings/Temporary%20Internet%20Files/Content.Outlook/6VQC1X1K/Symphony%20import%20template%20Dec8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TRIST1FSM01/Medya/Users/Sezgin/AppData/Local/Microsoft/Windows/INetCache/Content.Outlook/90OZEZ87/ssezek/maslak/COMMUNICATION%20PLANNING%20DEPARTMENT/Commercial%20Union/1999/Plans/Alo%20Hasar%20Hatti/CU%20Dergi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reganzani/video/operational/Teleconference/Corrente/Indice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TRIST1FSM05/Shared/@/Morphserver/Morpheus/Clients/Neiman%20Marcus%20Direct/INTERNAL/FALL%202006/Proposals/MSN/MSN%20Advertising%20Media%20Plan%20-%20Neiman%20Marcus%20Fall%20Fashion_revised%204.25.06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92.168.4.35/c$/COMMUNICATION%20PLANNING%20DEPARTMENT/YKB/1999/Plans/Turkcell%20Kart%20Kampanya/TURKCELLDEVAM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TRIST1FSM01/Medya/I/TV&amp;Radio/Henkel/2003/Vernel/01%20Jan%202003/vernelocak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bcaliskan/departman/2010/PAKPEN/PAKPEN%20TV%20TOPLAM%20BUTCE%2001.03.2010-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TRIST1FSM05/Shared/D/Sales/Product%20Support/Geoffs%20master%20spreadsheet_2005Avails%2006.17.04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Nanosrv/planlama/Documents%20and%20Settings/zenith-jeas/Lokala%20inst&#228;llningar/Temporary%20Internet%20Files/OLK1013/Portugal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TRIST1FSM05/Shared/@/sfomef0001/Oletta.Reed$/Documents%20and%20Settings/jfulford/Local%20Settings/Temporary%20Internet%20Files/OLK2E/MSCOM_Products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Veritasdata/v/Documents%20and%20Settings/s16/Desktop/PAKET%20&amp;%20TEKL&#304;FLER/PEL&#304;KAN%20KASIM%20PROJE%20PLAN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0.100.188.90/um/2014/UM%20Digital/Plans&amp;%20Reports/TOYOTA/Toyota%20-%20Corolla%20Re-Lansman%20May&#305;s%202014/Report/Coca_Cola_RocnCoke_Digital_MediaPlan_1907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92.168.4.35/c$/PLANNING/Ykb/2001/01%20January%202001/worldcardocakayse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TRIST1FSM01/Medya/I/PLANNING/Ykb/2001/01%20January%202001/worldcardocakayse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lanlama03/mydoc/My%20Documents/NREISOGLU-2001-2005/SON%20CALISMA/KADIKOY-BURSA%202001-2005%20CALISMA%209%20TEMMUZ%202001-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92.168.4.35/c$/COMMUNICATION%20PLANNING%20DEPARTMENT/Praktiker/2000/Plans/Praktiker%20March2000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TRIST1FSM01/Medya/Users/Sezgin/AppData/Local/Microsoft/Windows/INetCache/Content.Outlook/90OZEZ87/Ist-fps100/dfs/COMMUNICATION%20PLANNING%20DEPARTMENT/Praktiker/2000/Plans/Praktiker%20March20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TRIST1FSM05/Shared/Users/Jason.Case/AppData/Local/Microsoft/Windows/Temporary%20Internet%20Files/Content.Outlook/QM3STEK1/FY10%20CX%20China%20Experience%20Digital%20RFP_WSJDN_9%2016%2010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0.100.188.90/um/UMDATA/2014/UM%20Digital/Plans&amp;%20Reports/TOYOTA/Toyota%20-%20Yaris%20Hybrid%20Lansman%20Aral&#305;k%202014/Toyota_Yaris%20Hybrid%20Lansman_Aral&#305;k%202014_02122014_v2.xlsm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TRIST1FSM05/Shared/Users/Sarah/Desktop/MW/Zenith/Hallmark%20Channel/Hallmark%20Channel%20RFP_YuMe%20Proposal_8%2030%202011.xlsm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zmedia-my.sharepoint.com/10.0.20.10/pazarlama%20ortak/DATA/EXDATA/CPEXPER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COMMUNICATION%20PLANNING%20DEPARTMENT/Commercial%20Union/1999/Plans/Alo%20Hasar%20Hatti/CU%20Dergi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10.0.0.100/frekans/Planlama/Bellona/Tv/2004/est/03/plan/tvbel0304%20(version%202)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reganzani/video/Operational/Teleconference/VDC%20Jan%202002/Cover-index-Sez%20A-B%20January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ssezek/maslak/TV&amp;Radio/Pepsi/2002/07%20July%202002/PLANNING/Pepsi/2001/06%20June%202001/PepsiFortuneTeller12ndwaveJune2001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TRIST1FSM05/Shared/Users/ozgetastanurgun/Library/Caches/TemporaryItems/Outlook%20Temp/Turkey/Turkey%20Channel%20List%20with%20URL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Veritasdata/v/DOCUME~1/dz8lbc/LOCALS~1/Temp/notes6030C8/Chevy_Signup_2007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TRIST1FSM05/Shared/Users/tsudag01/Desktop/KONTAK%20B&#304;LG&#304;LER&#304;/Cumhuriyet%20%20Gazetesi-%20Yeni%20&#214;l&#231;&#252;%20%2026.05.2017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ssezek/maslak/TV&amp;Radio/Pepsi/2002/07%20July%202002/PLANNING/Pepsi/2001/06%20June%202001/PepsiFortuneTeller12ndwaveJune2001.xls" TargetMode="External"/></Relationships>
</file>

<file path=xl/externalLinks/_rels/externalLink61.xml.rels><?xml version="1.0" encoding="UTF-8" standalone="yes"?>
<Relationships xmlns="http://schemas.openxmlformats.org/package/2006/relationships"><Relationship Id="rId2" Type="http://schemas.microsoft.com/office/2019/04/relationships/externalLinkLongPath" Target="file:///G:/TRIST1FSM01/Medya/Users/Sezgin/AppData/Local/Microsoft/Windows/INetCache/Content.Outlook/90OZEZ87/ssezek/maslak/TV&amp;Radio/Pepsi/2002/07%20July%202002/PLANNING/Pepsi/2001/06%20June%202001/PepsiFortuneTeller12ndwaveJune2001.xls?89B8EFC1" TargetMode="External"/><Relationship Id="rId1" Type="http://schemas.openxmlformats.org/officeDocument/2006/relationships/externalLinkPath" Target="file:///89B8EFC1/PepsiFortuneTeller12ndwaveJune20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Indeksserver/indeks%20data/WINDOWS/Temporary%20Internet%20Files/OLK5171/Documents%20and%20Settings/u051527/Impostazioni%20locali/Temporary%20Internet%20Files/OLKD/General%20Presentations/MKTG%20Plan%202003/Cartel1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TRIST1FSM05/Shared/C/Spotsales/!2001/Clients/Lifetime/Sunday%20Nights%20Summer%202001/!Sun%20Prime%207-9%20Rev.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TRIST1FSM05/Shared/Wcss/Berlex%20Labs/2007/Mirena/Research/Awareness/Current/Updated%20Awareness%203-year%20model%20REVISED%20FLIGHTING-9.29.06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FS2/CARATDOC/ECKES/TERVEK/goldradio3flc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BA95541A/Cartel1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92.168.4.35/c$/PLANNING%20&amp;%20RESEARCH%20DEPARTMENT/PLANNING/Henkel/1999/Pril/02%20February%201999/PRILARALIK98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8E58C7D1/Vitra%20Sento%20Banyo%20Mobilyas&#305;%20Dijital%20Medya%20Plan&#305;%20&#350;ubat%20-%20May&#305;s'18%20Plan%20vs.%20Ger&#231;ekle&#351;en.xlsx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Winserver/LOCALTIME/Documents%20and%20Settings/pc2/Local%20Settings/Temporary%20Internet%20Files/OLK3A/MEDIA/PLAN/2002/bjkhalkarz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Planlama/Gillette/turkey/Medplans/TV/Braun/05May/Actual/Silkepil%20may%20post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Digital%20House/AppData/Local/Microsoft/Windows/INetCache/Content.Outlook/0WWDE48I/Gyoder%20MBA%20Program&#305;%20Digital%20Medya%20Plan%20A&#287;ustos%202017%20(1)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Telematik/PEGASUS/12%20SANIYE%20PEGONOMI/EKIM%20OLCULEN/ekim%20olculen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zapfile1/HAVUZ/PROGRAM%20FILES/SCOPE/Data/PhaseForms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TRIST1FSM01/Medya/Users/Sezgin/AppData/Local/Microsoft/Windows/INetCache/Content.Outlook/90OZEZ87/Sinan/d/TV/Actual/May99/SNICKErson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PROGRAM%20FILES/SCOPE/Data/PhaseForms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microsoft.com/office/2006/relationships/xlExternalLinkPath/xlPathMissing" Target="carat_print_form_hu1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File/clientservices/COMMUNICATION%20PLANNING%20DEPARTMENT/YKB/1999/Plans/Turkcell%20Kart%20Kampanya/TURKCELLDEVAM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Emel/i/PLANNING/Ykb/2001/01%20January%202001/worldcardocakayse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MUHTELIF/REZFORM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TRIST1FSM01/Medya/D/MUHTELIF/REZFORM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File/MEDIA/PLANNING/Ykb/2001/01%20January%202001/worldcardocakayse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TRIST1FSM01/Medya/Users/Sezgin/AppData/Local/Microsoft/Windows/INetCache/Content.Outlook/90OZEZ87/Ist-fps100/dfs/COMMUNICATION%20PLANNING%20DEPARTMENT/YKB/1999/Plans/Turkcell%20Kart%20Kampanya/TURKCELLDEVAM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sudafrica/Sudafrica%202002/sud%20africa%2004-02-2002/Jacek/Indice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cpmedya-my.sharepoint.com/UMDATA/2014/UM%20Digital/Plans&amp;%20Reports/TOYOTA/Toyota%20-%20Yaris%20Hybrid%20Lansman%20Aral&#305;k%202014/Toyota_Yaris%20Hybrid%20Lansman_Aral&#305;k%202014_02122014_v2.xlsm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UMDATA/2014/UM%20Digital/Plans&amp;%20Reports/TOYOTA/Toyota%20-%20Yaris%20Hybrid%20Lansman%20Aral&#305;k%202014/Toyota_Yaris%20Hybrid%20Lansman_Aral&#305;k%202014_02122014_v2.xlsm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TRIST1FSM05/Shared/OZDEN/TOY/OKANTOY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Server/LOCALTIME/WINDOWS/Temporary%20Internet%20Files/OLK52E0/Bimpas/BimCarlsLansder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E/PROGRAM%20FILES/SCOPE/Data/PhaseForms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icpfsw19-01/PLANNING/Media/Clients/Bifa/2011/Planlar/Cafe%20Break/Draft/Cafe%20Break%20Medya%20Plani%231%20%20(27%2004%2011).xlsx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10.0.0.100/frekans/Documents%20and%20Settings/handeengin/Desktop/bir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sudafrica/Sudafrica%202002/sud%20africa%2004-02-2002/Indice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Veritasdata/v/Documents%20and%20Settings/s16/Local%20Settings/Temporary%20Internet%20Files/OLK86/KC%20KASIM%202007%20SPOT%20PLANLAMA%20(version%201)%20(2)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reganzani/video/WINDOWS/Desktop/aging/torino_reports/N&#304;SAN2002/VIDEO%20CONFERANCE%20N&#304;SAN%202002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Server/LOCALTIME/WINDOWS/Temporary%20Internet%20Files/OLK52E0/Dosyalar/2002%20BUTCE%20CALISMALARI/BUTCE/2002%20BIRA%20BUTCE%201900000HL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Server/LOCALTIME/WINDOWS/Temporary%20Internet%20Files/OLK52E0/My%20Documents/NREISOGLU-2001-2005/SON%20CALISMA/KADIKOY-BURSA%202001-2005%20CALISMA%209%20TEMMUZ%202001-1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POProgramyedek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TRIST1FSM01/Medya/Users/Sezgin/AppData/Local/Microsoft/Windows/INetCache/Content.Outlook/90OZEZ87/maslakserver/CLIENT%20SERVICES/Istikbal/Plans/Istikbal%20Feb%20Toplu%20Planlar/POProgramyedek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GUR/SharedDocs/Documents%20and%20Settings/rahim%20gunduz/Local%20Settings/Temporary%20Internet%20Files/OLK2FE/SHOW-ASIM%20REV&#304;ZE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C:/C:/U:/U:/G:/U:/U:/R:/Iletisim/Reklam/MEDYA%20&amp;%20B&#220;T&#199;E%20&amp;%20ARA&#350;TIRMA/1.B&#220;T&#199;E/MARCOM%20B&#220;T&#199;E%202016/Harcamalar%20Giri&#351;%202016_2017_10ay.xlsx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icpfsw19-01/PLANNING/Documents%20and%20Settings/murat.erkara/Local%20Settings/Temporary%20Internet%20Files/OLK69/Reklam%20Rezervasyon%20Program&#305;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Veritasdata/v/Documents%20and%20Settings/tugceyilmaz/Local%20Settings/Temporary%20Internet%20Files/OLKB5/YURT&#304;&#199;&#304;%20KARGO%202007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TRIST1FSM05/Shared/C/Documents%20and%20Settings/goldenm/Desktop/Copy%20of%20Example%20Buy%20Details_V2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Research/Gruppe/MUELLER/TV-CHART/1999/DAUBL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Omdsql/buying/Internet/2011/Plans%20&amp;%20Reports/VODAFONE/Plans%202011/VF%20-%20Servis%20Kampanyas&#305;%20Mart%202011/VF_Servis_Kampanyas&#305;_Digital_MediaPlan_24.02.xlsx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atest/PRIX.xla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Eda/c/HOME/MED_TURK/ECZATV00/EBC/STYLING/STYLING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icpfsw19-01/PLANNING/WINDOWS/Temporary%20Internet%20Files/OLK5171/Documents%20and%20Settings/u051527/Impostazioni%20locali/Temporary%20Internet%20Files/OLKD/General%20Presentations/MKTG%20Plan%202003/Cartel1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92.168.4.35/c$/PLANNING%20&amp;%20RESEARCH%20DEPARTMENT/PLANNING/Henkel/1999/Persil/03%20March%201999/PERSILMart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TRIST1FSM01/Medya/Users/Sezgin/AppData/Local/Microsoft/Windows/INetCache/Content.Outlook/90OZEZ87/Ist-fps100/dfs/PLANNING%20&amp;%20RESEARCH%20DEPARTMENT/PLANNING/Henkel/1999/Persil/03%20March%201999/PERSILMart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Srv-ping/documents/Documents%20and%20Settings/gulnure/Local%20Settings/Temporary%20Internet%20Files/OLK1/Denizbank%20Bant%20Paketi%20Aral&#305;k%202007%20Planlama.xls" TargetMode="External"/></Relationships>
</file>

<file path=xl/externalLinks/_rels/externalLink1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/Media/Digital/2023/Markalar/ULUDA&#286;/03_Mart/Plan/Uluda&#287;%20Limonata&amp;&#350;erbet%20Digital%20Plan&#305;2023%20-175K.xlsx" TargetMode="External"/><Relationship Id="rId1" Type="http://schemas.openxmlformats.org/officeDocument/2006/relationships/externalLinkPath" Target="https://icpmedya-my.sharepoint.com/Media/Digital/2023/Markalar/ULUDA&#286;/03_Mart/Plan/Uluda&#287;%20Limonata&amp;&#350;erbet%20Digital%20Plan&#305;2023%20-175K.xlsx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/WINDOWS/TEMP/CCS99H1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Istmewzzz02/um/UMDATA/2014/UM%20Digital/Plans&amp;%20Reports/TOYOTA/Toyota%20-%20Yaris%20Hybrid%20Lansman%20Aral&#305;k%202014/Toyota_Yaris%20Hybrid%20Lansman_Aral&#305;k%202014_02122014_v2.xlsm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AYLAN/tas/2000/NISAN/SUPER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WINDOWS/TEMP/98SET/LUG98/DIALOGHI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/USO/F210/PO210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TRIST1FSM05/Shared/MediaVest%20Digital/Underwriters%20Laboratories/Site%20Proposals/Meredith/UL.Pricing.MPG-Internal.9.29.08_v2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TRIST1FSM05/Shared/Users/Victoria/AppData/Local/Microsoft/Windows/Temporary%20Internet%20Files/Content.Outlook/ISMWCGBW/YuMe%20Tums%20Campaign%20v0%201.xlsx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Indeksserver/indeks%20data/WINDOWS/Temporary%20Internet%20Files/OLK5171/Documents%20and%20Settings/u065509/Impostazioni%20locali/Temporary%20Internet%20Files/OLK1/Nuova%20sintesi%20Turchia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Users/tuba.genc/Desktop/Sahibinden%20Param%20G&#252;vende/Sahibinden%23Versiyon-9-giden.xlsx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Ist-fps100/data/COMMUNICATION%20PLANNING%20DEPARTMENT/Commercial%20Union/1999/Plans/Alo%20Hasar%20Hatti/CU%20Dergi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0.100.188.90/um/USERS/MEDPLN/Client/Renault/Kangoo%20VP/Satis/Bahsenligi01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TRIST1FSM01/Medya/Users/Sezgin/AppData/Local/Microsoft/Windows/INetCache/Content.Outlook/90OZEZ87/Ist-fps100/dfs/USERS/MEDPLN/Client/Renault/Kangoo%20VP/Satis/Bahsenligi01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icpfsw19-01/PLANNING/Documents%20and%20Settings/CNN-S12/Local%20Settings/Temporary%20Internet%20Files/OLK2/CNN%20T&#220;RK%20D&#252;nya%20Kupas&#305;%20Spot%20Paket%20(%25)%20HAZ&#304;RAN%2006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TRIST1FSM01/Medya/D/TV/Actual/Oct99/SNICKERS4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Telematik/Actual/2004/Aral&#305;k/DISBANK/Disbank%20-Taksitleri%203'e%20Bol-%20GRP'li%20(aralik)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Yelda/EXPER%20(C)/Documents%20and%20Settings/Administrator/Local%20Settings/Temporary%20Internet%20Files/OLK91/Starex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78908DC1/TURKCELLDEVAM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ssezek/maslak/COMMUNICATION%20PLANNING%20DEPARTMENT/YKB/1999/Plans/Turkcell%20Kart%20Kampanya/TURKCELLDEVAM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TRIST1FSM01/Medya/Users/Sezgin/AppData/Local/Microsoft/Windows/INetCache/Content.Outlook/90OZEZ87/ssezek/maslak/COMMUNICATION%20PLANNING%20DEPARTMENT/YKB/1999/Plans/Turkcell%20Kart%20Kampanya/TURKCELLDEVAM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/DTV/Spot%20Planlama/DENEME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icpfsw19-01/PLANNING/USERS/MEDPLN/Client/Renault/1997/MEGANE16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$NDS/.PCF_WORK.PCF.DAF.FIASA/EDU/FECHAMES/JUN99/Indice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10.0.0.100/frekans/Client/Carrefour/Tv/2006/Tv/Mart/Bonus%20tv%20plani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Users/tuba.genc/Desktop/Sahibinden%202.%20El%20kampanyasi/Toyota%20Proace%20Lansman%20&#304;leti&#351;imi%20G&#252;nl&#252;k%20Ger&#231;ekle&#351;en%20Rapor%20&#246;l&#231;&#252;len%201-8%20-%20tematik%201-8.xlsx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/EDU/FECHAMES/JUN99/Indice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baharuser/Desktop/FOTOSPRO%20Rate%20Card%20%202022%20.xlsx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Srv-ping/documents/DOCUME~1/gdivan/LOCALS~1/Temp/notesE1EF34/INDIRIMORANLARI2005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TRIST1FSM05/Shared/DOCUME~1/ALFIYA~1.MUK/LOCALS~1/Temp/notes6030C8/JLR_August%202011.xlsx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TRIST1FSM01/Medya/A/BASIN99/BASIN991/GERCEK/LeonDP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  <sheetName val="KARIŞIK ödeme"/>
      <sheetName val="ÖZET"/>
      <sheetName val="ÖDEME"/>
      <sheetName val="KARIŞIK PLAN"/>
      <sheetName val="ÖZET (REVİZE)"/>
      <sheetName val="KARIŞIK PLAN (REVİZE)"/>
      <sheetName val="GERÇEKLEŞEN ÖZET "/>
      <sheetName val="GERÇEKLEŞEN ÖDEME"/>
      <sheetName val="GEÇEKLEŞEN KARIŞIK "/>
      <sheetName val="ATV"/>
      <sheetName val="KAND"/>
      <sheetName val="SHOW TV"/>
      <sheetName val="TGRT"/>
      <sheetName val="TRT1"/>
      <sheetName val="NTV"/>
      <sheetName val="KANAL 6"/>
      <sheetName val="DISCOVERY"/>
      <sheetName val="FLASH TV"/>
      <sheetName val="KANAL E"/>
      <sheetName val="CNN TÜRK"/>
      <sheetName val="CINE 5"/>
      <sheetName val="BRT"/>
      <sheetName val="KANAL 7"/>
      <sheetName val="DIGITURK"/>
      <sheetName val="TV8"/>
      <sheetName val="TUBORG"/>
      <sheetName val="YKB-ADK February"/>
      <sheetName val="Foglio1"/>
      <sheetName val="KARIŞIK_ödeme"/>
      <sheetName val="KARIŞIK_PLAN"/>
      <sheetName val="ÖZET_(REVİZE)"/>
      <sheetName val="KARIŞIK_PLAN_(REVİZE)"/>
      <sheetName val="GERÇEKLEŞEN_ÖZET_"/>
      <sheetName val="GERÇEKLEŞEN_ÖDEME"/>
      <sheetName val="GEÇEKLEŞEN_KARIŞIK_"/>
      <sheetName val="SHOW_TV"/>
      <sheetName val="KANAL_6"/>
      <sheetName val="FLASH_TV"/>
      <sheetName val="KANAL_E"/>
      <sheetName val="CNN_TÜRK"/>
      <sheetName val="CINE_5"/>
      <sheetName val="KANAL_7"/>
      <sheetName val="7 HAFTA"/>
      <sheetName val="KARIŞIK_ödeme1"/>
      <sheetName val="KARIŞIK_PLAN1"/>
      <sheetName val="ÖZET_(REVİZE)1"/>
      <sheetName val="KARIŞIK_PLAN_(REVİZE)1"/>
      <sheetName val="GERÇEKLEŞEN_ÖZET_1"/>
      <sheetName val="GERÇEKLEŞEN_ÖDEME1"/>
      <sheetName val="GEÇEKLEŞEN_KARIŞIK_1"/>
      <sheetName val="SHOW_TV1"/>
      <sheetName val="KANAL_61"/>
      <sheetName val="FLASH_TV1"/>
      <sheetName val="KANAL_E1"/>
      <sheetName val="CNN_TÜRK1"/>
      <sheetName val="CINE_51"/>
      <sheetName val="KANAL_71"/>
      <sheetName val="KARIŞIK_ödeme2"/>
      <sheetName val="Network"/>
      <sheetName val="Format"/>
      <sheetName val="buyingmethod"/>
      <sheetName val="creativetype"/>
      <sheetName val="Media Type"/>
      <sheetName val="Dropdown"/>
      <sheetName val="KARIŞIK_PLAN2"/>
      <sheetName val="ÖZET_(REVİZE)2"/>
      <sheetName val="KARIŞIK_PLAN_(REVİZE)2"/>
      <sheetName val="GERÇEKLEŞEN_ÖZET_2"/>
      <sheetName val="GERÇEKLEŞEN_ÖDEME2"/>
      <sheetName val="GEÇEKLEŞEN_KARIŞIK_2"/>
      <sheetName val="SHOW_TV2"/>
      <sheetName val="KANAL_62"/>
      <sheetName val="FLASH_TV2"/>
      <sheetName val="KANAL_E2"/>
      <sheetName val="CNN_TÜRK2"/>
      <sheetName val="CINE_52"/>
      <sheetName val="KANAL_72"/>
      <sheetName val="YKB-ADK_February"/>
      <sheetName val="KARIŞIK_ödeme3"/>
      <sheetName val="KARIŞIK_PLAN3"/>
      <sheetName val="ÖZET_(REVİZE)3"/>
      <sheetName val="KARIŞIK_PLAN_(REVİZE)3"/>
      <sheetName val="GERÇEKLEŞEN_ÖZET_3"/>
      <sheetName val="GERÇEKLEŞEN_ÖDEME3"/>
      <sheetName val="GEÇEKLEŞEN_KARIŞIK_3"/>
      <sheetName val="SHOW_TV3"/>
      <sheetName val="KANAL_63"/>
      <sheetName val="FLASH_TV3"/>
      <sheetName val="KANAL_E3"/>
      <sheetName val="CNN_TÜRK3"/>
      <sheetName val="CINE_53"/>
      <sheetName val="KANAL_73"/>
      <sheetName val="YKB-ADK_February1"/>
      <sheetName val="7_HAFTA"/>
      <sheetName val="Media_Type"/>
      <sheetName val="Categories"/>
      <sheetName val="SaleTypes"/>
      <sheetName val="PublishingModels"/>
      <sheetName val="MediaTypes"/>
      <sheetName val="ItemTypes"/>
      <sheetName val="Digital-Rate Card-Dropdown"/>
      <sheetName val="Ekim"/>
      <sheetName val=""/>
      <sheetName val="Detailed"/>
      <sheetName val="hl"/>
      <sheetName val="tanımlar"/>
      <sheetName val="Hasar Hattı"/>
      <sheetName val="DİJİTAL"/>
    </sheetNames>
    <sheetDataSet>
      <sheetData sheetId="0" refreshError="1">
        <row r="227">
          <cell r="A227" t="str">
            <v>K1</v>
          </cell>
          <cell r="B227">
            <v>1.9</v>
          </cell>
        </row>
        <row r="228">
          <cell r="A228" t="str">
            <v>K2</v>
          </cell>
          <cell r="B228">
            <v>1.9</v>
          </cell>
        </row>
        <row r="229">
          <cell r="A229" t="str">
            <v>K3</v>
          </cell>
          <cell r="B229">
            <v>2.6</v>
          </cell>
        </row>
        <row r="230">
          <cell r="A230" t="str">
            <v>K4</v>
          </cell>
          <cell r="B230">
            <v>2.6</v>
          </cell>
        </row>
        <row r="231">
          <cell r="A231" t="str">
            <v>K5</v>
          </cell>
          <cell r="B231">
            <v>3.2</v>
          </cell>
        </row>
        <row r="232">
          <cell r="A232" t="str">
            <v>K6</v>
          </cell>
          <cell r="B232">
            <v>3.2</v>
          </cell>
        </row>
        <row r="233">
          <cell r="A233" t="str">
            <v>K7</v>
          </cell>
          <cell r="B233">
            <v>4.5</v>
          </cell>
        </row>
        <row r="234">
          <cell r="A234" t="str">
            <v>K8</v>
          </cell>
          <cell r="B234">
            <v>4.5</v>
          </cell>
        </row>
        <row r="235">
          <cell r="A235" t="str">
            <v>K9</v>
          </cell>
          <cell r="B235">
            <v>5.0999999999999996</v>
          </cell>
        </row>
        <row r="236">
          <cell r="A236" t="str">
            <v>K10</v>
          </cell>
          <cell r="B236">
            <v>5.0999999999999996</v>
          </cell>
        </row>
        <row r="237">
          <cell r="A237" t="str">
            <v>K11</v>
          </cell>
          <cell r="B237">
            <v>5.0999999999999996</v>
          </cell>
        </row>
        <row r="238">
          <cell r="A238" t="str">
            <v>K12</v>
          </cell>
          <cell r="B238">
            <v>6.4</v>
          </cell>
        </row>
        <row r="239">
          <cell r="A239" t="str">
            <v>K13</v>
          </cell>
          <cell r="B239">
            <v>6.4</v>
          </cell>
        </row>
        <row r="240">
          <cell r="A240" t="str">
            <v>K14</v>
          </cell>
          <cell r="B240">
            <v>6.4</v>
          </cell>
        </row>
        <row r="241">
          <cell r="A241" t="str">
            <v>K15</v>
          </cell>
          <cell r="B241">
            <v>8.3000000000000007</v>
          </cell>
        </row>
        <row r="242">
          <cell r="A242" t="str">
            <v>K16</v>
          </cell>
          <cell r="B242">
            <v>8.3000000000000007</v>
          </cell>
        </row>
        <row r="243">
          <cell r="A243" t="str">
            <v>K17</v>
          </cell>
          <cell r="B243">
            <v>8.3000000000000007</v>
          </cell>
        </row>
        <row r="244">
          <cell r="A244" t="str">
            <v>KÖ1</v>
          </cell>
          <cell r="B244">
            <v>1.4249999999999998</v>
          </cell>
        </row>
        <row r="245">
          <cell r="A245" t="str">
            <v>KÖ2</v>
          </cell>
          <cell r="B245">
            <v>1.4249999999999998</v>
          </cell>
        </row>
        <row r="246">
          <cell r="A246" t="str">
            <v>KÖ3</v>
          </cell>
          <cell r="B246">
            <v>1.9500000000000002</v>
          </cell>
        </row>
        <row r="247">
          <cell r="A247" t="str">
            <v>KÖ4</v>
          </cell>
          <cell r="B247">
            <v>1.9500000000000002</v>
          </cell>
        </row>
        <row r="248">
          <cell r="A248" t="str">
            <v>KÖ5</v>
          </cell>
          <cell r="B248">
            <v>2.4000000000000004</v>
          </cell>
        </row>
        <row r="249">
          <cell r="A249" t="str">
            <v>KÖ6</v>
          </cell>
          <cell r="B249">
            <v>2.4000000000000004</v>
          </cell>
        </row>
        <row r="250">
          <cell r="A250" t="str">
            <v>KÖ7</v>
          </cell>
          <cell r="B250">
            <v>3.375</v>
          </cell>
        </row>
        <row r="251">
          <cell r="A251" t="str">
            <v>KÖ8</v>
          </cell>
          <cell r="B251">
            <v>3.375</v>
          </cell>
        </row>
        <row r="252">
          <cell r="A252" t="str">
            <v>KÖ9</v>
          </cell>
          <cell r="B252">
            <v>3.8249999999999997</v>
          </cell>
        </row>
        <row r="253">
          <cell r="A253" t="str">
            <v>KÖ10</v>
          </cell>
          <cell r="B253">
            <v>3.8249999999999997</v>
          </cell>
        </row>
        <row r="254">
          <cell r="A254" t="str">
            <v>KÖ11</v>
          </cell>
          <cell r="B254">
            <v>3.8249999999999997</v>
          </cell>
        </row>
        <row r="255">
          <cell r="A255" t="str">
            <v>KÖ12</v>
          </cell>
          <cell r="B255">
            <v>4.8000000000000007</v>
          </cell>
        </row>
        <row r="256">
          <cell r="A256" t="str">
            <v>KÖ13</v>
          </cell>
          <cell r="B256">
            <v>4.8000000000000007</v>
          </cell>
        </row>
        <row r="257">
          <cell r="A257" t="str">
            <v>KÖ14</v>
          </cell>
          <cell r="B257">
            <v>4.8000000000000007</v>
          </cell>
        </row>
        <row r="258">
          <cell r="A258" t="str">
            <v>KÖ15</v>
          </cell>
          <cell r="B258">
            <v>6.2250000000000005</v>
          </cell>
        </row>
        <row r="259">
          <cell r="A259" t="str">
            <v>KÖ16</v>
          </cell>
          <cell r="B259">
            <v>6.2250000000000005</v>
          </cell>
        </row>
        <row r="260">
          <cell r="A260" t="str">
            <v>KÖ17</v>
          </cell>
          <cell r="B260">
            <v>6.2250000000000005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UBORG"/>
      <sheetName val="GRANDTOTAL"/>
      <sheetName val="CAMPAIGNS tuborg"/>
      <sheetName val="CARLSBERG"/>
      <sheetName val="CAMPAIGNS carlsberg"/>
      <sheetName val="CUBE&amp;BATTERY"/>
      <sheetName val="TROY&amp;VENUS"/>
      <sheetName val="CAMPAIGNS NEW"/>
      <sheetName val="data"/>
      <sheetName val="EXPENSE TABLE"/>
      <sheetName val="TUBORG (EXPENSE)"/>
      <sheetName val="CARLSBERG (EXP)"/>
      <sheetName val="CUBE&amp;BATTERY (EXP)"/>
      <sheetName val="EXCHANGE"/>
      <sheetName val="CAMPAIGNS"/>
      <sheetName val="GS"/>
      <sheetName val="BJK"/>
      <sheetName val="gazetetoplam2003"/>
      <sheetName val="kapak sayfa"/>
      <sheetName val="Hürriyet"/>
      <sheetName val="Milliyet"/>
      <sheetName val="Sabah"/>
      <sheetName val="Fotomaç"/>
      <sheetName val="Star"/>
      <sheetName val="TAKVİM-1"/>
      <sheetName val="TAKVİM-2"/>
      <sheetName val="POPTOPLAM"/>
      <sheetName val="POPDEĞİŞKEN"/>
      <sheetName val="POPPAZARLAMA"/>
      <sheetName val="POPCARLS"/>
      <sheetName val="POPTUBORG"/>
      <sheetName val="Draft study"/>
      <sheetName val="Sheet1"/>
      <sheetName val="BRAND MARKETING KULLANILABILIR2"/>
      <sheetName val="Makro1"/>
      <sheetName val="HALLEY-CPIR (12-34)"/>
      <sheetName val="Kategoriler"/>
      <sheetName val="7 HAFTA"/>
      <sheetName val="Tnt"/>
      <sheetName val="CAMPAIGNS_tuborg"/>
      <sheetName val="CAMPAIGNS_carlsberg"/>
      <sheetName val="CAMPAIGNS_NEW"/>
      <sheetName val="EXPENSE_TABLE"/>
      <sheetName val="TUBORG_(EXPENSE)"/>
      <sheetName val="CARLSBERG_(EXP)"/>
      <sheetName val="CUBE&amp;BATTERY_(EXP)"/>
      <sheetName val="kapak_sayfa"/>
      <sheetName val="Draft_study"/>
      <sheetName val="BRAND_MARKETING_KULLANILABILIR2"/>
      <sheetName val="HALLEY-CPIR_(12-34)"/>
      <sheetName val="Network"/>
      <sheetName val="buyingmethod"/>
      <sheetName val="creativetype"/>
      <sheetName val="Format"/>
      <sheetName val="Media Type"/>
      <sheetName val="Dropdown"/>
      <sheetName val="Hasar Hattı"/>
      <sheetName val="CAMPAIGNS_tuborg1"/>
      <sheetName val="CAMPAIGNS_carlsberg1"/>
      <sheetName val="CAMPAIGNS_NEW1"/>
      <sheetName val="EXPENSE_TABLE1"/>
      <sheetName val="TUBORG_(EXPENSE)1"/>
      <sheetName val="CARLSBERG_(EXP)1"/>
      <sheetName val="CUBE&amp;BATTERY_(EXP)1"/>
      <sheetName val="kapak_sayfa1"/>
      <sheetName val="Draft_study1"/>
      <sheetName val="BRAND_MARKETING_KULLANILABILIR1"/>
      <sheetName val="HALLEY-CPIR_(12-34)1"/>
      <sheetName val="7_HAFTA"/>
      <sheetName val="Media_Type"/>
      <sheetName val="Hasar_Hattı"/>
      <sheetName val="Daypart   "/>
      <sheetName val="DİJİTAL"/>
      <sheetName val="Dijital Plan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UBORG"/>
      <sheetName val="GRANDTOTAL"/>
      <sheetName val="CAMPAIGNS tuborg"/>
      <sheetName val="CARLSBERG"/>
      <sheetName val="CAMPAIGNS carlsberg"/>
      <sheetName val="CUBE&amp;BATTERY"/>
      <sheetName val="TROY&amp;VENUS"/>
      <sheetName val="CAMPAIGNS NEW"/>
      <sheetName val="data"/>
      <sheetName val="EXPENSE TABLE"/>
      <sheetName val="TUBORG (EXPENSE)"/>
      <sheetName val="CARLSBERG (EXP)"/>
      <sheetName val="CUBE&amp;BATTERY (EXP)"/>
      <sheetName val="EXCHANGE"/>
      <sheetName val="CAMPAIGNS"/>
      <sheetName val="GS"/>
      <sheetName val="BJK"/>
      <sheetName val="gazetetoplam2003"/>
      <sheetName val="kapak sayfa"/>
      <sheetName val="Hürriyet"/>
      <sheetName val="Milliyet"/>
      <sheetName val="Sabah"/>
      <sheetName val="Fotomaç"/>
      <sheetName val="Star"/>
      <sheetName val="TAKVİM-1"/>
      <sheetName val="TAKVİM-2"/>
      <sheetName val="POPTOPLAM"/>
      <sheetName val="POPDEĞİŞKEN"/>
      <sheetName val="POPPAZARLAMA"/>
      <sheetName val="POPCARLS"/>
      <sheetName val="POPTUBORG"/>
      <sheetName val="Draft study"/>
      <sheetName val="Sheet1"/>
      <sheetName val="7 HAFTA"/>
      <sheetName val="BRAND MARKETING KULLANILABILIR2"/>
      <sheetName val="Makro1"/>
      <sheetName val="HALLEY-CPIR (12-34)"/>
      <sheetName val="Kategori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glio1"/>
      <sheetName val="CARS"/>
      <sheetName val="CH_REP"/>
      <sheetName val="ZO_REP"/>
      <sheetName val="MONAT"/>
      <sheetName val="#RIF"/>
      <sheetName val="Cartel1"/>
      <sheetName val="Form-E1"/>
      <sheetName val="Vendite"/>
      <sheetName val="Dealer"/>
      <sheetName val="MASTER FIAT"/>
      <sheetName val="Kategoriler"/>
      <sheetName val="TUBORG"/>
      <sheetName val="Hasar Hattı"/>
      <sheetName val="Data Chart"/>
      <sheetName val="Sheet3"/>
      <sheetName val="Materyaller"/>
      <sheetName val="Fiyat"/>
      <sheetName val="Alim Sekli"/>
      <sheetName val="Copies"/>
      <sheetName val="SpotList (2)"/>
      <sheetName val="Exchange"/>
      <sheetName val="Payments"/>
      <sheetName val="Stations"/>
      <sheetName val="Prices"/>
      <sheetName val="rendelés melléklet"/>
      <sheetName val="CampaignData"/>
      <sheetName val="PlanData"/>
      <sheetName val="ExchangeRates"/>
      <sheetName val="ManualDiscounts"/>
      <sheetName val="NetPrices"/>
      <sheetName val="PlanSheet"/>
      <sheetName val="Network"/>
      <sheetName val="buyingmethod"/>
      <sheetName val="creativetype"/>
      <sheetName val="Format"/>
      <sheetName val="Media Type"/>
      <sheetName val="DATA"/>
      <sheetName val="Kaynak"/>
      <sheetName val="Главный"/>
      <sheetName val="Sheet2"/>
      <sheetName val="AMOUNT BA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  <sheetName val="KARIŞIK ödeme"/>
      <sheetName val="ÖZET"/>
      <sheetName val="ÖDEME"/>
      <sheetName val="KARIŞIK PLAN"/>
      <sheetName val="ÖZET (REVİZE)"/>
      <sheetName val="KARIŞIK PLAN (REVİZE)"/>
      <sheetName val="GERÇEKLEŞEN ÖZET "/>
      <sheetName val="GERÇEKLEŞEN ÖDEME"/>
      <sheetName val="GEÇEKLEŞEN KARIŞIK "/>
      <sheetName val="ATV"/>
      <sheetName val="KAND"/>
      <sheetName val="SHOW TV"/>
      <sheetName val="TGRT"/>
      <sheetName val="TRT1"/>
      <sheetName val="NTV"/>
      <sheetName val="KANAL 6"/>
      <sheetName val="DISCOVERY"/>
      <sheetName val="FLASH TV"/>
      <sheetName val="KANAL E"/>
      <sheetName val="CNN TÜRK"/>
      <sheetName val="CINE 5"/>
      <sheetName val="BRT"/>
      <sheetName val="KANAL 7"/>
      <sheetName val="DIGITURK"/>
      <sheetName val="TV8"/>
      <sheetName val="TUBORG"/>
      <sheetName val="YKB-ADK February"/>
      <sheetName val="Foglio1"/>
      <sheetName val="KARIŞIK_ödeme"/>
      <sheetName val="KARIŞIK_PLAN"/>
      <sheetName val="ÖZET_(REVİZE)"/>
      <sheetName val="KARIŞIK_PLAN_(REVİZE)"/>
      <sheetName val="GERÇEKLEŞEN_ÖZET_"/>
      <sheetName val="GERÇEKLEŞEN_ÖDEME"/>
      <sheetName val="GEÇEKLEŞEN_KARIŞIK_"/>
      <sheetName val="SHOW_TV"/>
      <sheetName val="KANAL_6"/>
      <sheetName val="FLASH_TV"/>
      <sheetName val="KANAL_E"/>
      <sheetName val="CNN_TÜRK"/>
      <sheetName val="CINE_5"/>
      <sheetName val="KANAL_7"/>
      <sheetName val="7 HAFTA"/>
      <sheetName val="KARIŞIK_ödeme1"/>
      <sheetName val="KARIŞIK_PLAN1"/>
      <sheetName val="ÖZET_(REVİZE)1"/>
      <sheetName val="KARIŞIK_PLAN_(REVİZE)1"/>
      <sheetName val="GERÇEKLEŞEN_ÖZET_1"/>
      <sheetName val="GERÇEKLEŞEN_ÖDEME1"/>
      <sheetName val="GEÇEKLEŞEN_KARIŞIK_1"/>
      <sheetName val="SHOW_TV1"/>
      <sheetName val="KANAL_61"/>
      <sheetName val="FLASH_TV1"/>
      <sheetName val="KANAL_E1"/>
      <sheetName val="CNN_TÜRK1"/>
      <sheetName val="CINE_51"/>
      <sheetName val="KANAL_71"/>
    </sheetNames>
    <sheetDataSet>
      <sheetData sheetId="0" refreshError="1">
        <row r="227">
          <cell r="A227" t="str">
            <v>K1</v>
          </cell>
          <cell r="B227">
            <v>1.9</v>
          </cell>
        </row>
        <row r="228">
          <cell r="A228" t="str">
            <v>K2</v>
          </cell>
          <cell r="B228">
            <v>1.9</v>
          </cell>
        </row>
        <row r="229">
          <cell r="A229" t="str">
            <v>K3</v>
          </cell>
          <cell r="B229">
            <v>2.6</v>
          </cell>
        </row>
        <row r="230">
          <cell r="A230" t="str">
            <v>K4</v>
          </cell>
          <cell r="B230">
            <v>2.6</v>
          </cell>
        </row>
        <row r="231">
          <cell r="A231" t="str">
            <v>K5</v>
          </cell>
          <cell r="B231">
            <v>3.2</v>
          </cell>
        </row>
        <row r="232">
          <cell r="A232" t="str">
            <v>K6</v>
          </cell>
          <cell r="B232">
            <v>3.2</v>
          </cell>
        </row>
        <row r="233">
          <cell r="A233" t="str">
            <v>K7</v>
          </cell>
          <cell r="B233">
            <v>4.5</v>
          </cell>
        </row>
        <row r="234">
          <cell r="A234" t="str">
            <v>K8</v>
          </cell>
          <cell r="B234">
            <v>4.5</v>
          </cell>
        </row>
        <row r="235">
          <cell r="A235" t="str">
            <v>K9</v>
          </cell>
          <cell r="B235">
            <v>5.0999999999999996</v>
          </cell>
        </row>
        <row r="236">
          <cell r="A236" t="str">
            <v>K10</v>
          </cell>
          <cell r="B236">
            <v>5.0999999999999996</v>
          </cell>
        </row>
        <row r="237">
          <cell r="A237" t="str">
            <v>K11</v>
          </cell>
          <cell r="B237">
            <v>5.0999999999999996</v>
          </cell>
        </row>
        <row r="238">
          <cell r="A238" t="str">
            <v>K12</v>
          </cell>
          <cell r="B238">
            <v>6.4</v>
          </cell>
        </row>
        <row r="239">
          <cell r="A239" t="str">
            <v>K13</v>
          </cell>
          <cell r="B239">
            <v>6.4</v>
          </cell>
        </row>
        <row r="240">
          <cell r="A240" t="str">
            <v>K14</v>
          </cell>
          <cell r="B240">
            <v>6.4</v>
          </cell>
        </row>
        <row r="241">
          <cell r="A241" t="str">
            <v>K15</v>
          </cell>
          <cell r="B241">
            <v>8.3000000000000007</v>
          </cell>
        </row>
        <row r="242">
          <cell r="A242" t="str">
            <v>K16</v>
          </cell>
          <cell r="B242">
            <v>8.3000000000000007</v>
          </cell>
        </row>
        <row r="243">
          <cell r="A243" t="str">
            <v>K17</v>
          </cell>
          <cell r="B243">
            <v>8.3000000000000007</v>
          </cell>
        </row>
        <row r="244">
          <cell r="A244" t="str">
            <v>KÖ1</v>
          </cell>
          <cell r="B244">
            <v>1.4249999999999998</v>
          </cell>
        </row>
        <row r="245">
          <cell r="A245" t="str">
            <v>KÖ2</v>
          </cell>
          <cell r="B245">
            <v>1.4249999999999998</v>
          </cell>
        </row>
        <row r="246">
          <cell r="A246" t="str">
            <v>KÖ3</v>
          </cell>
          <cell r="B246">
            <v>1.9500000000000002</v>
          </cell>
        </row>
        <row r="247">
          <cell r="A247" t="str">
            <v>KÖ4</v>
          </cell>
          <cell r="B247">
            <v>1.9500000000000002</v>
          </cell>
        </row>
        <row r="248">
          <cell r="A248" t="str">
            <v>KÖ5</v>
          </cell>
          <cell r="B248">
            <v>2.4000000000000004</v>
          </cell>
        </row>
        <row r="249">
          <cell r="A249" t="str">
            <v>KÖ6</v>
          </cell>
          <cell r="B249">
            <v>2.4000000000000004</v>
          </cell>
        </row>
        <row r="250">
          <cell r="A250" t="str">
            <v>KÖ7</v>
          </cell>
          <cell r="B250">
            <v>3.375</v>
          </cell>
        </row>
        <row r="251">
          <cell r="A251" t="str">
            <v>KÖ8</v>
          </cell>
          <cell r="B251">
            <v>3.375</v>
          </cell>
        </row>
        <row r="252">
          <cell r="A252" t="str">
            <v>KÖ9</v>
          </cell>
          <cell r="B252">
            <v>3.8249999999999997</v>
          </cell>
        </row>
        <row r="253">
          <cell r="A253" t="str">
            <v>KÖ10</v>
          </cell>
          <cell r="B253">
            <v>3.8249999999999997</v>
          </cell>
        </row>
        <row r="254">
          <cell r="A254" t="str">
            <v>KÖ11</v>
          </cell>
          <cell r="B254">
            <v>3.8249999999999997</v>
          </cell>
        </row>
        <row r="255">
          <cell r="A255" t="str">
            <v>KÖ12</v>
          </cell>
          <cell r="B255">
            <v>4.8000000000000007</v>
          </cell>
        </row>
        <row r="256">
          <cell r="A256" t="str">
            <v>KÖ13</v>
          </cell>
          <cell r="B256">
            <v>4.8000000000000007</v>
          </cell>
        </row>
        <row r="257">
          <cell r="A257" t="str">
            <v>KÖ14</v>
          </cell>
          <cell r="B257">
            <v>4.8000000000000007</v>
          </cell>
        </row>
        <row r="258">
          <cell r="A258" t="str">
            <v>KÖ15</v>
          </cell>
          <cell r="B258">
            <v>6.2250000000000005</v>
          </cell>
        </row>
        <row r="259">
          <cell r="A259" t="str">
            <v>KÖ16</v>
          </cell>
          <cell r="B259">
            <v>6.2250000000000005</v>
          </cell>
        </row>
        <row r="260">
          <cell r="A260" t="str">
            <v>KÖ17</v>
          </cell>
          <cell r="B260">
            <v>6.2250000000000005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UBORG"/>
      <sheetName val="GRANDTOTAL"/>
      <sheetName val="CAMPAIGNS tuborg"/>
      <sheetName val="CARLSBERG"/>
      <sheetName val="CAMPAIGNS carlsberg"/>
      <sheetName val="CUBE&amp;BATTERY"/>
      <sheetName val="TROY&amp;VENUS"/>
      <sheetName val="CAMPAIGNS NEW"/>
      <sheetName val="data"/>
      <sheetName val="EXPENSE TABLE"/>
      <sheetName val="TUBORG (EXPENSE)"/>
      <sheetName val="CARLSBERG (EXP)"/>
      <sheetName val="CUBE&amp;BATTERY (EXP)"/>
      <sheetName val="EXCHANGE"/>
      <sheetName val="CAMPAIGNS"/>
      <sheetName val="GS"/>
      <sheetName val="BJK"/>
      <sheetName val="gazetetoplam2003"/>
      <sheetName val="kapak sayfa"/>
      <sheetName val="Hürriyet"/>
      <sheetName val="Milliyet"/>
      <sheetName val="Sabah"/>
      <sheetName val="Fotomaç"/>
      <sheetName val="Star"/>
      <sheetName val="TAKVİM-1"/>
      <sheetName val="TAKVİM-2"/>
      <sheetName val="POPTOPLAM"/>
      <sheetName val="POPDEĞİŞKEN"/>
      <sheetName val="POPPAZARLAMA"/>
      <sheetName val="POPCARLS"/>
      <sheetName val="POPTUBORG"/>
      <sheetName val="Draft study"/>
      <sheetName val="Sheet1"/>
      <sheetName val="BRAND MARKETING KULLANILABILIR2"/>
      <sheetName val="Makro1"/>
      <sheetName val="HALLEY-CPIR (12-34)"/>
      <sheetName val="Kategoriler"/>
      <sheetName val="7 HAFTA"/>
      <sheetName val="Tnt"/>
      <sheetName val="Media Type"/>
      <sheetName val="Format"/>
      <sheetName val="creativetype"/>
      <sheetName val="buyingmethod"/>
      <sheetName val="Network"/>
      <sheetName val="Hasar Hattı"/>
      <sheetName val="CAMPAIGNS_tuborg"/>
      <sheetName val="CAMPAIGNS_carlsberg"/>
      <sheetName val="CAMPAIGNS_NEW"/>
      <sheetName val="EXPENSE_TABLE"/>
      <sheetName val="TUBORG_(EXPENSE)"/>
      <sheetName val="CARLSBERG_(EXP)"/>
      <sheetName val="CUBE&amp;BATTERY_(EXP)"/>
      <sheetName val="kapak_sayfa"/>
      <sheetName val="Draft_study"/>
      <sheetName val="BRAND_MARKETING_KULLANILABILIR2"/>
      <sheetName val="HALLEY-CPIR_(12-34)"/>
      <sheetName val="Dropdown"/>
      <sheetName val="CAMPAIGNS_tuborg1"/>
      <sheetName val="CAMPAIGNS_carlsberg1"/>
      <sheetName val="CAMPAIGNS_NEW1"/>
      <sheetName val="EXPENSE_TABLE1"/>
      <sheetName val="TUBORG_(EXPENSE)1"/>
      <sheetName val="CARLSBERG_(EXP)1"/>
      <sheetName val="CUBE&amp;BATTERY_(EXP)1"/>
      <sheetName val="kapak_sayfa1"/>
      <sheetName val="Draft_study1"/>
      <sheetName val="BRAND_MARKETING_KULLANILABILIR1"/>
      <sheetName val="HALLEY-CPIR_(12-34)1"/>
      <sheetName val="7_HAFTA"/>
      <sheetName val="Media_Type"/>
      <sheetName val="Hasar_Hattı"/>
      <sheetName val="Daypart   "/>
      <sheetName val="DİJİTAL"/>
      <sheetName val="Dijital Plan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ow TV"/>
      <sheetName val="Tnt"/>
      <sheetName val="E2-Kral"/>
      <sheetName val="Ntv"/>
      <sheetName val="HT"/>
      <sheetName val="Kanal7"/>
      <sheetName val="KanalD HO"/>
      <sheetName val="ATV HO"/>
      <sheetName val="Star HO"/>
      <sheetName val="Proje Dosya"/>
    </sheetNames>
    <definedNames>
      <definedName name="______________________abc1"/>
      <definedName name="_____________________abc1"/>
      <definedName name="____________________abc1"/>
      <definedName name="___________________abc1"/>
      <definedName name="__________________abc1"/>
      <definedName name="_________________abc1"/>
      <definedName name="________________abc1"/>
      <definedName name="_______________abc1"/>
      <definedName name="______________abc1"/>
      <definedName name="_____________abc1"/>
      <definedName name="___________abc1"/>
      <definedName name="__________abc1"/>
      <definedName name="_________abc1"/>
      <definedName name="________abc1"/>
      <definedName name="_______abc1"/>
      <definedName name="______abc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-E14-49"/>
      <sheetName val="G-E14-49 kum"/>
      <sheetName val="Min-Max"/>
      <sheetName val="DATA"/>
      <sheetName val="DATA kum"/>
      <sheetName val="Vergl."/>
      <sheetName val="HIT"/>
      <sheetName val="ZZ2-1449"/>
      <sheetName val="ZZ2-1449-%"/>
      <sheetName val="ZZ2-14+"/>
      <sheetName val="G-STR"/>
      <sheetName val="T-STR"/>
      <sheetName val="DATEN"/>
      <sheetName val="DATEN kum"/>
      <sheetName val="Makro1"/>
      <sheetName val="Kategoriler"/>
      <sheetName val="Foglio1"/>
      <sheetName val="G-E14-49_kum"/>
      <sheetName val="DATA_kum"/>
      <sheetName val="Vergl_"/>
      <sheetName val="DATEN_kum"/>
      <sheetName val="Hasar Hattı"/>
      <sheetName val="G-E14-49_kum1"/>
      <sheetName val="DATA_kum1"/>
      <sheetName val="Vergl_1"/>
      <sheetName val="DATEN_kum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>
        <row r="1">
          <cell r="A1" t="str">
            <v>TV-Situation - Juli 1999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nt"/>
      <sheetName val="Ekim"/>
      <sheetName val="CU Dergi"/>
      <sheetName val="Kasım"/>
      <sheetName val="Aralık"/>
      <sheetName val="Ocak"/>
      <sheetName val="Şubat"/>
      <sheetName val="Mart"/>
      <sheetName val="Genel"/>
      <sheetName val="Genel (2)"/>
      <sheetName val="Genel (3)"/>
      <sheetName val="Genel (4)"/>
      <sheetName val="Dağılım"/>
      <sheetName val="plan-gaz1"/>
      <sheetName val="Foglio1"/>
      <sheetName val="Genel_(2)"/>
      <sheetName val="Genel_(3)"/>
      <sheetName val="Genel_(4)"/>
      <sheetName val="CU_Dergi"/>
      <sheetName val="PLANNED"/>
      <sheetName val="RadioMIND"/>
      <sheetName val="Kategoriler"/>
      <sheetName val="Programlar"/>
      <sheetName val="CampaignData"/>
      <sheetName val="PlanData"/>
      <sheetName val="ExchangeRates"/>
      <sheetName val="ManualDiscounts"/>
      <sheetName val="NetPrices"/>
      <sheetName val="Kategori_Dizi_kanalları"/>
      <sheetName val="TRT_FM"/>
      <sheetName val="ntv-fiyat"/>
      <sheetName val="PlanSheet"/>
      <sheetName val="GAZETE"/>
      <sheetName val="Gazete_teaser"/>
      <sheetName val="TUBORG"/>
      <sheetName val="Hasar Hattı"/>
      <sheetName val="REVİZE Özet Tablo HAFTALIK"/>
      <sheetName val="7 HAFTA"/>
      <sheetName val="plan-der"/>
      <sheetName val="Makro1"/>
      <sheetName val="Genel_(2)1"/>
      <sheetName val="Genel_(3)1"/>
      <sheetName val="Genel_(4)1"/>
      <sheetName val="CU_Dergi1"/>
      <sheetName val="Hasar_Hattı"/>
      <sheetName val="REVİZE_Özet_Tablo_HAFTALIK"/>
      <sheetName val="7_HAFTA"/>
      <sheetName val="Copies"/>
      <sheetName val="Materyaller"/>
      <sheetName val="Fiyat"/>
      <sheetName val="SpotList_(2)1"/>
      <sheetName val="Exchange"/>
      <sheetName val="tanımlar"/>
      <sheetName val="Sheet2"/>
      <sheetName val="Payments"/>
      <sheetName val="Stations"/>
      <sheetName val="Prices"/>
      <sheetName val="kicker und TO"/>
      <sheetName val="Genel_(2)2"/>
      <sheetName val="Genel_(3)2"/>
      <sheetName val="Genel_(4)2"/>
      <sheetName val="CU_Dergi2"/>
      <sheetName val="Hasar_Hattı1"/>
      <sheetName val="REVİZE_Özet_Tablo_HAFTALIK1"/>
      <sheetName val="7_HAFTA1"/>
      <sheetName val="Dropdown"/>
      <sheetName val="Kaynak"/>
      <sheetName val="Genel_(2)3"/>
      <sheetName val="Genel_(3)3"/>
      <sheetName val="Genel_(4)3"/>
      <sheetName val="CU_Dergi3"/>
      <sheetName val="Hasar_Hattı2"/>
      <sheetName val="REVİZE_Özet_Tablo_HAFTALIK2"/>
      <sheetName val="7_HAFTA2"/>
      <sheetName val="kicker_und_TO"/>
      <sheetName val="Legend"/>
      <sheetName val="dropdown_lists"/>
      <sheetName val="CU Dergi.xls"/>
      <sheetName val="AFISHA.RU"/>
      <sheetName val="AMEDIA.RU"/>
      <sheetName val="AUTO.RU"/>
      <sheetName val="AVTO.RU"/>
      <sheetName val="3DNEWS.RU"/>
      <sheetName val="##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lock"/>
      <sheetName val="France - tables"/>
      <sheetName val="\\Server\LOCALTIME\COMMUNICATIO"/>
      <sheetName val="СПЛИТ"/>
      <sheetName val="[CU Dergi.xls][CU Dergi.xls]\\S"/>
      <sheetName val="CU%20Dergi.xls"/>
      <sheetName val="[CU Dergi.xls][CU Dergi.xls][CU"/>
      <sheetName val="[CU Dergi.xls]\\Server\LOCALTIM"/>
      <sheetName val="FINALPHP"/>
      <sheetName val="DepPar_Iscı"/>
      <sheetName val="Reference"/>
      <sheetName val="Genel_(2)4"/>
      <sheetName val="Genel_(3)4"/>
      <sheetName val="Genel_(4)4"/>
      <sheetName val="CU_Dergi4"/>
      <sheetName val="Hasar_Hattı3"/>
      <sheetName val="REVİZE_Özet_Tablo_HAFTALIK3"/>
      <sheetName val="7_HAFTA3"/>
      <sheetName val="kicker_und_TO1"/>
      <sheetName val="CU_Dergi_xls"/>
      <sheetName val="AFISHA_RU"/>
      <sheetName val="AMEDIA_RU"/>
      <sheetName val="AUTO_RU"/>
      <sheetName val="AVTO_RU"/>
      <sheetName val="3DNEWS_RU"/>
      <sheetName val="ECHO_MSK_RU"/>
      <sheetName val="EXPERT_RU"/>
      <sheetName val="FASHIONTIME_RU"/>
      <sheetName val="GAZETA_RU"/>
      <sheetName val="INOPRESSA_RU"/>
      <sheetName val="KOMMERSANT_RU"/>
      <sheetName val="LIVEINTERNET_RU"/>
      <sheetName val="MAIL_RU"/>
      <sheetName val="MTV_RU"/>
      <sheetName val="NEWSRU_COM"/>
      <sheetName val="24OPEN_RU"/>
      <sheetName val="RIAN_RU"/>
      <sheetName val="SPORTS_RU"/>
      <sheetName val="SUPERSTYLE_RU"/>
      <sheetName val="SUBSCRIBE_RU"/>
      <sheetName val="VOKRUGSVETA_RU"/>
      <sheetName val="VZGLYAD_RU"/>
      <sheetName val="YANDEX_RU"/>
      <sheetName val="France_-_tables"/>
      <sheetName val="[CU_Dergi_xls][CU_Dergi_xls][CU"/>
      <sheetName val="[CU_Dergi_xls]\\Server\LOCALTIM"/>
      <sheetName val="[CU_Dergi_xls][CU_Dergi_xls]\\S"/>
      <sheetName val="CU%20Dergi_xls"/>
      <sheetName val="[CU Dergi.xls]__Server_LOCALT_2"/>
      <sheetName val="Proposal Details"/>
      <sheetName val="Hidden_Data"/>
      <sheetName val="Proposal Summary"/>
      <sheetName val="Köprü"/>
    </sheetNames>
    <definedNames>
      <definedName name="_xlbgnm.abc1" sheetId="0"/>
      <definedName name="BUT"/>
    </defined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glio1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kim"/>
      <sheetName val="Kasım"/>
      <sheetName val="Aralık"/>
      <sheetName val="Ocak"/>
      <sheetName val="Şubat"/>
      <sheetName val="Mart"/>
      <sheetName val="Genel"/>
      <sheetName val="Genel (2)"/>
      <sheetName val="Genel (3)"/>
      <sheetName val="Genel (4)"/>
      <sheetName val="Dağılım"/>
      <sheetName val="plan-gaz1"/>
      <sheetName val="CU Dergi"/>
      <sheetName val="Foglio1"/>
      <sheetName val="TUBORG"/>
      <sheetName val="Genel_(2)"/>
      <sheetName val="Genel_(3)"/>
      <sheetName val="Genel_(4)"/>
      <sheetName val="CU_Dergi"/>
      <sheetName val="PLANNED"/>
      <sheetName val="RadioMIND"/>
      <sheetName val="Kategoriler"/>
      <sheetName val="Programlar"/>
      <sheetName val="CampaignData"/>
      <sheetName val="PlanData"/>
      <sheetName val="ExchangeRates"/>
      <sheetName val="ManualDiscounts"/>
      <sheetName val="NetPrices"/>
      <sheetName val="Kategori_Dizi_kanalları"/>
      <sheetName val="TRT_FM"/>
      <sheetName val="ntv-fiyat"/>
      <sheetName val="PlanSheet"/>
      <sheetName val="GAZETE"/>
      <sheetName val="Gazete_teaser"/>
      <sheetName val="Hasar Hattı"/>
      <sheetName val="REVİZE Özet Tablo HAFTALIK"/>
      <sheetName val="7 HAFTA"/>
      <sheetName val="Tnt"/>
      <sheetName val="plan-der"/>
      <sheetName val="Makro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kim"/>
      <sheetName val="Kasım"/>
      <sheetName val="Aralık"/>
      <sheetName val="Ocak"/>
      <sheetName val="Şubat"/>
      <sheetName val="Mart"/>
      <sheetName val="Genel"/>
      <sheetName val="Genel (2)"/>
      <sheetName val="Genel (3)"/>
      <sheetName val="Genel (4)"/>
      <sheetName val="Dağılım"/>
      <sheetName val="7 HAFTA"/>
      <sheetName val="Kategoriler"/>
      <sheetName val="TUBORG"/>
      <sheetName val="Hasar Hattı"/>
      <sheetName val="CU Dergi"/>
      <sheetName val="Foglio1"/>
      <sheetName val="Tnt"/>
      <sheetName val="plan-gaz1"/>
      <sheetName val="Genel_(2)"/>
      <sheetName val="Genel_(3)"/>
      <sheetName val="Genel_(4)"/>
      <sheetName val="CU_Dergi"/>
      <sheetName val="PLANNED"/>
      <sheetName val="RadioMIND"/>
      <sheetName val="Programlar"/>
      <sheetName val="CampaignData"/>
      <sheetName val="PlanData"/>
      <sheetName val="ExchangeRates"/>
      <sheetName val="ManualDiscounts"/>
      <sheetName val="NetPrices"/>
      <sheetName val="Kategori_Dizi_kanalları"/>
      <sheetName val="TRT_FM"/>
      <sheetName val="ntv-fiyat"/>
      <sheetName val="PlanSheet"/>
      <sheetName val="GAZETE"/>
      <sheetName val="Gazete_teaser"/>
      <sheetName val="REVİZE Özet Tablo HAFTALIK"/>
      <sheetName val="plan-der"/>
      <sheetName val="Makro1"/>
      <sheetName val="Genel_(2)1"/>
      <sheetName val="Genel_(3)1"/>
      <sheetName val="Genel_(4)1"/>
      <sheetName val="CU_Dergi1"/>
      <sheetName val="Hasar_Hattı"/>
      <sheetName val="REVİZE_Özet_Tablo_HAFTALIK"/>
      <sheetName val="7_HAFTA"/>
      <sheetName val="Copies"/>
      <sheetName val="Materyaller"/>
      <sheetName val="Fiyat"/>
      <sheetName val="SpotList_(2)1"/>
      <sheetName val="Exchange"/>
      <sheetName val="tanımlar"/>
      <sheetName val="Sheet2"/>
      <sheetName val="Payments"/>
      <sheetName val="Stations"/>
      <sheetName val="Prices"/>
      <sheetName val="kicker und TO"/>
      <sheetName val="Dropdown"/>
      <sheetName val="Genel_(2)2"/>
      <sheetName val="Genel_(3)2"/>
      <sheetName val="Genel_(4)2"/>
      <sheetName val="CU_Dergi2"/>
      <sheetName val="Hasar_Hattı1"/>
      <sheetName val="REVİZE_Özet_Tablo_HAFTALIK1"/>
      <sheetName val="7_HAFTA1"/>
      <sheetName val="Kaynak"/>
      <sheetName val="Genel_(2)3"/>
      <sheetName val="Genel_(3)3"/>
      <sheetName val="Genel_(4)3"/>
      <sheetName val="CU_Dergi3"/>
      <sheetName val="Hasar_Hattı2"/>
      <sheetName val="REVİZE_Özet_Tablo_HAFTALIK2"/>
      <sheetName val="7_HAFTA2"/>
      <sheetName val="kicker_und_TO"/>
      <sheetName val="Legend"/>
      <sheetName val="dropdown_lists"/>
      <sheetName val="CU Dergi.xls"/>
      <sheetName val="AFISHA.RU"/>
      <sheetName val="AMEDIA.RU"/>
      <sheetName val="AUTO.RU"/>
      <sheetName val="AVTO.RU"/>
      <sheetName val="3DNEWS.RU"/>
      <sheetName val="##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lock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kim"/>
      <sheetName val="C.U. Gazete Genel"/>
      <sheetName val="Site Gazete"/>
      <sheetName val="Hasar Hattı"/>
      <sheetName val="Hasar Hattı Aralık"/>
      <sheetName val="Sheet1"/>
      <sheetName val="Hasar Hatt?"/>
      <sheetName val="C_U__Gazete_Genel"/>
      <sheetName val="Site_Gazete"/>
      <sheetName val="Hasar_Hattı"/>
      <sheetName val="Hasar_Hattı_Aralık"/>
      <sheetName val="Hasar_Hatt?"/>
      <sheetName val="Programlar"/>
      <sheetName val="Kategoriler"/>
      <sheetName val="Copies"/>
      <sheetName val="tv spot list"/>
      <sheetName val="CU gazete"/>
      <sheetName val="C_U__Gazete_Genel1"/>
      <sheetName val="Site_Gazete1"/>
      <sheetName val="Hasar_Hattı1"/>
      <sheetName val="Hasar_Hattı_Aralık1"/>
      <sheetName val="Hasar_Hatt?1"/>
      <sheetName val="Ana Kanal"/>
      <sheetName val="Tv - Tematik )"/>
      <sheetName val="Outdoor"/>
      <sheetName val="İnternet Planı"/>
      <sheetName val="Dergi"/>
      <sheetName val="Özet"/>
      <sheetName val="kuşak data"/>
      <sheetName val="Gazete teaser"/>
      <sheetName val="PRINT"/>
      <sheetName val="XLR_NoRangeSheet"/>
      <sheetName val="C_U__Gazete_Genel2"/>
      <sheetName val="Site_Gazete2"/>
      <sheetName val="Hasar_Hattı2"/>
      <sheetName val="Hasar_Hattı_Aralık2"/>
      <sheetName val="Hasar_Hatt?2"/>
      <sheetName val="tv_spot_list"/>
      <sheetName val="CU_gazete"/>
      <sheetName val="InputSheet"/>
      <sheetName val="Foglio1"/>
      <sheetName val="ORT"/>
      <sheetName val="CU%20gazete.xls"/>
      <sheetName val="PIPELINE"/>
      <sheetName val="IVA-DEC"/>
      <sheetName val="BAŞV"/>
      <sheetName val="Sayfa2"/>
      <sheetName val="FINALPHP"/>
      <sheetName val="Televizyon"/>
      <sheetName val="Prezzi volumi Agosto"/>
      <sheetName val="CKD"/>
      <sheetName val="Ref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sar Hattı"/>
      <sheetName val="C.U. Gazete Genel"/>
      <sheetName val="Site Gazete"/>
      <sheetName val="Hasar Hattı Aralık"/>
      <sheetName val="Sheet1"/>
      <sheetName val="Ekim"/>
      <sheetName val="Copies"/>
      <sheetName val="Kategoriler"/>
      <sheetName val="Hasar Hatt?"/>
      <sheetName val="C_U__Gazete_Genel"/>
      <sheetName val="Site_Gazete"/>
      <sheetName val="Hasar_Hattı"/>
      <sheetName val="Hasar_Hattı_Aralık"/>
      <sheetName val="Hasar_Hatt?"/>
      <sheetName val="tv spot list"/>
      <sheetName val="CU gazete"/>
      <sheetName val="Programlar"/>
      <sheetName val="C_U__Gazete_Genel1"/>
      <sheetName val="Site_Gazete1"/>
      <sheetName val="Hasar_Hattı1"/>
      <sheetName val="Hasar_Hattı_Aralık1"/>
      <sheetName val="Hasar_Hatt?1"/>
      <sheetName val="Ana Kanal"/>
      <sheetName val="Tv - Tematik )"/>
      <sheetName val="Outdoor"/>
      <sheetName val="İnternet Planı"/>
      <sheetName val="Dergi"/>
      <sheetName val="Özet"/>
      <sheetName val="kuşak data"/>
      <sheetName val="C_U__Gazete_Genel2"/>
      <sheetName val="Site_Gazete2"/>
      <sheetName val="Hasar_Hattı2"/>
      <sheetName val="Hasar_Hattı_Aralık2"/>
      <sheetName val="Hasar_Hatt?2"/>
      <sheetName val="tv_spot_list"/>
      <sheetName val="CU_gazete"/>
      <sheetName val="Gazete teaser"/>
      <sheetName val="PRINT"/>
      <sheetName val="XLR_NoRangeSheet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/>
      <sheetData sheetId="37"/>
      <sheetData sheetId="38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sar Hattı"/>
      <sheetName val="C.U. Gazete Genel"/>
      <sheetName val="Site Gazete"/>
      <sheetName val="Hasar Hattı Aralık"/>
      <sheetName val="Sheet1"/>
      <sheetName val="Ekim"/>
      <sheetName val="Copies"/>
      <sheetName val="Kategoriler"/>
      <sheetName val="Hasar Hatt?"/>
      <sheetName val="C_U__Gazete_Genel"/>
      <sheetName val="Site_Gazete"/>
      <sheetName val="Hasar_Hattı"/>
      <sheetName val="Hasar_Hattı_Aralık"/>
      <sheetName val="Hasar_Hatt?"/>
      <sheetName val="Programlar"/>
      <sheetName val="tv spot list"/>
      <sheetName val="CU gazete"/>
      <sheetName val="C_U__Gazete_Genel1"/>
      <sheetName val="Site_Gazete1"/>
      <sheetName val="Hasar_Hattı1"/>
      <sheetName val="Hasar_Hattı_Aralık1"/>
      <sheetName val="Hasar_Hatt?1"/>
      <sheetName val="Ana Kanal"/>
      <sheetName val="Tv - Tematik )"/>
      <sheetName val="Outdoor"/>
      <sheetName val="İnternet Planı"/>
      <sheetName val="Dergi"/>
      <sheetName val="Özet"/>
      <sheetName val="Gazete teaser"/>
      <sheetName val="PRINT"/>
      <sheetName val="XLR_NoRangeSheet"/>
      <sheetName val="kuşak data"/>
      <sheetName val="C_U__Gazete_Genel2"/>
      <sheetName val="Site_Gazete2"/>
      <sheetName val="Hasar_Hattı2"/>
      <sheetName val="Hasar_Hattı_Aralık2"/>
      <sheetName val="Hasar_Hatt?2"/>
      <sheetName val="tv_spot_list"/>
      <sheetName val="CU_gazete"/>
      <sheetName val="Foglio1"/>
      <sheetName val="InputSheet"/>
      <sheetName val="BAŞV"/>
      <sheetName val="PIPELINE"/>
      <sheetName val="IVA-DEC"/>
      <sheetName val="ORT"/>
      <sheetName val="CU%20gazete.xls"/>
      <sheetName val="Sayfa2"/>
      <sheetName val="FINALPHP"/>
      <sheetName val="Televizyon"/>
      <sheetName val="Prezzi volumi Agosto"/>
      <sheetName val="CKD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VA-DEC"/>
      <sheetName val="ess-man"/>
      <sheetName val="P&amp;L"/>
      <sheetName val="Ekim"/>
      <sheetName val="DigitalMediaPlan"/>
    </sheetNames>
    <sheetDataSet>
      <sheetData sheetId="0" refreshError="1"/>
      <sheetData sheetId="1"/>
      <sheetData sheetId="2"/>
      <sheetData sheetId="3" refreshError="1"/>
      <sheetData sheetId="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PELINE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sar Hattı"/>
      <sheetName val="C.U. Gazete Genel"/>
      <sheetName val="Site Gazete"/>
      <sheetName val="Hasar Hattı Aralık"/>
      <sheetName val="Sheet1"/>
      <sheetName val="Hasar Hatt?"/>
      <sheetName val="C_U__Gazete_Genel"/>
      <sheetName val="Site_Gazete"/>
      <sheetName val="Hasar_Hattı"/>
      <sheetName val="Hasar_Hattı_Aralık"/>
      <sheetName val="Hasar_Hatt?"/>
      <sheetName val="Programlar"/>
      <sheetName val="Kategoriler"/>
      <sheetName val="Ekim"/>
      <sheetName val="Copies"/>
      <sheetName val="tv spot list"/>
      <sheetName val="CU gazete"/>
      <sheetName val="C_U__Gazete_Genel1"/>
      <sheetName val="Site_Gazete1"/>
      <sheetName val="Hasar_Hattı1"/>
      <sheetName val="Hasar_Hattı_Aralık1"/>
      <sheetName val="Hasar_Hatt?1"/>
      <sheetName val="kuşak data"/>
      <sheetName val="Ana Kanal"/>
      <sheetName val="Tv - Tematik )"/>
      <sheetName val="Outdoor"/>
      <sheetName val="İnternet Planı"/>
      <sheetName val="Dergi"/>
      <sheetName val="Özet"/>
      <sheetName val="Gazete teaser"/>
      <sheetName val="PRINT"/>
      <sheetName val="XLR_NoRangeSheet"/>
      <sheetName val="C_U__Gazete_Genel2"/>
      <sheetName val="Site_Gazete2"/>
      <sheetName val="Hasar_Hattı2"/>
      <sheetName val="Hasar_Hattı_Aralık2"/>
      <sheetName val="Hasar_Hatt?2"/>
      <sheetName val="tv_spot_list"/>
      <sheetName val="CU_gazete"/>
      <sheetName val="Foglio1"/>
      <sheetName val="InputSheet"/>
      <sheetName val="BAŞV"/>
      <sheetName val="PIPELINE"/>
      <sheetName val="IVA-DEC"/>
      <sheetName val="ORT"/>
      <sheetName val="CU%20gazete.xls"/>
      <sheetName val="Televizyon"/>
      <sheetName val="Sayfa2"/>
      <sheetName val="FINALPHP"/>
      <sheetName val="Prezzi volumi Agosto"/>
      <sheetName val="CKD"/>
      <sheetName val="Ref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kim"/>
      <sheetName val="Kasım"/>
      <sheetName val="Aralık"/>
      <sheetName val="Ocak"/>
      <sheetName val="Şubat"/>
      <sheetName val="Mart"/>
      <sheetName val="Genel"/>
      <sheetName val="Genel (2)"/>
      <sheetName val="Genel (3)"/>
      <sheetName val="Genel (4)"/>
      <sheetName val="Dağılım"/>
      <sheetName val="plan-gaz1"/>
      <sheetName val="CU Dergi"/>
      <sheetName val="Foglio1"/>
      <sheetName val="TUBORG"/>
      <sheetName val="Genel_(2)"/>
      <sheetName val="Genel_(3)"/>
      <sheetName val="Genel_(4)"/>
      <sheetName val="CU_Dergi"/>
      <sheetName val="PLANNED"/>
      <sheetName val="RadioMIND"/>
      <sheetName val="Kategoriler"/>
      <sheetName val="Programlar"/>
      <sheetName val="CampaignData"/>
      <sheetName val="PlanData"/>
      <sheetName val="ExchangeRates"/>
      <sheetName val="ManualDiscounts"/>
      <sheetName val="NetPrices"/>
      <sheetName val="Kategori_Dizi_kanalları"/>
      <sheetName val="TRT_FM"/>
      <sheetName val="ntv-fiyat"/>
      <sheetName val="PlanSheet"/>
      <sheetName val="GAZETE"/>
      <sheetName val="Gazete_teaser"/>
      <sheetName val="Hasar Hattı"/>
      <sheetName val="REVİZE Özet Tablo HAFTALIK"/>
      <sheetName val="7 HAFTA"/>
      <sheetName val="Tnt"/>
      <sheetName val="plan-der"/>
      <sheetName val="Makro1"/>
      <sheetName val="Genel_(2)1"/>
      <sheetName val="Genel_(3)1"/>
      <sheetName val="Genel_(4)1"/>
      <sheetName val="CU_Dergi1"/>
      <sheetName val="Hasar_Hattı"/>
      <sheetName val="REVİZE_Özet_Tablo_HAFTALIK"/>
      <sheetName val="7_HAFTA"/>
      <sheetName val="Copies"/>
      <sheetName val="Materyaller"/>
      <sheetName val="Fiyat"/>
      <sheetName val="SpotList_(2)1"/>
      <sheetName val="Exchange"/>
      <sheetName val="tanımlar"/>
      <sheetName val="Sheet2"/>
      <sheetName val="Payments"/>
      <sheetName val="Stations"/>
      <sheetName val="Prices"/>
      <sheetName val="kicker und TO"/>
      <sheetName val="Genel_(2)2"/>
      <sheetName val="Genel_(3)2"/>
      <sheetName val="Genel_(4)2"/>
      <sheetName val="CU_Dergi2"/>
      <sheetName val="Hasar_Hattı1"/>
      <sheetName val="REVİZE_Özet_Tablo_HAFTALIK1"/>
      <sheetName val="7_HAFTA1"/>
      <sheetName val="Dropdown"/>
      <sheetName val="Kaynak"/>
      <sheetName val="Legend"/>
      <sheetName val="dropdown_lists"/>
      <sheetName val="CU Dergi.xls"/>
      <sheetName val="Genel_(2)3"/>
      <sheetName val="Genel_(3)3"/>
      <sheetName val="Genel_(4)3"/>
      <sheetName val="CU_Dergi3"/>
      <sheetName val="Hasar_Hattı2"/>
      <sheetName val="REVİZE_Özet_Tablo_HAFTALIK2"/>
      <sheetName val="7_HAFTA2"/>
      <sheetName val="kicker_und_TO"/>
      <sheetName val="AFISHA.RU"/>
      <sheetName val="AMEDIA.RU"/>
      <sheetName val="AUTO.RU"/>
      <sheetName val="AVTO.RU"/>
      <sheetName val="3DNEWS.RU"/>
      <sheetName val="##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lock"/>
      <sheetName val="France - tables"/>
      <sheetName val="\\Server\LOCALTIME\COMMUNICATIO"/>
      <sheetName val="СПЛИТ"/>
      <sheetName val="[CU Dergi.xls]\\Server\LOCALTIM"/>
      <sheetName val="[CU Dergi.xls][CU Dergi.xls]\\S"/>
      <sheetName val="[CU Dergi.xls][CU Dergi.xls][CU"/>
      <sheetName val="DepPar_Iscı"/>
      <sheetName val="Reference"/>
      <sheetName val="CU%20Dergi.xls"/>
      <sheetName val="[CU Dergi.xls]__Server_LOCALT_2"/>
      <sheetName val="FINALPHP"/>
      <sheetName val="Proposal Details"/>
      <sheetName val="Hidden_Data"/>
      <sheetName val="Proposal Summary"/>
      <sheetName val="Genel_(2)4"/>
      <sheetName val="Genel_(3)4"/>
      <sheetName val="Genel_(4)4"/>
      <sheetName val="CU_Dergi4"/>
      <sheetName val="Hasar_Hattı3"/>
      <sheetName val="REVİZE_Özet_Tablo_HAFTALIK3"/>
      <sheetName val="7_HAFTA3"/>
      <sheetName val="kicker_und_TO1"/>
      <sheetName val="CU_Dergi_xls"/>
      <sheetName val="AFISHA_RU"/>
      <sheetName val="AMEDIA_RU"/>
      <sheetName val="AUTO_RU"/>
      <sheetName val="AVTO_RU"/>
      <sheetName val="3DNEWS_RU"/>
      <sheetName val="ECHO_MSK_RU"/>
      <sheetName val="EXPERT_RU"/>
      <sheetName val="FASHIONTIME_RU"/>
      <sheetName val="GAZETA_RU"/>
      <sheetName val="INOPRESSA_RU"/>
      <sheetName val="KOMMERSANT_RU"/>
      <sheetName val="LIVEINTERNET_RU"/>
      <sheetName val="MAIL_RU"/>
      <sheetName val="MTV_RU"/>
      <sheetName val="NEWSRU_COM"/>
      <sheetName val="24OPEN_RU"/>
      <sheetName val="RIAN_RU"/>
      <sheetName val="SPORTS_RU"/>
      <sheetName val="SUPERSTYLE_RU"/>
      <sheetName val="SUBSCRIBE_RU"/>
      <sheetName val="VOKRUGSVETA_RU"/>
      <sheetName val="VZGLYAD_RU"/>
      <sheetName val="YANDEX_RU"/>
      <sheetName val="France_-_tables"/>
      <sheetName val="[CU_Dergi_xls][CU_Dergi_xls][CU"/>
      <sheetName val="[CU_Dergi_xls]\\Server\LOCALTIM"/>
      <sheetName val="[CU_Dergi_xls][CU_Dergi_xls]\\S"/>
      <sheetName val="CU%20Dergi_xl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ow TV"/>
      <sheetName val="Tnt"/>
      <sheetName val="E2-Kral"/>
      <sheetName val="Ntv"/>
      <sheetName val="HT"/>
      <sheetName val="Kanal7"/>
      <sheetName val="KanalD HO"/>
      <sheetName val="ATV HO"/>
      <sheetName val="Star HO"/>
      <sheetName val="Proje Dosya"/>
      <sheetName val="Hasar Hatt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posal Details"/>
      <sheetName val="Hidden_Data"/>
      <sheetName val="Proposal Summar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kim"/>
      <sheetName val="Kasım"/>
      <sheetName val="Aralık"/>
      <sheetName val="Ocak"/>
      <sheetName val="Şubat"/>
      <sheetName val="Mart"/>
      <sheetName val="Genel"/>
      <sheetName val="Genel (2)"/>
      <sheetName val="Genel (3)"/>
      <sheetName val="Genel (4)"/>
      <sheetName val="Dağılım"/>
      <sheetName val="plan-gaz1"/>
      <sheetName val="CU Dergi"/>
      <sheetName val="Foglio1"/>
      <sheetName val="Genel_(2)"/>
      <sheetName val="Genel_(3)"/>
      <sheetName val="Genel_(4)"/>
      <sheetName val="CU_Dergi"/>
      <sheetName val="PLANNED"/>
      <sheetName val="RadioMIND"/>
      <sheetName val="Kategoriler"/>
      <sheetName val="Programlar"/>
      <sheetName val="CampaignData"/>
      <sheetName val="PlanData"/>
      <sheetName val="ExchangeRates"/>
      <sheetName val="ManualDiscounts"/>
      <sheetName val="NetPrices"/>
      <sheetName val="Kategori_Dizi_kanalları"/>
      <sheetName val="TRT_FM"/>
      <sheetName val="ntv-fiyat"/>
      <sheetName val="PlanSheet"/>
      <sheetName val="GAZETE"/>
      <sheetName val="Gazete_teaser"/>
      <sheetName val="TUBORG"/>
      <sheetName val="Hasar Hattı"/>
      <sheetName val="REVİZE Özet Tablo HAFTALIK"/>
      <sheetName val="7 HAFTA"/>
      <sheetName val="plan-der"/>
      <sheetName val="Tnt"/>
      <sheetName val="Makro1"/>
      <sheetName val="Genel_(2)1"/>
      <sheetName val="Genel_(3)1"/>
      <sheetName val="Genel_(4)1"/>
      <sheetName val="CU_Dergi1"/>
      <sheetName val="Hasar_Hattı"/>
      <sheetName val="REVİZE_Özet_Tablo_HAFTALIK"/>
      <sheetName val="7_HAFTA"/>
      <sheetName val="Copies"/>
      <sheetName val="Materyaller"/>
      <sheetName val="Fiyat"/>
      <sheetName val="SpotList_(2)1"/>
      <sheetName val="Exchange"/>
      <sheetName val="tanımlar"/>
      <sheetName val="Sheet2"/>
      <sheetName val="Payments"/>
      <sheetName val="Stations"/>
      <sheetName val="Prices"/>
      <sheetName val="Dropdown"/>
      <sheetName val="kicker und TO"/>
      <sheetName val="Genel_(2)2"/>
      <sheetName val="Genel_(3)2"/>
      <sheetName val="Genel_(4)2"/>
      <sheetName val="CU_Dergi2"/>
      <sheetName val="Hasar_Hattı1"/>
      <sheetName val="REVİZE_Özet_Tablo_HAFTALIK1"/>
      <sheetName val="7_HAFTA1"/>
      <sheetName val="Kaynak"/>
      <sheetName val="Legend"/>
      <sheetName val="dropdown_lists"/>
      <sheetName val="CU Dergi.xls"/>
      <sheetName val="Genel_(2)3"/>
      <sheetName val="Genel_(3)3"/>
      <sheetName val="Genel_(4)3"/>
      <sheetName val="CU_Dergi3"/>
      <sheetName val="Hasar_Hattı2"/>
      <sheetName val="REVİZE_Özet_Tablo_HAFTALIK2"/>
      <sheetName val="7_HAFTA2"/>
      <sheetName val="kicker_und_TO"/>
      <sheetName val="AFISHA.RU"/>
      <sheetName val="AMEDIA.RU"/>
      <sheetName val="AUTO.RU"/>
      <sheetName val="AVTO.RU"/>
      <sheetName val="3DNEWS.RU"/>
      <sheetName val="##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lock"/>
      <sheetName val="\\Server\LOCALTIME\COMMUNICATIO"/>
      <sheetName val="France - tables"/>
      <sheetName val="СПЛИТ"/>
      <sheetName val="[CU Dergi.xls][CU Dergi.xls]\\S"/>
      <sheetName val="CU%20Dergi.xls"/>
      <sheetName val="[CU Dergi.xls][CU Dergi.xls][CU"/>
      <sheetName val="[CU Dergi.xls]\\Server\LOCALTIM"/>
      <sheetName val="FINALPHP"/>
      <sheetName val="DepPar_Iscı"/>
      <sheetName val="Reference"/>
      <sheetName val="Genel_(2)4"/>
      <sheetName val="Genel_(3)4"/>
      <sheetName val="Genel_(4)4"/>
      <sheetName val="CU_Dergi4"/>
      <sheetName val="Hasar_Hattı3"/>
      <sheetName val="REVİZE_Özet_Tablo_HAFTALIK3"/>
      <sheetName val="7_HAFTA3"/>
      <sheetName val="kicker_und_TO1"/>
      <sheetName val="CU_Dergi_xls"/>
      <sheetName val="AFISHA_RU"/>
      <sheetName val="AMEDIA_RU"/>
      <sheetName val="AUTO_RU"/>
      <sheetName val="AVTO_RU"/>
      <sheetName val="3DNEWS_RU"/>
      <sheetName val="ECHO_MSK_RU"/>
      <sheetName val="EXPERT_RU"/>
      <sheetName val="FASHIONTIME_RU"/>
      <sheetName val="GAZETA_RU"/>
      <sheetName val="INOPRESSA_RU"/>
      <sheetName val="KOMMERSANT_RU"/>
      <sheetName val="LIVEINTERNET_RU"/>
      <sheetName val="MAIL_RU"/>
      <sheetName val="MTV_RU"/>
      <sheetName val="NEWSRU_COM"/>
      <sheetName val="24OPEN_RU"/>
      <sheetName val="RIAN_RU"/>
      <sheetName val="SPORTS_RU"/>
      <sheetName val="SUPERSTYLE_RU"/>
      <sheetName val="SUBSCRIBE_RU"/>
      <sheetName val="VOKRUGSVETA_RU"/>
      <sheetName val="VZGLYAD_RU"/>
      <sheetName val="YANDEX_RU"/>
      <sheetName val="France_-_tables"/>
      <sheetName val="[CU_Dergi_xls][CU_Dergi_xls][CU"/>
      <sheetName val="[CU_Dergi_xls]\\Server\LOCALTIM"/>
      <sheetName val="[CU_Dergi_xls][CU_Dergi_xls]\\S"/>
      <sheetName val="CU%20Dergi_xls"/>
      <sheetName val="[CU Dergi.xls]__Server_LOCALT_2"/>
      <sheetName val="Köprü"/>
      <sheetName val="Proposal Details"/>
      <sheetName val="Hidden_Data"/>
      <sheetName val="Proposal Summary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kim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sar Hattı"/>
      <sheetName val="C.U. Gazete Genel"/>
      <sheetName val="Site Gazete"/>
      <sheetName val="Hasar Hattı Aralık"/>
      <sheetName val="Sheet1"/>
      <sheetName val="Hasar Hatt?"/>
      <sheetName val="C_U__Gazete_Genel"/>
      <sheetName val="Site_Gazete"/>
      <sheetName val="Hasar_Hattı"/>
      <sheetName val="Hasar_Hattı_Aralık"/>
      <sheetName val="Hasar_Hatt?"/>
      <sheetName val="Programlar"/>
      <sheetName val="Kategoriler"/>
      <sheetName val="tv spot list"/>
      <sheetName val="Copies"/>
      <sheetName val="CU gazete"/>
      <sheetName val="Ekim"/>
      <sheetName val="C_U__Gazete_Genel1"/>
      <sheetName val="Site_Gazete1"/>
      <sheetName val="Hasar_Hattı1"/>
      <sheetName val="Hasar_Hattı_Aralık1"/>
      <sheetName val="Hasar_Hatt?1"/>
      <sheetName val="Ana Kanal"/>
      <sheetName val="Tv - Tematik )"/>
      <sheetName val="Outdoor"/>
      <sheetName val="İnternet Planı"/>
      <sheetName val="Dergi"/>
      <sheetName val="Özet"/>
      <sheetName val="kuşak data"/>
      <sheetName val="Gazete teaser"/>
      <sheetName val="PRINT"/>
      <sheetName val="XLR_NoRangeSheet"/>
      <sheetName val="C_U__Gazete_Genel2"/>
      <sheetName val="Site_Gazete2"/>
      <sheetName val="Hasar_Hattı2"/>
      <sheetName val="Hasar_Hattı_Aralık2"/>
      <sheetName val="Hasar_Hatt?2"/>
      <sheetName val="tv_spot_list"/>
      <sheetName val="CU_gazete"/>
      <sheetName val="InputSheet"/>
      <sheetName val="Foglio1"/>
      <sheetName val="ORT"/>
      <sheetName val="CU%20gazete.xls"/>
      <sheetName val="PIPELINE"/>
      <sheetName val="IVA-DEC"/>
      <sheetName val="BAŞV"/>
      <sheetName val="Sayfa2"/>
      <sheetName val="FINALPHP"/>
      <sheetName val="Televizyon"/>
      <sheetName val="Prezzi volumi Agosto"/>
      <sheetName val="CKD"/>
      <sheetName val="Ref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sar Hattı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sar Hattı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sar Hattı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glio1"/>
      <sheetName val="CARS"/>
      <sheetName val="CH_REP"/>
      <sheetName val="ZO_REP"/>
      <sheetName val="MONAT"/>
      <sheetName val="#RIF"/>
      <sheetName val="Cartel1"/>
      <sheetName val="Form-E1"/>
      <sheetName val="Vendite"/>
      <sheetName val="Dealer"/>
      <sheetName val="MASTER FIAT"/>
      <sheetName val="Data Chart"/>
      <sheetName val="Sheet3"/>
      <sheetName val="CampaignData"/>
      <sheetName val="PlanData"/>
      <sheetName val="ExchangeRates"/>
      <sheetName val="ManualDiscounts"/>
      <sheetName val="NetPrices"/>
      <sheetName val="PlanSheet"/>
      <sheetName val="Kategoriler"/>
      <sheetName val="Hasar Hattı"/>
      <sheetName val="TUBORG"/>
      <sheetName val="Materyaller"/>
      <sheetName val="Fiyat"/>
      <sheetName val="Alim Sekli"/>
      <sheetName val="Copies"/>
      <sheetName val="SpotList (2)"/>
      <sheetName val="Exchange"/>
      <sheetName val="Payments"/>
      <sheetName val="Stations"/>
      <sheetName val="Prices"/>
      <sheetName val="rendelés melléklet"/>
      <sheetName val="Network"/>
      <sheetName val="buyingmethod"/>
      <sheetName val="creativetype"/>
      <sheetName val="Format"/>
      <sheetName val="Media Typ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kim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down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Option #1"/>
    </sheetNames>
    <sheetDataSet>
      <sheetData sheetId="0" refreshError="1"/>
      <sheetData sheetId="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Fields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kim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"/>
      <sheetName val="SGV"/>
      <sheetName val="Index"/>
      <sheetName val="Format"/>
      <sheetName val="Mod.A"/>
      <sheetName val="Mod.A1"/>
      <sheetName val="Mod.B"/>
      <sheetName val="Mod.B1"/>
      <sheetName val="Indice"/>
      <sheetName val="Ekim"/>
      <sheetName val="Foglio1"/>
      <sheetName val="copertina"/>
      <sheetName val="Kategoriler"/>
      <sheetName val="TRT FM"/>
      <sheetName val="XXXX"/>
      <sheetName val="DOLLARO"/>
      <sheetName val="Conta transição_comer"/>
      <sheetName val="86_NOVEMBRO"/>
      <sheetName val="89_NOVEMBRO"/>
      <sheetName val="87_NOVEMBRO"/>
      <sheetName val="Analise_BDG"/>
      <sheetName val="Analise_F6+6"/>
      <sheetName val="Plan4"/>
      <sheetName val="Analise_F10+2"/>
      <sheetName val="FLASH"/>
      <sheetName val="comparativo_Jan_fev"/>
      <sheetName val="EXPLICMES"/>
      <sheetName val="EXPLICANO_3+9"/>
      <sheetName val="EXPLICANO"/>
      <sheetName val="EXPLICANO_BDG"/>
      <sheetName val="EXPLICABERTO"/>
      <sheetName val="FLASH_6+6"/>
      <sheetName val="Juridico"/>
      <sheetName val="CR"/>
      <sheetName val="DAF"/>
      <sheetName val="Diret."/>
      <sheetName val="Comparativo (2)"/>
      <sheetName val="Strfuncionamento.2004"/>
      <sheetName val="86"/>
      <sheetName val="89"/>
      <sheetName val="87"/>
      <sheetName val="Strfuncionamento.2005"/>
      <sheetName val="per paese"/>
      <sheetName val="per modello"/>
      <sheetName val="JATO Worksheet - Pagina 1"/>
      <sheetName val="Guida al foglio"/>
      <sheetName val="Foglio3"/>
      <sheetName val="GENERALE"/>
      <sheetName val="RIEPILOGO (2)"/>
      <sheetName val="stile &quot;93 €&quot;"/>
      <sheetName val="stile ULTERIORI"/>
      <sheetName val="riepilogo CON DETTAGLIO"/>
      <sheetName val="DETTAGLIO ULTERIORI"/>
      <sheetName val="CROMI INTERNI "/>
      <sheetName val="198 CAMBIO M32 SU 1.4 T 120"/>
      <sheetName val="ODM stile"/>
      <sheetName val="dettaglio"/>
      <sheetName val="Foglio2"/>
      <sheetName val="Gazete teaser"/>
      <sheetName val="Programlar"/>
      <sheetName val="DUCATO"/>
      <sheetName val="33&quot;"/>
      <sheetName val="Copies"/>
      <sheetName val="Kategori Dizi kanalları"/>
      <sheetName val="Hasar Hattı"/>
      <sheetName val="VENDAS"/>
      <sheetName val="ATV"/>
      <sheetName val="Indice.xls"/>
      <sheetName val="Sayfa4"/>
      <sheetName val=""/>
      <sheetName val="2.대외공문"/>
      <sheetName val="Macro1"/>
      <sheetName val="Macro2"/>
      <sheetName val="Vers_TOP(16)"/>
      <sheetName val="ALBERINIITADIESEL"/>
      <sheetName val="NORME"/>
      <sheetName val="ECOM Periodique"/>
      <sheetName val="All"/>
      <sheetName val="DB"/>
      <sheetName val="\sudafrica\Sudafrica 2002\sud a"/>
      <sheetName val="prova"/>
      <sheetName val="Prijzen"/>
      <sheetName val="PA_Weighted"/>
      <sheetName val="Instructions"/>
      <sheetName val="Assumptions"/>
      <sheetName val="Input"/>
      <sheetName val="Cost Impact PA Brand"/>
      <sheetName val="PCO v PA Cost Weighted"/>
      <sheetName val="PCO v PA Cost Weighted KM"/>
      <sheetName val="Details by Model in Euro"/>
      <sheetName val="Cost Impact PA Industrial"/>
      <sheetName val="Milestone vs PA - KM 1"/>
      <sheetName val="Milestone vs PA - KM 2"/>
      <sheetName val="Milestone vs PA - KM 3"/>
      <sheetName val="Milestone vs PA - KM 4"/>
      <sheetName val="Milestone vs PA - KM 5"/>
      <sheetName val="Milestone vs PA - KM 6"/>
      <sheetName val="Milestone vs PA - KM 7"/>
      <sheetName val="Milestone vs PA - KM 8"/>
      <sheetName val="Milestone vs PA - KM 9"/>
      <sheetName val="Milestone vs PA - KM 10"/>
      <sheetName val="Milestone vs PA - KM 11"/>
      <sheetName val="Milestone vs PA - KM 12"/>
      <sheetName val="Milestone vs PA - KM 13"/>
      <sheetName val="Milestone vs PA - KM 14"/>
      <sheetName val="Milestone vs PA - KM 15"/>
      <sheetName val="Milestone vs PA - KM 16"/>
      <sheetName val="Form_8"/>
      <sheetName val="KM Summary PA - backup"/>
      <sheetName val="KM SummaryTC - backup"/>
      <sheetName val="2007"/>
      <sheetName val="2008"/>
      <sheetName val="2009"/>
      <sheetName val="MACRO SETTING"/>
      <sheetName val="IN425C 1B 437 02"/>
      <sheetName val="IN423R 1C 433 01"/>
      <sheetName val="IN425R 1D 433 01"/>
      <sheetName val="IN422C 1D 100 04"/>
      <sheetName val="IN422C 1B 120 04"/>
      <sheetName val="IN423C 1B 145 14"/>
      <sheetName val="IN42N0 1A 120 04"/>
      <sheetName val="IN43N0 1A 140 14"/>
      <sheetName val="IN44N0 1A 140 14"/>
      <sheetName val="IN45N0 1A 140 14"/>
      <sheetName val="IN424C 1D 145 14"/>
      <sheetName val="IN425C 1C 145 14"/>
      <sheetName val="IN45N0 1B 501 06"/>
      <sheetName val="JC077C 1B 780 02"/>
      <sheetName val="JC095R 1A 100 01"/>
      <sheetName val="KS95C4 1A 781 02"/>
      <sheetName val="Cost Impact PI"/>
      <sheetName val="Input - Costs"/>
      <sheetName val="3230B.20AA.01.27 Active 1.4 TRB"/>
      <sheetName val="Mod49 compatto"/>
      <sheetName val="Gest 02"/>
      <sheetName val="ALBERINI GAS"/>
      <sheetName val="EUR GM"/>
      <sheetName val="Mercati&gt;6"/>
      <sheetName val="Base"/>
      <sheetName val="\\$NDS\.PCF_WORK.PCF.DAF.FIASA\"/>
      <sheetName val="PROJE MAL.ANA DOSYA 3.AY"/>
      <sheetName val="TOTALE"/>
      <sheetName val="SOS_SOV"/>
      <sheetName val="TOPLAM YATIRIM"/>
      <sheetName val="TV YATIRIMI"/>
      <sheetName val="BASIN YATIRIMI"/>
      <sheetName val="MacroSheet"/>
      <sheetName val="전문품의"/>
      <sheetName val="Panda"/>
      <sheetName val="9124"/>
      <sheetName val="IND9899"/>
      <sheetName val="ALTRI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NPV"/>
      <sheetName val="ANADISP 99"/>
      <sheetName val="riepilogo 06"/>
      <sheetName val="PO"/>
      <sheetName val="Lead"/>
      <sheetName val="Standartwerte"/>
      <sheetName val="Essbase"/>
      <sheetName val="Riepilogo"/>
      <sheetName val="BONUS PROP"/>
      <sheetName val="\\reganzani\video\operational\T"/>
      <sheetName val="\Users\emret\AppData\Local\Micr"/>
      <sheetName val="\\192.168.1.254\2013\F\Users\em"/>
      <sheetName val="\\192.168.1.254\2013\Users\hayd"/>
      <sheetName val="\\192.168.1.254\2013\L\EDU\FECH"/>
      <sheetName val="\DBI\2011\mediamax\reckit benck"/>
      <sheetName val="kicker und TO"/>
      <sheetName val="[Indice.xls]__csimedya_my_sha_2"/>
      <sheetName val="[Indice.xls]_EDU_FECHAMES_JUN_2"/>
      <sheetName val="[Indice.xls]_L_EDU_FECHAMES_J_2"/>
      <sheetName val="[Indice.xls]_EDU_FECHAMES_JUN_3"/>
      <sheetName val="[Indice.xls]_L_EDU_FECHAMES_J_3"/>
      <sheetName val="[Indice.xls]__csimedya_my_sha_3"/>
      <sheetName val="[Indice.xls]__csimedya_my_sh_92"/>
      <sheetName val="Memo Marzo"/>
      <sheetName val="CAR CASH"/>
      <sheetName val="\\F0236715\condivisi\WINDOWS\TE"/>
      <sheetName val="estraz.apert.2001"/>
      <sheetName val="Mod_A"/>
      <sheetName val="Mod_A1"/>
      <sheetName val="Mod_B"/>
      <sheetName val="Mod_B1"/>
      <sheetName val="Conta_transição_comer"/>
      <sheetName val="Diret_"/>
      <sheetName val="Comparativo_(2)"/>
      <sheetName val="Strfuncionamento_2004"/>
      <sheetName val="Strfuncionamento_2005"/>
      <sheetName val="per_paese"/>
      <sheetName val="per_modello"/>
      <sheetName val="JATO_Worksheet_-_Pagina_1"/>
      <sheetName val="Guida_al_foglio"/>
      <sheetName val="RIEPILOGO_(2)"/>
      <sheetName val="stile_&quot;93_€&quot;"/>
      <sheetName val="stile_ULTERIORI"/>
      <sheetName val="riepilogo_CON_DETTAGLIO"/>
      <sheetName val="DETTAGLIO_ULTERIORI"/>
      <sheetName val="CROMI_INTERNI_"/>
      <sheetName val="198_CAMBIO_M32_SU_1_4_T_120"/>
      <sheetName val="ODM_stile"/>
      <sheetName val="Gazete_teaser"/>
      <sheetName val="LOB_prodn"/>
      <sheetName val="AG"/>
      <sheetName val="AG Calendarization"/>
      <sheetName val="CE Calendarization"/>
      <sheetName val="CE"/>
      <sheetName val="Cost_Impact_PA_Brand"/>
      <sheetName val="PCO_v_PA_Cost_Weighted"/>
      <sheetName val="PCO_v_PA_Cost_Weighted_KM"/>
      <sheetName val="Details_by_Model_in_Euro"/>
      <sheetName val="Cost_Impact_PA_Industrial"/>
      <sheetName val="Milestone_vs_PA_-_KM_1"/>
      <sheetName val="Milestone_vs_PA_-_KM_2"/>
      <sheetName val="Milestone_vs_PA_-_KM_3"/>
      <sheetName val="Milestone_vs_PA_-_KM_4"/>
      <sheetName val="Milestone_vs_PA_-_KM_5"/>
      <sheetName val="Milestone_vs_PA_-_KM_6"/>
      <sheetName val="Milestone_vs_PA_-_KM_7"/>
      <sheetName val="Milestone_vs_PA_-_KM_8"/>
      <sheetName val="Milestone_vs_PA_-_KM_9"/>
      <sheetName val="Milestone_vs_PA_-_KM_10"/>
      <sheetName val="Milestone_vs_PA_-_KM_11"/>
      <sheetName val="Milestone_vs_PA_-_KM_12"/>
      <sheetName val="Milestone_vs_PA_-_KM_13"/>
      <sheetName val="Milestone_vs_PA_-_KM_14"/>
      <sheetName val="Milestone_vs_PA_-_KM_15"/>
      <sheetName val="Milestone_vs_PA_-_KM_16"/>
      <sheetName val="KM_Summary_PA_-_backup"/>
      <sheetName val="KM_SummaryTC_-_backup"/>
      <sheetName val="MACRO_SETTING"/>
      <sheetName val="IN425C_1B_437_02"/>
      <sheetName val="IN423R_1C_433_01"/>
      <sheetName val="IN425R_1D_433_01"/>
      <sheetName val="IN422C_1D_100_04"/>
      <sheetName val="IN422C_1B_120_04"/>
      <sheetName val="IN423C_1B_145_14"/>
      <sheetName val="IN42N0_1A_120_04"/>
      <sheetName val="IN43N0_1A_140_14"/>
      <sheetName val="IN44N0_1A_140_14"/>
      <sheetName val="IN45N0_1A_140_14"/>
      <sheetName val="IN424C_1D_145_14"/>
      <sheetName val="IN425C_1C_145_14"/>
      <sheetName val="IN45N0_1B_501_06"/>
      <sheetName val="JC077C_1B_780_02"/>
      <sheetName val="JC095R_1A_100_01"/>
      <sheetName val="KS95C4_1A_781_02"/>
      <sheetName val="Cost_Impact_PI"/>
      <sheetName val="Input_-_Costs"/>
      <sheetName val="3230B_20AA_01_27_Active_1_4_TRB"/>
      <sheetName val="NA Ford Mgmt Sum"/>
      <sheetName val="PSTRAT."/>
      <sheetName val="MAR99"/>
      <sheetName val="Pivotf3+9_it"/>
      <sheetName val="Pivotf3+9_vc"/>
      <sheetName val="Pivotf3+9_vc_it"/>
      <sheetName val="Pivotf3+9"/>
      <sheetName val="Pivot_seg_it"/>
      <sheetName val="Pivot_seg_vc_it"/>
      <sheetName val="Pivot_mese"/>
      <sheetName val="Pivot_mese_Vc"/>
      <sheetName val="TRT_FM"/>
      <sheetName val="Kategori_Dizi_kanalları"/>
      <sheetName val="Hasar_Hattı"/>
      <sheetName val="Indice_xls"/>
      <sheetName val="2_대외공문"/>
      <sheetName val="ECOM_Periodique"/>
      <sheetName val="\sudafrica\Sudafrica_2002\sud_a"/>
      <sheetName val="Mod49_compatto"/>
      <sheetName val="Gest_02"/>
      <sheetName val="ALBERINI_GAS"/>
      <sheetName val="EUR_GM"/>
      <sheetName val="\\192_168_1_254\2013\F\Users\em"/>
      <sheetName val="\\192_168_1_254\2013\Users\hayd"/>
      <sheetName val="\\192_168_1_254\2013\L\EDU\FECH"/>
      <sheetName val="\\$NDS\_PCF_WORK_PCF_DAF_FIASA\"/>
      <sheetName val="\DBI\2011\mediamax\reckit_benck"/>
      <sheetName val="\EDU\FECHAMES\JUN99\Indice_xls"/>
      <sheetName val="\L\EDU\FECHAMES\JUN99\Indice_xl"/>
      <sheetName val="TOPLAM_YATIRIM"/>
      <sheetName val="TV_YATIRIMI"/>
      <sheetName val="BASIN_YATIRIMI"/>
      <sheetName val="PROJE_MAL_ANA_DOSYA_3_AY"/>
      <sheetName val="C_E__2004"/>
      <sheetName val="C_E__2005"/>
      <sheetName val="C_E__2006"/>
      <sheetName val="C_E__2007"/>
      <sheetName val="TOTALE_MERCATI"/>
      <sheetName val="ANADISP_99"/>
      <sheetName val="riepilogo_06"/>
      <sheetName val="BONUS_PROP"/>
      <sheetName val="\\Server\ortak\Volumes\ORTAK\T1"/>
      <sheetName val="현금흐름표"/>
      <sheetName val="SUP'S PASS DOM"/>
      <sheetName val="INPUT_PO"/>
      <sheetName val="[Indice.xls]_EDU_FECHAMES_JU_81"/>
      <sheetName val="[Indice.xls]_L_EDU_FECHAMES__81"/>
      <sheetName val="[Indice.xls][Indice.xls]\sudafr"/>
      <sheetName val="[Indice.xls][Indice.xls]\\$NDS\"/>
      <sheetName val="[Indice.xls][Indice.xls]\EDU\FE"/>
      <sheetName val="[Indice.xls][Indice.xls]\\regan"/>
      <sheetName val="[Indice.xls][Indice.xls]\Users\"/>
      <sheetName val="[Indice.xls][Indice.xls]\\192.1"/>
      <sheetName val="[Indice.xls][Indice.xls]\DBI\20"/>
      <sheetName val="[Indice.xls][Indice.xls]\L\EDU\"/>
      <sheetName val="[Indice.xls][Indice.xls]//csime"/>
      <sheetName val="[Indice.xls][Indice.xls]\\Serve"/>
      <sheetName val="[Indice.xls][Indice.xls]\\192_1"/>
      <sheetName val="[Indice.xls][Indice.xls]\\F0236"/>
      <sheetName val="[Indice.xls][Indice.xls][Indice"/>
      <sheetName val="[Indice.xls]\sudafrica\Sudafric"/>
      <sheetName val="[Indice.xls]\\$NDS\.PCF_WORK.PC"/>
      <sheetName val="[Indice.xls]\EDU\FECHAMES\JUN99"/>
      <sheetName val="[Indice.xls]\\reganzani\video\o"/>
      <sheetName val="[Indice.xls]\Users\emret\AppDat"/>
      <sheetName val="[Indice.xls]\\192.168.1.254\201"/>
      <sheetName val="[Indice.xls]\DBI\2011\mediamax\"/>
      <sheetName val="[Indice.xls]\L\EDU\FECHAMES\JUN"/>
      <sheetName val="[Indice.xls]//csimedya-my.share"/>
      <sheetName val="[Indice.xls]\\Server\ortak\Volu"/>
      <sheetName val="[Indice.xls]\\192_168_1_254\201"/>
      <sheetName val="[Indice.xls]\\$NDS\_PCF_WORK_PC"/>
      <sheetName val="[Indice.xls]\\F0236715\condivis"/>
      <sheetName val="Rules"/>
      <sheetName val="Mod_A2"/>
      <sheetName val="Mod_A11"/>
      <sheetName val="Mod_B2"/>
      <sheetName val="Mod_B11"/>
      <sheetName val="Conta_transição_comer1"/>
      <sheetName val="Diret_1"/>
      <sheetName val="Comparativo_(2)1"/>
      <sheetName val="Strfuncionamento_20041"/>
      <sheetName val="Strfuncionamento_20051"/>
      <sheetName val="per_paese1"/>
      <sheetName val="per_modello1"/>
      <sheetName val="JATO_Worksheet_-_Pagina_11"/>
      <sheetName val="Guida_al_foglio1"/>
      <sheetName val="RIEPILOGO_(2)1"/>
      <sheetName val="stile_&quot;93_€&quot;1"/>
      <sheetName val="stile_ULTERIORI1"/>
      <sheetName val="riepilogo_CON_DETTAGLIO1"/>
      <sheetName val="DETTAGLIO_ULTERIORI1"/>
      <sheetName val="CROMI_INTERNI_1"/>
      <sheetName val="198_CAMBIO_M32_SU_1_4_T_1201"/>
      <sheetName val="ODM_stile1"/>
      <sheetName val="Gazete_teaser1"/>
      <sheetName val="Memo_Marzo"/>
      <sheetName val="CAR_CASH"/>
      <sheetName val="estraz_apert_2001"/>
      <sheetName val="FGACODE"/>
      <sheetName val="_EDU_FECHAMES_JUN99_Indice.xls"/>
      <sheetName val="__F0236715_condivisi_WINDOWS_TE"/>
      <sheetName val="personali"/>
      <sheetName val="spares timing"/>
      <sheetName val="Conta transi??o_comer"/>
      <sheetName val="Conta_transi??o_comer"/>
      <sheetName val="Conta_transi??o_comer1"/>
      <sheetName val="Köprü"/>
      <sheetName val="[Indice.xls]__csimedya_my_sh_29"/>
      <sheetName val="[Indice.xls]_EDU_FECHAMES_JU_41"/>
      <sheetName val="[Indice.xls]_L_EDU_FECHAMES__41"/>
      <sheetName val="[Indice.xls]__csimedya_my_sh_28"/>
      <sheetName val="[Indice.xls]_EDU_FECHAMES_JU_40"/>
      <sheetName val="[Indice.xls]_L_EDU_FECHAMES__40"/>
      <sheetName val="[Indice.xls]__csimedya_my_sh_14"/>
      <sheetName val="[Indice.xls]_EDU_FECHAMES_JUN_5"/>
      <sheetName val="[Indice.xls]_L_EDU_FECHAMES_J_5"/>
      <sheetName val="[Indice.xls]_EDU_FECHAMES_JUN_4"/>
      <sheetName val="[Indice.xls]_L_EDU_FECHAMES_J_4"/>
      <sheetName val="[Indice.xls]_EDU_FECHAMES_JUN_6"/>
      <sheetName val="[Indice.xls]_L_EDU_FECHAMES_J_6"/>
      <sheetName val="[Indice.xls]_EDU_FECHAMES_JUN_8"/>
      <sheetName val="[Indice.xls]_L_EDU_FECHAMES_J_8"/>
      <sheetName val="[Indice.xls]_EDU_FECHAMES_JUN_7"/>
      <sheetName val="[Indice.xls]_L_EDU_FECHAMES_J_7"/>
      <sheetName val="[Indice.xls]_EDU_FECHAMES_JU_10"/>
      <sheetName val="[Indice.xls]_L_EDU_FECHAMES__10"/>
      <sheetName val="[Indice.xls]_EDU_FECHAMES_JUN_9"/>
      <sheetName val="[Indice.xls]_L_EDU_FECHAMES_J_9"/>
      <sheetName val="[Indice.xls]_EDU_FECHAMES_JU_11"/>
      <sheetName val="[Indice.xls]_L_EDU_FECHAMES__11"/>
      <sheetName val="[Indice.xls]_EDU_FECHAMES_JU_12"/>
      <sheetName val="[Indice.xls]_L_EDU_FECHAMES__12"/>
      <sheetName val="[Indice.xls]_EDU_FECHAMES_JU_13"/>
      <sheetName val="[Indice.xls]_L_EDU_FECHAMES__13"/>
      <sheetName val="[Indice.xls]_EDU_FECHAMES_JU_14"/>
      <sheetName val="[Indice.xls]_L_EDU_FECHAMES__14"/>
      <sheetName val="[Indice.xls]_EDU_FECHAMES_JU_16"/>
      <sheetName val="[Indice.xls]_L_EDU_FECHAMES__16"/>
      <sheetName val="[Indice.xls]_EDU_FECHAMES_JU_15"/>
      <sheetName val="[Indice.xls]_L_EDU_FECHAMES__15"/>
      <sheetName val="[Indice.xls]_EDU_FECHAMES_JU_17"/>
      <sheetName val="[Indice.xls]_L_EDU_FECHAMES__17"/>
      <sheetName val="[Indice.xls]_EDU_FECHAMES_JU_18"/>
      <sheetName val="[Indice.xls]_L_EDU_FECHAMES__18"/>
      <sheetName val="[Indice.xls]_EDU_FECHAMES_JU_19"/>
      <sheetName val="[Indice.xls]_L_EDU_FECHAMES__19"/>
      <sheetName val="[Indice.xls]_EDU_FECHAMES_JU_21"/>
      <sheetName val="[Indice.xls]_L_EDU_FECHAMES__21"/>
      <sheetName val="[Indice.xls]_EDU_FECHAMES_JU_20"/>
      <sheetName val="[Indice.xls]_L_EDU_FECHAMES__20"/>
      <sheetName val="[Indice.xls]_EDU_FECHAMES_JU_22"/>
      <sheetName val="[Indice.xls]_L_EDU_FECHAMES__22"/>
      <sheetName val="[Indice.xls]__csimedya_my_sha_4"/>
      <sheetName val="[Indice.xls]__csimedya_my_sha_5"/>
      <sheetName val="[Indice.xls]__csimedya_my_sh_12"/>
      <sheetName val="[Indice.xls]_EDU_FECHAMES_JU_33"/>
      <sheetName val="[Indice.xls]_L_EDU_FECHAMES__33"/>
      <sheetName val="[Indice.xls]__csimedya_my_sh_11"/>
      <sheetName val="[Indice.xls]_EDU_FECHAMES_JU_32"/>
      <sheetName val="[Indice.xls]_L_EDU_FECHAMES__32"/>
      <sheetName val="[Indice.xls]__csimedya_my_sh_10"/>
      <sheetName val="[Indice.xls]_EDU_FECHAMES_JU_31"/>
      <sheetName val="[Indice.xls]_L_EDU_FECHAMES__31"/>
      <sheetName val="[Indice.xls]__csimedya_my_sha_6"/>
      <sheetName val="[Indice.xls]_EDU_FECHAMES_JU_25"/>
      <sheetName val="[Indice.xls]_L_EDU_FECHAMES__25"/>
      <sheetName val="[Indice.xls]_EDU_FECHAMES_JU_23"/>
      <sheetName val="[Indice.xls]_L_EDU_FECHAMES__23"/>
      <sheetName val="[Indice.xls]_EDU_FECHAMES_JU_24"/>
      <sheetName val="[Indice.xls]_L_EDU_FECHAMES__24"/>
      <sheetName val="[Indice.xls]_EDU_FECHAMES_JU_26"/>
      <sheetName val="[Indice.xls]_L_EDU_FECHAMES__26"/>
      <sheetName val="[Indice.xls]_EDU_FECHAMES_JU_27"/>
      <sheetName val="[Indice.xls]_L_EDU_FECHAMES__27"/>
      <sheetName val="[Indice.xls]_EDU_FECHAMES_JU_28"/>
      <sheetName val="[Indice.xls]_L_EDU_FECHAMES__28"/>
      <sheetName val="[Indice.xls]__csimedya_my_sha_7"/>
      <sheetName val="[Indice.xls]__csimedya_my_sha_9"/>
      <sheetName val="[Indice.xls]_EDU_FECHAMES_JU_30"/>
      <sheetName val="[Indice.xls]_L_EDU_FECHAMES__30"/>
      <sheetName val="[Indice.xls]__csimedya_my_sha_8"/>
      <sheetName val="[Indice.xls]_EDU_FECHAMES_JU_29"/>
      <sheetName val="[Indice.xls]_L_EDU_FECHAMES__29"/>
      <sheetName val="[Indice.xls]_EDU_FECHAMES_JU_34"/>
      <sheetName val="[Indice.xls]_L_EDU_FECHAMES__34"/>
      <sheetName val="[Indice.xls]_EDU_FECHAMES_JU_35"/>
      <sheetName val="[Indice.xls]_L_EDU_FECHAMES__35"/>
      <sheetName val="[Indice.xls]__csimedya_my_sh_13"/>
      <sheetName val="[Indice.xls]__csimedya_my_sh_19"/>
      <sheetName val="[Indice.xls]__csimedya_my_sh_15"/>
      <sheetName val="[Indice.xls]__csimedya_my_sh_16"/>
      <sheetName val="[Indice.xls]_EDU_FECHAMES_JU_39"/>
      <sheetName val="[Indice.xls]_L_EDU_FECHAMES__39"/>
      <sheetName val="[Indice.xls]_EDU_FECHAMES_JU_36"/>
      <sheetName val="[Indice.xls]_L_EDU_FECHAMES__36"/>
      <sheetName val="[Indice.xls]_EDU_FECHAMES_JU_37"/>
      <sheetName val="[Indice.xls]_L_EDU_FECHAMES__37"/>
      <sheetName val="[Indice.xls]_EDU_FECHAMES_JU_38"/>
      <sheetName val="[Indice.xls]_L_EDU_FECHAMES__38"/>
      <sheetName val="[Indice.xls]__csimedya_my_sh_17"/>
      <sheetName val="[Indice.xls]__csimedya_my_sh_18"/>
      <sheetName val="[Indice.xls]__csimedya_my_sh_21"/>
      <sheetName val="[Indice.xls]__csimedya_my_sh_20"/>
      <sheetName val="[Indice.xls]__csimedya_my_sh_24"/>
      <sheetName val="[Indice.xls]__csimedya_my_sh_23"/>
      <sheetName val="[Indice.xls]__csimedya_my_sh_22"/>
      <sheetName val="[Indice.xls]__csimedya_my_sh_25"/>
      <sheetName val="[Indice.xls]__csimedya_my_sh_26"/>
      <sheetName val="[Indice.xls]__csimedya_my_sh_27"/>
      <sheetName val="[Indice.xls]_EDU_FECHAMES_JU_42"/>
      <sheetName val="[Indice.xls]_L_EDU_FECHAMES__42"/>
      <sheetName val="[Indice.xls]_EDU_FECHAMES_JU_43"/>
      <sheetName val="[Indice.xls]_L_EDU_FECHAMES__43"/>
      <sheetName val="[Indice.xls]_EDU_FECHAMES_JU_44"/>
      <sheetName val="[Indice.xls]_L_EDU_FECHAMES__44"/>
      <sheetName val="[Indice.xls]__csimedya_my_sh_33"/>
      <sheetName val="[Indice.xls]__csimedya_my_sh_31"/>
      <sheetName val="[Indice.xls]__csimedya_my_sh_30"/>
      <sheetName val="[Indice.xls]__csimedya_my_sh_32"/>
      <sheetName val="[Indice.xls]__csimedya_my_sh_34"/>
      <sheetName val="[Indice.xls]__csimedya_my_sh_47"/>
      <sheetName val="[Indice.xls]__csimedya_my_sh_43"/>
      <sheetName val="[Indice.xls]__csimedya_my_sh_35"/>
      <sheetName val="[Indice.xls]_EDU_FECHAMES_JU_45"/>
      <sheetName val="[Indice.xls]_L_EDU_FECHAMES__45"/>
      <sheetName val="[Indice.xls]__csimedya_my_sh_36"/>
      <sheetName val="[Indice.xls]_EDU_FECHAMES_JU_46"/>
      <sheetName val="[Indice.xls]_L_EDU_FECHAMES__46"/>
      <sheetName val="[Indice.xls]__csimedya_my_sh_37"/>
      <sheetName val="[Indice.xls]__csimedya_my_sh_38"/>
      <sheetName val="[Indice.xls]__csimedya_my_sh_39"/>
      <sheetName val="[Indice.xls]__csimedya_my_sh_40"/>
      <sheetName val="[Indice.xls]__csimedya_my_sh_41"/>
      <sheetName val="[Indice.xls]__csimedya_my_sh_42"/>
      <sheetName val="[Indice.xls]__csimedya_my_sh_46"/>
      <sheetName val="[Indice.xls]__csimedya_my_sh_44"/>
      <sheetName val="[Indice.xls]__csimedya_my_sh_45"/>
      <sheetName val="[Indice.xls]_EDU_FECHAMES_JU_48"/>
      <sheetName val="[Indice.xls]_L_EDU_FECHAMES__48"/>
      <sheetName val="[Indice.xls]_EDU_FECHAMES_JU_47"/>
      <sheetName val="[Indice.xls]_L_EDU_FECHAMES__47"/>
      <sheetName val="[Indice.xls]__csimedya_my_sh_48"/>
      <sheetName val="[Indice.xls]__csimedya_my_sh_51"/>
      <sheetName val="[Indice.xls]__csimedya_my_sh_49"/>
      <sheetName val="[Indice.xls]_EDU_FECHAMES_JU_49"/>
      <sheetName val="[Indice.xls]_L_EDU_FECHAMES__49"/>
      <sheetName val="[Indice.xls]__csimedya_my_sh_50"/>
      <sheetName val="[Indice.xls]__csimedya_my_sh_53"/>
      <sheetName val="[Indice.xls]_EDU_FECHAMES_JU_51"/>
      <sheetName val="[Indice.xls]_L_EDU_FECHAMES__51"/>
      <sheetName val="[Indice.xls]__csimedya_my_sh_52"/>
      <sheetName val="[Indice.xls]_EDU_FECHAMES_JU_50"/>
      <sheetName val="[Indice.xls]_L_EDU_FECHAMES__50"/>
      <sheetName val="[Indice.xls]__csimedya_my_sh_56"/>
      <sheetName val="[Indice.xls]__csimedya_my_sh_54"/>
      <sheetName val="[Indice.xls]__csimedya_my_sh_55"/>
      <sheetName val="[Indice.xls]__csimedya_my_sh_57"/>
      <sheetName val="[Indice.xls]__csimedya_my_sh_60"/>
      <sheetName val="[Indice.xls]__csimedya_my_sh_58"/>
      <sheetName val="[Indice.xls]__csimedya_my_sh_59"/>
      <sheetName val="[Indice.xls]__csimedya_my_sh_63"/>
      <sheetName val="[Indice.xls]_EDU_FECHAMES_JU_57"/>
      <sheetName val="[Indice.xls]_L_EDU_FECHAMES__57"/>
      <sheetName val="[Indice.xls]_EDU_FECHAMES_JU_52"/>
      <sheetName val="[Indice.xls]_L_EDU_FECHAMES__52"/>
      <sheetName val="[Indice.xls]__csimedya_my_sh_61"/>
      <sheetName val="[Indice.xls]_EDU_FECHAMES_JU_53"/>
      <sheetName val="[Indice.xls]_L_EDU_FECHAMES__53"/>
      <sheetName val="[Indice.xls]__csimedya_my_sh_62"/>
      <sheetName val="[Indice.xls]_EDU_FECHAMES_JU_54"/>
      <sheetName val="[Indice.xls]_L_EDU_FECHAMES__54"/>
      <sheetName val="[Indice.xls]_EDU_FECHAMES_JU_55"/>
      <sheetName val="[Indice.xls]_L_EDU_FECHAMES__55"/>
      <sheetName val="[Indice.xls]_EDU_FECHAMES_JU_56"/>
      <sheetName val="[Indice.xls]_L_EDU_FECHAMES__56"/>
      <sheetName val="[Indice.xls]__csimedya_my_sh_64"/>
      <sheetName val="[Indice.xls]_EDU_FECHAMES_JU_58"/>
      <sheetName val="[Indice.xls]_L_EDU_FECHAMES__58"/>
      <sheetName val="[Indice.xls]__csimedya_my_sh_68"/>
      <sheetName val="[Indice.xls]_EDU_FECHAMES_JU_63"/>
      <sheetName val="[Indice.xls]_L_EDU_FECHAMES__63"/>
      <sheetName val="[Indice.xls]__csimedya_my_sh_65"/>
      <sheetName val="[Indice.xls]__csimedya_my_sh_66"/>
      <sheetName val="[Indice.xls]_EDU_FECHAMES_JU_59"/>
      <sheetName val="[Indice.xls]_L_EDU_FECHAMES__59"/>
      <sheetName val="[Indice.xls]_EDU_FECHAMES_JU_60"/>
      <sheetName val="[Indice.xls]_L_EDU_FECHAMES__60"/>
      <sheetName val="[Indice.xls]_EDU_FECHAMES_JU_61"/>
      <sheetName val="[Indice.xls]_L_EDU_FECHAMES__61"/>
      <sheetName val="[Indice.xls]_EDU_FECHAMES_JU_62"/>
      <sheetName val="[Indice.xls]_L_EDU_FECHAMES__62"/>
      <sheetName val="[Indice.xls]__csimedya_my_sh_67"/>
      <sheetName val="[Indice.xls]__csimedya_my_sh_69"/>
      <sheetName val="[Indice.xls]_EDU_FECHAMES_JU_64"/>
      <sheetName val="[Indice.xls]_L_EDU_FECHAMES__64"/>
      <sheetName val="[Indice.xls]_EDU_FECHAMES_JU_65"/>
      <sheetName val="[Indice.xls]_L_EDU_FECHAMES__65"/>
      <sheetName val="[Indice.xls]__csimedya_my_sh_70"/>
      <sheetName val="[Indice.xls]_EDU_FECHAMES_JU_66"/>
      <sheetName val="[Indice.xls]_L_EDU_FECHAMES__66"/>
      <sheetName val="[Indice.xls]__csimedya_my_sh_71"/>
      <sheetName val="[Indice.xls]_EDU_FECHAMES_JU_67"/>
      <sheetName val="[Indice.xls]_L_EDU_FECHAMES__67"/>
      <sheetName val="[Indice.xls]__csimedya_my_sh_73"/>
      <sheetName val="[Indice.xls]__csimedya_my_sh_72"/>
      <sheetName val="[Indice.xls]__csimedya_my_sh_74"/>
      <sheetName val="[Indice.xls]_EDU_FECHAMES_JU_68"/>
      <sheetName val="[Indice.xls]_L_EDU_FECHAMES__68"/>
      <sheetName val="[Indice.xls]__csimedya_my_sh_75"/>
      <sheetName val="[Indice.xls]_EDU_FECHAMES_JU_69"/>
      <sheetName val="[Indice.xls]_L_EDU_FECHAMES__69"/>
      <sheetName val="[Indice.xls]__csimedya_my_sh_76"/>
      <sheetName val="[Indice.xls]_EDU_FECHAMES_JU_70"/>
      <sheetName val="[Indice.xls]_L_EDU_FECHAMES__70"/>
      <sheetName val="[Indice.xls]__csimedya_my_sh_78"/>
      <sheetName val="[Indice.xls]_EDU_FECHAMES_JU_72"/>
      <sheetName val="[Indice.xls]_L_EDU_FECHAMES__72"/>
      <sheetName val="[Indice.xls]__csimedya_my_sh_77"/>
      <sheetName val="[Indice.xls]_EDU_FECHAMES_JU_71"/>
      <sheetName val="[Indice.xls]_L_EDU_FECHAMES__71"/>
      <sheetName val="[Indice.xls]__csimedya_my_sh_82"/>
      <sheetName val="[Indice.xls]_EDU_FECHAMES_JU_78"/>
      <sheetName val="[Indice.xls]_L_EDU_FECHAMES__78"/>
      <sheetName val="[Indice.xls]__csimedya_my_sh_81"/>
      <sheetName val="[Indice.xls]_EDU_FECHAMES_JU_77"/>
      <sheetName val="[Indice.xls]_L_EDU_FECHAMES__77"/>
      <sheetName val="[Indice.xls]__csimedya_my_sh_80"/>
      <sheetName val="[Indice.xls]_EDU_FECHAMES_JU_76"/>
      <sheetName val="[Indice.xls]_L_EDU_FECHAMES__76"/>
      <sheetName val="[Indice.xls]_EDU_FECHAMES_JU_73"/>
      <sheetName val="[Indice.xls]_L_EDU_FECHAMES__73"/>
      <sheetName val="[Indice.xls]_EDU_FECHAMES_JU_74"/>
      <sheetName val="[Indice.xls]_L_EDU_FECHAMES__74"/>
      <sheetName val="[Indice.xls]__csimedya_my_sh_79"/>
      <sheetName val="[Indice.xls]_EDU_FECHAMES_JU_75"/>
      <sheetName val="[Indice.xls]_L_EDU_FECHAMES__75"/>
      <sheetName val="[Indice.xls]__csimedya_my_sh_86"/>
      <sheetName val="[Indice.xls]__csimedya_my_sh_83"/>
      <sheetName val="[Indice.xls]__csimedya_my_sh_84"/>
      <sheetName val="[Indice.xls]__csimedya_my_sh_85"/>
      <sheetName val="[Indice.xls]__csimedya_my_sh_87"/>
      <sheetName val="[Indice.xls]_EDU_FECHAMES_JU_79"/>
      <sheetName val="[Indice.xls]_L_EDU_FECHAMES__79"/>
      <sheetName val="[Indice.xls]__csimedya_my_sh_89"/>
      <sheetName val="[Indice.xls]__csimedya_my_sh_88"/>
      <sheetName val="[Indice.xls]_sudafrica_Sudafr_2"/>
      <sheetName val="[Indice.xls]___NDS__PCF_WORK__2"/>
      <sheetName val="[Indice.xls]__reganzani_video_2"/>
      <sheetName val="[Indice.xls]_Users_emret_AppD_2"/>
      <sheetName val="[Indice.xls]__192_168_1_254_2_2"/>
      <sheetName val="[Indice.xls]__192_168_1_254_2_3"/>
      <sheetName val="[Indice.xls]__192_168_1_254_2_4"/>
      <sheetName val="[Indice.xls]_DBI_2011_mediama_2"/>
      <sheetName val="[Indice.xls]_sudafrica_Sudafr_3"/>
      <sheetName val="[Indice.xls]__192_168_1_254_2_5"/>
      <sheetName val="[Indice.xls]__192_168_1_254_2_6"/>
      <sheetName val="[Indice.xls]__192_168_1_254_2_7"/>
      <sheetName val="[Indice.xls]___NDS__PCF_WORK__3"/>
      <sheetName val="[Indice.xls]_DBI_2011_mediama_3"/>
      <sheetName val="[Indice.xls]__F0236715_condiv_2"/>
      <sheetName val="[Indice.xls]__csimedya_my_sh_90"/>
      <sheetName val="[Indice.xls]__csimedya_my_sh_91"/>
      <sheetName val="[Indice.xls]_EDU_FECHAMES_JU_80"/>
      <sheetName val="[Indice.xls]_L_EDU_FECHAMES__80"/>
      <sheetName val="Dropdown"/>
      <sheetName val="[Indice.xls]__csimedya_my_sh_97"/>
      <sheetName val="[Indice.xls]__csimedya_my_sh_93"/>
      <sheetName val="[Indice.xls]__csimedya_my_sh_94"/>
      <sheetName val="[Indice.xls]__csimedya_my_sh_95"/>
      <sheetName val="[Indice.xls]__csimedya_my_sh_96"/>
      <sheetName val="[Indice.xls]__csimedya_my_sh_98"/>
      <sheetName val="[Indice.xls]_EDU_FECHAMES_JU_82"/>
      <sheetName val="[Indice.xls]_L_EDU_FECHAMES__82"/>
      <sheetName val="[Indice.xls]__csimedya_my_sh_99"/>
      <sheetName val="[Indice.xls]_EDU_FECHAMES_JU_83"/>
      <sheetName val="[Indice.xls]_L_EDU_FECHAMES__83"/>
      <sheetName val="[Indice.xls]__csimedya_my_s_100"/>
      <sheetName val="[Indice.xls]_EDU_FECHAMES_JU_84"/>
      <sheetName val="[Indice.xls]_L_EDU_FECHAMES__84"/>
      <sheetName val="[Indice.xls]__csimedya_my_s_101"/>
      <sheetName val="[Indice.xls]_EDU_FECHAMES_JU_85"/>
      <sheetName val="[Indice.xls]_L_EDU_FECHAMES__85"/>
      <sheetName val="[Indice.xls]__csimedya_my_s_102"/>
      <sheetName val="[Indice.xls]_EDU_FECHAMES_JU_86"/>
      <sheetName val="[Indice.xls]_L_EDU_FECHAMES__86"/>
      <sheetName val="[Indice.xls]__csimedya_my_s_103"/>
      <sheetName val="[Indice.xls]_EDU_FECHAMES_JU_87"/>
      <sheetName val="[Indice.xls]_L_EDU_FECHAMES__87"/>
      <sheetName val="D.TAKİP"/>
      <sheetName val="Cross-Shop"/>
      <sheetName val="1998"/>
      <sheetName val="MISforgeforging"/>
      <sheetName val="Cost_Redn"/>
      <sheetName val="MAREA"/>
      <sheetName val="Marea MY"/>
      <sheetName val="ULYSSE"/>
      <sheetName val="Brava-o MY"/>
      <sheetName val="SEI"/>
      <sheetName val="MULTIPLA"/>
      <sheetName val="P.TO"/>
      <sheetName val="COUPE"/>
      <sheetName val="MENSUAL"/>
      <sheetName val="sch. prodotto sed. ant."/>
      <sheetName val="EST-REP=AMP"/>
      <sheetName val="kuşak data"/>
      <sheetName val="KANAL DATA"/>
      <sheetName val="[Indice.xls]__csimedya_my_s_104"/>
      <sheetName val="[Indice.xls]_EDU_FECHAMES_JU_88"/>
      <sheetName val="[Indice.xls]_L_EDU_FECHAMES__88"/>
    </sheetNames>
    <sheetDataSet>
      <sheetData sheetId="0" refreshError="1">
        <row r="1">
          <cell r="B1" t="str">
            <v>FIAT AUTO SUD AFRICA</v>
          </cell>
        </row>
        <row r="2">
          <cell r="B2" t="str">
            <v>Planning &amp; Control</v>
          </cell>
        </row>
        <row r="3">
          <cell r="B3" t="str">
            <v>TURKEY</v>
          </cell>
        </row>
        <row r="18">
          <cell r="B18" t="str">
            <v>Dicembre</v>
          </cell>
        </row>
        <row r="19">
          <cell r="B19">
            <v>2000</v>
          </cell>
        </row>
        <row r="26">
          <cell r="A26" t="str">
            <v>January</v>
          </cell>
          <cell r="B26">
            <v>31</v>
          </cell>
        </row>
        <row r="27">
          <cell r="A27" t="str">
            <v>February</v>
          </cell>
          <cell r="B27">
            <v>29</v>
          </cell>
        </row>
        <row r="28">
          <cell r="A28" t="str">
            <v>March</v>
          </cell>
          <cell r="B28">
            <v>31</v>
          </cell>
        </row>
        <row r="29">
          <cell r="A29" t="str">
            <v>April</v>
          </cell>
          <cell r="B29">
            <v>30</v>
          </cell>
        </row>
        <row r="30">
          <cell r="A30" t="str">
            <v>May</v>
          </cell>
          <cell r="B30">
            <v>31</v>
          </cell>
        </row>
        <row r="31">
          <cell r="A31" t="str">
            <v>June</v>
          </cell>
          <cell r="B31">
            <v>30</v>
          </cell>
        </row>
        <row r="32">
          <cell r="A32" t="str">
            <v>July</v>
          </cell>
          <cell r="B32">
            <v>31</v>
          </cell>
        </row>
        <row r="33">
          <cell r="A33" t="str">
            <v>August</v>
          </cell>
          <cell r="B33">
            <v>31</v>
          </cell>
        </row>
        <row r="34">
          <cell r="A34" t="str">
            <v>September</v>
          </cell>
          <cell r="B34">
            <v>30</v>
          </cell>
        </row>
        <row r="35">
          <cell r="A35" t="str">
            <v>October</v>
          </cell>
          <cell r="B35">
            <v>31</v>
          </cell>
        </row>
        <row r="36">
          <cell r="A36" t="str">
            <v>November</v>
          </cell>
          <cell r="B36">
            <v>30</v>
          </cell>
        </row>
        <row r="37">
          <cell r="A37" t="str">
            <v>December</v>
          </cell>
          <cell r="B37">
            <v>31</v>
          </cell>
        </row>
      </sheetData>
      <sheetData sheetId="1">
        <row r="1">
          <cell r="B1" t="str">
            <v>FIAT AUTO SUD AFRICA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>
        <row r="1">
          <cell r="B1" t="str">
            <v>FIAT AUTO SUD AFRICA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>
        <row r="1">
          <cell r="B1" t="str">
            <v>FIAT AUTO SUD AFRICA</v>
          </cell>
        </row>
      </sheetData>
      <sheetData sheetId="274">
        <row r="1">
          <cell r="B1" t="str">
            <v>FIAT AUTO SUD AFRICA</v>
          </cell>
        </row>
      </sheetData>
      <sheetData sheetId="275">
        <row r="1">
          <cell r="B1" t="str">
            <v>FIAT AUTO SUD AFRICA</v>
          </cell>
        </row>
      </sheetData>
      <sheetData sheetId="276">
        <row r="1">
          <cell r="B1" t="str">
            <v>TOFAS BUSINESS UNIT</v>
          </cell>
        </row>
      </sheetData>
      <sheetData sheetId="277">
        <row r="1">
          <cell r="B1" t="str">
            <v>TOFAS BUSINESS UNIT</v>
          </cell>
        </row>
      </sheetData>
      <sheetData sheetId="278">
        <row r="1">
          <cell r="B1" t="str">
            <v>TOFAS BUSINESS UNIT</v>
          </cell>
        </row>
      </sheetData>
      <sheetData sheetId="279">
        <row r="1">
          <cell r="B1" t="str">
            <v>TOFAS BUSINESS UNIT</v>
          </cell>
        </row>
      </sheetData>
      <sheetData sheetId="280">
        <row r="1">
          <cell r="B1" t="str">
            <v>TOFAS BUSINESS UNIT</v>
          </cell>
        </row>
      </sheetData>
      <sheetData sheetId="281">
        <row r="1">
          <cell r="B1" t="str">
            <v>TOFAS BUSINESS UNIT</v>
          </cell>
        </row>
      </sheetData>
      <sheetData sheetId="282">
        <row r="1">
          <cell r="B1" t="str">
            <v>TOFAS BUSINESS UNIT</v>
          </cell>
        </row>
      </sheetData>
      <sheetData sheetId="283">
        <row r="1">
          <cell r="B1" t="str">
            <v>TOFAS BUSINESS UNIT</v>
          </cell>
        </row>
      </sheetData>
      <sheetData sheetId="284">
        <row r="1">
          <cell r="B1" t="str">
            <v>TOFAS BUSINESS UNIT</v>
          </cell>
        </row>
      </sheetData>
      <sheetData sheetId="285">
        <row r="1">
          <cell r="B1" t="str">
            <v>TOFAS BUSINESS UNIT</v>
          </cell>
        </row>
      </sheetData>
      <sheetData sheetId="286">
        <row r="1">
          <cell r="B1" t="str">
            <v>TOFAS BUSINESS UNIT</v>
          </cell>
        </row>
      </sheetData>
      <sheetData sheetId="287">
        <row r="1">
          <cell r="B1" t="str">
            <v>TOFAS BUSINESS UNIT</v>
          </cell>
        </row>
      </sheetData>
      <sheetData sheetId="288">
        <row r="8">
          <cell r="B8" t="str">
            <v>ASPETTI COMMERCIALI</v>
          </cell>
        </row>
      </sheetData>
      <sheetData sheetId="289">
        <row r="8">
          <cell r="B8">
            <v>36312</v>
          </cell>
        </row>
      </sheetData>
      <sheetData sheetId="290">
        <row r="8">
          <cell r="B8" t="str">
            <v>ASPETTI COMMERCIALI</v>
          </cell>
        </row>
      </sheetData>
      <sheetData sheetId="291">
        <row r="8">
          <cell r="B8">
            <v>36312</v>
          </cell>
        </row>
      </sheetData>
      <sheetData sheetId="292">
        <row r="8">
          <cell r="B8" t="str">
            <v>ASPETTI COMMERCIALI</v>
          </cell>
        </row>
      </sheetData>
      <sheetData sheetId="293">
        <row r="8">
          <cell r="B8">
            <v>36312</v>
          </cell>
        </row>
      </sheetData>
      <sheetData sheetId="294">
        <row r="8">
          <cell r="B8" t="str">
            <v>ASPETTI COMMERCIALI</v>
          </cell>
        </row>
      </sheetData>
      <sheetData sheetId="295">
        <row r="8">
          <cell r="B8" t="str">
            <v>COMMERCIAL</v>
          </cell>
        </row>
      </sheetData>
      <sheetData sheetId="296">
        <row r="8">
          <cell r="B8" t="str">
            <v>ASPETTI COMMERCIALI</v>
          </cell>
        </row>
      </sheetData>
      <sheetData sheetId="297">
        <row r="8">
          <cell r="B8" t="str">
            <v>COMMERCIAL</v>
          </cell>
        </row>
      </sheetData>
      <sheetData sheetId="298">
        <row r="8">
          <cell r="B8" t="str">
            <v>ASPETTI COMMERCIALI</v>
          </cell>
        </row>
      </sheetData>
      <sheetData sheetId="299"/>
      <sheetData sheetId="300">
        <row r="18">
          <cell r="B18" t="str">
            <v>Giugno</v>
          </cell>
        </row>
      </sheetData>
      <sheetData sheetId="301">
        <row r="18">
          <cell r="B18" t="str">
            <v>ASPETTI PRODUTTIVI</v>
          </cell>
        </row>
      </sheetData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>
        <row r="8">
          <cell r="B8">
            <v>36312</v>
          </cell>
        </row>
      </sheetData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>
        <row r="18">
          <cell r="B18" t="str">
            <v>ASPETTI PRODUTTIVI</v>
          </cell>
        </row>
      </sheetData>
      <sheetData sheetId="613">
        <row r="8">
          <cell r="B8" t="str">
            <v>ASPETTI COMMERCIALI</v>
          </cell>
        </row>
      </sheetData>
      <sheetData sheetId="614">
        <row r="18">
          <cell r="B18" t="str">
            <v>Giugno</v>
          </cell>
        </row>
      </sheetData>
      <sheetData sheetId="615">
        <row r="19">
          <cell r="B19" t="str">
            <v>BILANCIAMENTO PRODUZIONE / VENDITA</v>
          </cell>
        </row>
      </sheetData>
      <sheetData sheetId="616">
        <row r="18">
          <cell r="B18" t="str">
            <v>ASPETTI PRODUTTIVI</v>
          </cell>
        </row>
      </sheetData>
      <sheetData sheetId="617">
        <row r="18">
          <cell r="B18" t="str">
            <v>ASPETTI PRODUTTIVI</v>
          </cell>
        </row>
      </sheetData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>
        <row r="1">
          <cell r="B1" t="str">
            <v>TOFAS BUSINESS UNIT</v>
          </cell>
        </row>
      </sheetData>
      <sheetData sheetId="653">
        <row r="1">
          <cell r="B1" t="str">
            <v>TOFAS BUSINESS UNIT</v>
          </cell>
        </row>
      </sheetData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BRADx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lar"/>
      <sheetName val="Kategoriler"/>
      <sheetName val="ATV"/>
      <sheetName val="KAND"/>
      <sheetName val="SHOW"/>
      <sheetName val="TGRT"/>
      <sheetName val="NTV"/>
      <sheetName val="KANAL6"/>
      <sheetName val="CINE5"/>
      <sheetName val="PRİMA"/>
      <sheetName val="KANALE"/>
      <sheetName val="TV8"/>
      <sheetName val="CNN"/>
      <sheetName val="BRT"/>
      <sheetName val="KANAL7"/>
      <sheetName val="TRT1-"/>
      <sheetName val="NO1"/>
      <sheetName val="DISCOVERY"/>
      <sheetName val="Karışık"/>
      <sheetName val="Pivot"/>
      <sheetName val="ÖZET"/>
      <sheetName val="ÖdemeKarışık"/>
      <sheetName val="Ödeme"/>
      <sheetName val="Ref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nimlar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D Upper Funnel"/>
      <sheetName val="EdmundsSeasonality"/>
    </sheetNames>
    <sheetDataSet>
      <sheetData sheetId="0" refreshError="1"/>
      <sheetData sheetId="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-Strings"/>
      <sheetName val="Portugal"/>
      <sheetName val="September"/>
      <sheetName val="Online Umbrella"/>
      <sheetName val="Print Umbrella"/>
      <sheetName val="OOH Star Product"/>
      <sheetName val="tanimlar"/>
      <sheetName val="Resource_Strings"/>
      <sheetName val="Kategoriler"/>
      <sheetName val="ATV"/>
      <sheetName val="Programlar"/>
      <sheetName val="Anneler Gunu"/>
      <sheetName val="İnternet"/>
      <sheetName val="Dergi"/>
      <sheetName val="Özet"/>
      <sheetName val="Online_Umbrella"/>
      <sheetName val="Print_Umbrella"/>
      <sheetName val="OOH_Star_Product"/>
      <sheetName val="Anneler_Gunu"/>
      <sheetName val="Scorp Genel Paket"/>
      <sheetName val="Scorp Native Paket"/>
      <sheetName val="tuborg"/>
      <sheetName val="Ordino"/>
      <sheetName val="Summary"/>
      <sheetName val="Outdoor"/>
    </sheetNames>
    <sheetDataSet>
      <sheetData sheetId="0" refreshError="1">
        <row r="1">
          <cell r="A1" t="str">
            <v>'Resource-Strings'!A2:A6</v>
          </cell>
          <cell r="E1" t="str">
            <v>Resource String</v>
          </cell>
          <cell r="F1" t="str">
            <v>Português</v>
          </cell>
          <cell r="G1" t="str">
            <v>English</v>
          </cell>
        </row>
        <row r="2">
          <cell r="E2" t="str">
            <v>PLAN_TEMPLATE_PLAN_HEADER_TITLE</v>
          </cell>
          <cell r="F2" t="str">
            <v>PLANO MENSAL DE MEIOS PUBLICITÁRIOS</v>
          </cell>
          <cell r="G2" t="str">
            <v>MONTHLY PLAN</v>
          </cell>
        </row>
        <row r="3">
          <cell r="E3" t="str">
            <v>PLAN_TEMPLATE_PLAN_HEADER_CLIENT</v>
          </cell>
          <cell r="F3" t="str">
            <v>CLIENTE:</v>
          </cell>
          <cell r="G3" t="str">
            <v>CLIENT:</v>
          </cell>
        </row>
        <row r="4">
          <cell r="E4" t="str">
            <v>PLAN_TEMPLATE_PLAN_HEADER_PRODUCT</v>
          </cell>
          <cell r="F4" t="str">
            <v>PRODUTO:</v>
          </cell>
          <cell r="G4" t="str">
            <v>PRODUCT:</v>
          </cell>
        </row>
        <row r="5">
          <cell r="E5" t="str">
            <v>PLAN_TEMPLATE_PLAN_HEADER_PERIOD</v>
          </cell>
          <cell r="F5" t="str">
            <v>PERÍODO:</v>
          </cell>
          <cell r="G5" t="str">
            <v>TIMING:</v>
          </cell>
        </row>
        <row r="6">
          <cell r="E6" t="str">
            <v>PLAN_TEMPLATE_PLAN_HEADER_MEDIA</v>
          </cell>
          <cell r="F6" t="str">
            <v>MEIO:</v>
          </cell>
          <cell r="G6" t="str">
            <v>MEDIA:</v>
          </cell>
        </row>
        <row r="7">
          <cell r="E7" t="str">
            <v>PLAN_TEMPLATE_PLAN_HEADER_DATE</v>
          </cell>
          <cell r="F7" t="str">
            <v>DATA:</v>
          </cell>
          <cell r="G7" t="str">
            <v>DATE:</v>
          </cell>
        </row>
        <row r="8">
          <cell r="E8" t="str">
            <v>PLAN_TEMPLATE_PLAN_HEADER_MEDIA_NAME</v>
          </cell>
          <cell r="F8" t="str">
            <v>TELEVISÃO</v>
          </cell>
          <cell r="G8" t="str">
            <v>TV</v>
          </cell>
        </row>
        <row r="9">
          <cell r="E9">
            <v>0</v>
          </cell>
          <cell r="F9">
            <v>0</v>
          </cell>
          <cell r="G9">
            <v>0</v>
          </cell>
        </row>
        <row r="10">
          <cell r="E10" t="str">
            <v>PLAN_TEMPLATE_HEADER_ID</v>
          </cell>
          <cell r="F10" t="str">
            <v>COD</v>
          </cell>
          <cell r="G10" t="str">
            <v>COD</v>
          </cell>
        </row>
        <row r="11">
          <cell r="E11" t="str">
            <v>PLAN_TEMPLATE_HEADER_PROGRAM</v>
          </cell>
          <cell r="F11" t="str">
            <v>SUPORTE</v>
          </cell>
          <cell r="G11" t="str">
            <v>CHANNEL / PROGRAM</v>
          </cell>
        </row>
        <row r="12">
          <cell r="E12" t="str">
            <v>PLAN_TEMPLATE_HEADER_HOUR_ESTIMATE</v>
          </cell>
          <cell r="F12" t="str">
            <v>HOR. PREV</v>
          </cell>
          <cell r="G12" t="str">
            <v>PREV. HOUR</v>
          </cell>
        </row>
        <row r="13">
          <cell r="E13" t="str">
            <v>PLAN_TEMPLATE_HEADER_RATS_ESTIMATE</v>
          </cell>
          <cell r="F13" t="str">
            <v>AUD. PREV.*</v>
          </cell>
          <cell r="G13" t="str">
            <v>PREV RAT*</v>
          </cell>
        </row>
        <row r="14">
          <cell r="E14">
            <v>0</v>
          </cell>
          <cell r="F14">
            <v>0</v>
          </cell>
          <cell r="G14">
            <v>0</v>
          </cell>
        </row>
        <row r="15">
          <cell r="E15" t="str">
            <v>PLAN_TEMPLATE_HEADER_MONDAY</v>
          </cell>
          <cell r="F15" t="str">
            <v>2ª</v>
          </cell>
          <cell r="G15" t="str">
            <v>M</v>
          </cell>
        </row>
        <row r="16">
          <cell r="E16" t="str">
            <v>PLAN_TEMPLATE_HEADER_TUESDAY</v>
          </cell>
          <cell r="F16" t="str">
            <v>3ª</v>
          </cell>
          <cell r="G16" t="str">
            <v>T</v>
          </cell>
        </row>
        <row r="17">
          <cell r="E17" t="str">
            <v>PLAN_TEMPLATE_HEADER_WEDNESDAY</v>
          </cell>
          <cell r="F17" t="str">
            <v>4ª</v>
          </cell>
          <cell r="G17" t="str">
            <v>W</v>
          </cell>
        </row>
        <row r="18">
          <cell r="E18" t="str">
            <v>PLAN_TEMPLATE_HEADER_THURSDAY</v>
          </cell>
          <cell r="F18" t="str">
            <v>5ª</v>
          </cell>
          <cell r="G18" t="str">
            <v>T</v>
          </cell>
        </row>
        <row r="19">
          <cell r="E19" t="str">
            <v>PLAN_TEMPLATE_HEADER_FRIDAY</v>
          </cell>
          <cell r="F19" t="str">
            <v>6ª</v>
          </cell>
          <cell r="G19" t="str">
            <v>F</v>
          </cell>
        </row>
        <row r="20">
          <cell r="E20" t="str">
            <v>PLAN_TEMPLATE_HEADER_SATURDAY</v>
          </cell>
          <cell r="F20" t="str">
            <v>S</v>
          </cell>
          <cell r="G20" t="str">
            <v>S</v>
          </cell>
        </row>
        <row r="21">
          <cell r="E21" t="str">
            <v>PLAN_TEMPLATE_HEADER_SUNDAY</v>
          </cell>
          <cell r="F21" t="str">
            <v>D</v>
          </cell>
          <cell r="G21" t="str">
            <v>S</v>
          </cell>
        </row>
        <row r="23">
          <cell r="E23" t="str">
            <v>PLAN_TEMPLATE_HEADER_DURATION</v>
          </cell>
          <cell r="F23" t="str">
            <v>DUR (")</v>
          </cell>
          <cell r="G23" t="str">
            <v>DUR (")</v>
          </cell>
        </row>
        <row r="24">
          <cell r="E24" t="str">
            <v>PLAN_TEMPLATE_HEADER_SPOT_DESC</v>
          </cell>
          <cell r="F24" t="str">
            <v>FILME</v>
          </cell>
          <cell r="G24" t="str">
            <v>SPOT DESC</v>
          </cell>
        </row>
        <row r="25">
          <cell r="E25" t="str">
            <v>PLAN_TEMPLATE_HEADER_INSERTIONS_TOTAL</v>
          </cell>
          <cell r="F25" t="str">
            <v>TOTAL INS</v>
          </cell>
          <cell r="G25" t="str">
            <v>TOTAL INS</v>
          </cell>
        </row>
        <row r="26">
          <cell r="E26" t="str">
            <v>PLAN_TEMPLATE_HEADER_RATECARD_ID</v>
          </cell>
          <cell r="F26" t="str">
            <v>TAB.</v>
          </cell>
          <cell r="G26" t="str">
            <v>RATE CARD</v>
          </cell>
        </row>
        <row r="27">
          <cell r="E27" t="str">
            <v>PLAN_TEMPLATE_HEADER_RATECARD_COST</v>
          </cell>
          <cell r="F27" t="str">
            <v>TABELA UNITÁRIO</v>
          </cell>
          <cell r="G27" t="str">
            <v>RATE CARD COST</v>
          </cell>
        </row>
        <row r="28">
          <cell r="E28" t="str">
            <v>PLAN_TEMPLATE_HEADER_RATECARD_TOTAL</v>
          </cell>
          <cell r="F28" t="str">
            <v>TOTAL          TABELA</v>
          </cell>
          <cell r="G28" t="str">
            <v>TOTAL RATE CARD COST</v>
          </cell>
        </row>
        <row r="29">
          <cell r="E29" t="str">
            <v>PLAN_TEMPLATE_HEADER_NEG_COST</v>
          </cell>
          <cell r="F29" t="str">
            <v>NEG.   UNITÁRIO</v>
          </cell>
          <cell r="G29" t="str">
            <v>NEG. COST</v>
          </cell>
        </row>
        <row r="30">
          <cell r="E30" t="str">
            <v>PLAN_TEMPLATE_HEADER_NEG_TOTAL_COST</v>
          </cell>
          <cell r="F30" t="str">
            <v>TOTAL  NEGOCIADO</v>
          </cell>
          <cell r="G30" t="str">
            <v>TOTAL  NEGOTIATED COST</v>
          </cell>
        </row>
        <row r="32">
          <cell r="E32" t="str">
            <v>PLAN_TEMPLATE_FOOTER_INSERTIONS_TOTAL</v>
          </cell>
          <cell r="F32" t="str">
            <v>TOTAL INSERÇÕES</v>
          </cell>
          <cell r="G32" t="str">
            <v>TOTAL INSERTIONS</v>
          </cell>
        </row>
        <row r="33">
          <cell r="E33" t="str">
            <v>PLAN_TEMPLATE_FOOTER_INSERTIONS_WEEKLY_TOTAL</v>
          </cell>
          <cell r="F33" t="str">
            <v>TOTAL INSERÇÕES / SEMANA</v>
          </cell>
          <cell r="G33" t="str">
            <v>TOTAL INSERTIONS / WEEK</v>
          </cell>
        </row>
        <row r="34">
          <cell r="E34" t="str">
            <v>PLAN_TEMPLATE_FOOTER_GRPS_TOTAL</v>
          </cell>
          <cell r="F34" t="str">
            <v>TOTAL GRPs</v>
          </cell>
          <cell r="G34" t="str">
            <v>TOTAL GRPs</v>
          </cell>
        </row>
        <row r="35">
          <cell r="E35" t="str">
            <v>PLAN_TEMPLATE_FOOTER_GRPS_WEEKLY_ESTIMATE</v>
          </cell>
          <cell r="F35" t="str">
            <v>GRPs / SEMANA PREVISTOS</v>
          </cell>
          <cell r="G35" t="str">
            <v>GRPs / PLANNED WEEKS</v>
          </cell>
        </row>
        <row r="36">
          <cell r="E36" t="str">
            <v>PLAN_TEMPLATE_FOOTER_GRPS_WEEKLY_OBTAINED</v>
          </cell>
          <cell r="F36" t="str">
            <v>GRPs / SEMANA OBTIDOS</v>
          </cell>
          <cell r="G36" t="str">
            <v>GRPs / OBTAINED WEEKS</v>
          </cell>
        </row>
        <row r="37">
          <cell r="E37" t="str">
            <v>PLAN_TEMPLATE_FOOTER_RATECARD_TOTAL</v>
          </cell>
          <cell r="F37" t="str">
            <v>TOTAL TABELA</v>
          </cell>
          <cell r="G37" t="str">
            <v>TOTAL RATE CARD COST</v>
          </cell>
        </row>
        <row r="38">
          <cell r="E38" t="str">
            <v>PLAN_TEMPLATE_FOOTER_NEG_TOTAL_COST</v>
          </cell>
          <cell r="F38" t="str">
            <v>TOTAL NEGOCIADO</v>
          </cell>
          <cell r="G38" t="str">
            <v>TOTAL NEGOTIATED</v>
          </cell>
        </row>
        <row r="39">
          <cell r="E39" t="str">
            <v>PLAN_TEMPLATE_FOOTER_TOTAL_NET</v>
          </cell>
          <cell r="F39" t="str">
            <v>TOTAL LIQUIDO</v>
          </cell>
          <cell r="G39" t="str">
            <v>TOTAL NET</v>
          </cell>
        </row>
        <row r="40">
          <cell r="E40" t="str">
            <v>PLAN_TEMPLATE_FOOTER_TOTAL_NET_NET</v>
          </cell>
          <cell r="F40" t="str">
            <v>TOTAL NET NET</v>
          </cell>
          <cell r="G40" t="str">
            <v>TOTAL NET NET</v>
          </cell>
        </row>
        <row r="42">
          <cell r="E42" t="str">
            <v>PLAN_DATA_ALL_TITLE</v>
          </cell>
          <cell r="F42" t="str">
            <v>DADOS DO PLANO</v>
          </cell>
          <cell r="G42" t="str">
            <v>PLAN DATA</v>
          </cell>
        </row>
        <row r="43">
          <cell r="E43" t="str">
            <v>PLAN_DATA_ALL_CLIENT</v>
          </cell>
          <cell r="F43" t="str">
            <v>Cliente:</v>
          </cell>
          <cell r="G43" t="str">
            <v>Client:</v>
          </cell>
        </row>
        <row r="44">
          <cell r="E44" t="str">
            <v>PLAN_DATA_ALL_PRODUCT</v>
          </cell>
          <cell r="F44" t="str">
            <v>Produto:</v>
          </cell>
          <cell r="G44" t="str">
            <v>Product:</v>
          </cell>
        </row>
        <row r="45">
          <cell r="E45" t="str">
            <v>PLAN_DATA_ALL_TARGET</v>
          </cell>
          <cell r="F45" t="str">
            <v>Alvo:</v>
          </cell>
          <cell r="G45" t="str">
            <v>Target:</v>
          </cell>
        </row>
        <row r="46">
          <cell r="E46" t="str">
            <v>PLAN_DATA_ALL_DATE</v>
          </cell>
          <cell r="F46" t="str">
            <v>Data:</v>
          </cell>
          <cell r="G46" t="str">
            <v>Date:</v>
          </cell>
        </row>
        <row r="47">
          <cell r="E47" t="str">
            <v>PLAN_DATA_ALL_LANG</v>
          </cell>
          <cell r="F47" t="str">
            <v>Língua:</v>
          </cell>
          <cell r="G47" t="str">
            <v>Language:</v>
          </cell>
        </row>
        <row r="48">
          <cell r="E48" t="str">
            <v>PLAN_DATA_ALL_AGENCY_COMMISSION</v>
          </cell>
          <cell r="F48" t="str">
            <v>DESCONTO DE AGÊNCIA</v>
          </cell>
          <cell r="G48" t="str">
            <v>AGENCY COMMISSION</v>
          </cell>
        </row>
        <row r="50">
          <cell r="E50" t="str">
            <v>PLAN_CHANNEL_ALL_RATECARD_TOTAL</v>
          </cell>
          <cell r="F50" t="str">
            <v>TOTAL TABELA</v>
          </cell>
          <cell r="G50" t="str">
            <v>TOTAL RATE CARD COST</v>
          </cell>
        </row>
        <row r="51">
          <cell r="E51" t="str">
            <v>PLAN_CHANNEL_ALL_DISCOUNT</v>
          </cell>
          <cell r="F51" t="str">
            <v>DESCONTO</v>
          </cell>
          <cell r="G51" t="str">
            <v>DISCOUNT</v>
          </cell>
        </row>
        <row r="52">
          <cell r="E52" t="str">
            <v>PLAN_CHANNEL_ALL_NEG_TOTAL_COST</v>
          </cell>
          <cell r="F52" t="str">
            <v>TOTAL NEGOCIADO</v>
          </cell>
          <cell r="G52" t="str">
            <v>TOTAL NEGOTIATED COST</v>
          </cell>
        </row>
        <row r="53">
          <cell r="E53" t="str">
            <v>PLAN_CHANNEL_ALL_TOTAL_NET</v>
          </cell>
          <cell r="F53" t="str">
            <v>TOTAL LÍQUIDO</v>
          </cell>
          <cell r="G53" t="str">
            <v>NET TOTAL</v>
          </cell>
        </row>
        <row r="55">
          <cell r="E55" t="str">
            <v>PLAN_EVALUATION_ALL_ESTIMATED_RESULTS</v>
          </cell>
          <cell r="F55" t="str">
            <v>Resultados Previstos</v>
          </cell>
          <cell r="G55" t="str">
            <v>Estimated Results</v>
          </cell>
        </row>
        <row r="56">
          <cell r="E56" t="str">
            <v>PLAN_EVALUATION_ALL_REACH_ONE_PLUS</v>
          </cell>
          <cell r="F56" t="str">
            <v>COBERTURA TOTAL</v>
          </cell>
          <cell r="G56" t="str">
            <v>REACH 1+</v>
          </cell>
        </row>
        <row r="57">
          <cell r="E57" t="str">
            <v>PLAN_EVALUATION_ALL_REACH_THREE_PLUS</v>
          </cell>
          <cell r="F57" t="str">
            <v>COBERTURA EFICAZ (3+)</v>
          </cell>
          <cell r="G57" t="str">
            <v>REACH 3+</v>
          </cell>
        </row>
        <row r="58">
          <cell r="E58" t="str">
            <v>PLAN_EVALUATION_ALL_OTS</v>
          </cell>
          <cell r="F58" t="str">
            <v>FREQUÊNCIA</v>
          </cell>
          <cell r="G58" t="str">
            <v>O.T.S.</v>
          </cell>
        </row>
        <row r="59">
          <cell r="E59" t="str">
            <v>PLAN_EVALUATION_ALL_GRPS_TOTAL</v>
          </cell>
          <cell r="F59" t="str">
            <v>GRP'S</v>
          </cell>
          <cell r="G59" t="str">
            <v>GRP'S</v>
          </cell>
        </row>
        <row r="60">
          <cell r="E60" t="str">
            <v>PLAN_EVALUATION_ALL_TOTAL_GROSS_NEG</v>
          </cell>
          <cell r="F60" t="str">
            <v>CUSTO TOTAL NEGOCIADO</v>
          </cell>
          <cell r="G60" t="str">
            <v>TOTAL GROSS NEGOTIATED</v>
          </cell>
        </row>
        <row r="61">
          <cell r="E61" t="str">
            <v>PLAN_EVALUATION_ALL_TOTAL_NET</v>
          </cell>
          <cell r="F61" t="str">
            <v>CUSTO TOTAL NET</v>
          </cell>
          <cell r="G61" t="str">
            <v>TOTAL NET</v>
          </cell>
        </row>
        <row r="62">
          <cell r="E62" t="str">
            <v>PLAN_EVALUATION_ALL_TOTAL_NET_NET</v>
          </cell>
          <cell r="F62" t="str">
            <v>CUSTO TOTAL NET NET</v>
          </cell>
          <cell r="G62" t="str">
            <v>TOTAL NET NET</v>
          </cell>
        </row>
        <row r="63">
          <cell r="E63" t="str">
            <v>PLAN_EVALUATION_ALL_COST_PER_GRP_GROSS</v>
          </cell>
          <cell r="F63" t="str">
            <v>CUSTO/GRP NEGOCIADO</v>
          </cell>
          <cell r="G63" t="str">
            <v>COST/GRP GROSS</v>
          </cell>
        </row>
        <row r="64">
          <cell r="E64" t="str">
            <v>PLAN_EVALUATION_ALL_COST_PER_GRP_NET</v>
          </cell>
          <cell r="F64" t="str">
            <v>CUSTO/GRP NET</v>
          </cell>
          <cell r="G64" t="str">
            <v>COST/GRP NET</v>
          </cell>
        </row>
        <row r="65">
          <cell r="E65" t="str">
            <v>PLAN_EVALUATION_ALL_COST_PER_GRP_NET_NET</v>
          </cell>
          <cell r="F65" t="str">
            <v>CUSTO/GRP NET NET</v>
          </cell>
          <cell r="G65" t="str">
            <v>COST/GRP NET NET</v>
          </cell>
        </row>
        <row r="66">
          <cell r="E66" t="str">
            <v>PLAN_EVALUATION_ALL_INSERTIONS_TOTAL</v>
          </cell>
          <cell r="F66" t="str">
            <v>Nº INSERÇÕES</v>
          </cell>
          <cell r="G66" t="str">
            <v>Nr. INSERTIONS</v>
          </cell>
        </row>
        <row r="67">
          <cell r="E67" t="str">
            <v>PLAN_EVALUATION_ALL_SOURCE</v>
          </cell>
          <cell r="F67" t="str">
            <v>Fonte: PlanView (Marktest)</v>
          </cell>
          <cell r="G67" t="str">
            <v>Source: PlanView (Marktest)</v>
          </cell>
        </row>
        <row r="68">
          <cell r="E68" t="str">
            <v>PLAN_EVALUATION_ALL_WEEKDAYS</v>
          </cell>
          <cell r="F68" t="str">
            <v>DIAS ÚTEIS</v>
          </cell>
          <cell r="G68" t="str">
            <v>WEEKDAYS</v>
          </cell>
        </row>
        <row r="69">
          <cell r="E69" t="str">
            <v>PLAN_EVALUATION_ALL_WEEKEND</v>
          </cell>
          <cell r="F69" t="str">
            <v>FIM DE SEMANA</v>
          </cell>
          <cell r="G69" t="str">
            <v>WEEKEND</v>
          </cell>
        </row>
        <row r="71">
          <cell r="E71" t="str">
            <v>PLAN_COSTS_SUMMARY_ALL_TITLE</v>
          </cell>
          <cell r="F71" t="str">
            <v>Resumo de Custos</v>
          </cell>
          <cell r="G71" t="str">
            <v>Planned Results</v>
          </cell>
        </row>
        <row r="72">
          <cell r="E72" t="str">
            <v>PLAN_COSTS_SUMMARY_ALL_TABLE_TITLE</v>
          </cell>
          <cell r="F72" t="str">
            <v>CUSTOS</v>
          </cell>
          <cell r="G72" t="str">
            <v>COSTS</v>
          </cell>
        </row>
        <row r="73">
          <cell r="E73" t="str">
            <v>PLAN_COSTS_SUMMARY_ALL_RATECARD_TOTAL</v>
          </cell>
          <cell r="F73" t="str">
            <v>CUSTO TABELA</v>
          </cell>
          <cell r="G73" t="str">
            <v>RATECARD COST</v>
          </cell>
        </row>
        <row r="74">
          <cell r="E74" t="str">
            <v>PLAN_COSTS_SUMMARY_ALL_NEG_TOTAL_COST</v>
          </cell>
          <cell r="F74" t="str">
            <v>CUSTO NEGOCIADO</v>
          </cell>
          <cell r="G74" t="str">
            <v>GROSS NEGOTIATED</v>
          </cell>
        </row>
        <row r="75">
          <cell r="E75" t="str">
            <v>PLAN_COSTS_SUMMARY_ALL_TOTAL_NET</v>
          </cell>
          <cell r="F75" t="str">
            <v>CUSTO LÍQUIDO</v>
          </cell>
          <cell r="G75" t="str">
            <v>NET COST</v>
          </cell>
        </row>
        <row r="76">
          <cell r="E76" t="str">
            <v>PLAN_COSTS_SUMMARY_ALL_TAXES</v>
          </cell>
          <cell r="F76" t="str">
            <v>TAXAS</v>
          </cell>
          <cell r="G76" t="str">
            <v>TV TAXES (4% on Gross)</v>
          </cell>
        </row>
        <row r="77">
          <cell r="E77" t="str">
            <v>PLAN_COSTS_SUMMARY_ALL_TRANSCRIPTIONS</v>
          </cell>
          <cell r="F77" t="str">
            <v>Transcrições RTP</v>
          </cell>
          <cell r="G77" t="str">
            <v>Transcription Costs (RTP)</v>
          </cell>
        </row>
        <row r="78">
          <cell r="E78" t="str">
            <v>PLAN_COSTS_SUMMARY_ALL_TOTAL_COST</v>
          </cell>
          <cell r="F78" t="str">
            <v>CUSTO TOTAL</v>
          </cell>
          <cell r="G78" t="str">
            <v>TOTAL MEDIA</v>
          </cell>
        </row>
        <row r="79">
          <cell r="E79" t="str">
            <v>PLAN_COSTS_SUMMARY_ALL_FEE</v>
          </cell>
          <cell r="F79" t="str">
            <v>COMISSÃO OPTIMEDIA</v>
          </cell>
          <cell r="G79" t="str">
            <v>ZENITH FEE (3,5% on Net)</v>
          </cell>
        </row>
        <row r="80">
          <cell r="E80" t="str">
            <v>PLAN_COSTS_SUMMARY_ALL_CLIENT_TOTAL_COST</v>
          </cell>
          <cell r="F80" t="str">
            <v>CUSTO TOTAL CLIENTE</v>
          </cell>
          <cell r="G80" t="str">
            <v>TOTAL COST TO CLIENT (no VAT)</v>
          </cell>
        </row>
        <row r="82">
          <cell r="E82" t="str">
            <v>PLAN_DAYPARTS_ALL_SOURCE</v>
          </cell>
          <cell r="F82" t="str">
            <v>Fonte: PlanView (Marktest)</v>
          </cell>
          <cell r="G82" t="str">
            <v>Source: PlanView (Marktest)</v>
          </cell>
        </row>
        <row r="83">
          <cell r="E83" t="str">
            <v>PLAN_DAYPARTS_ALL_PLANNED_RESULTS</v>
          </cell>
          <cell r="F83" t="str">
            <v>Resultados Previstos</v>
          </cell>
          <cell r="G83" t="str">
            <v>Estimated Results</v>
          </cell>
        </row>
        <row r="85">
          <cell r="E85" t="str">
            <v>ALL_MONTH_1</v>
          </cell>
          <cell r="F85" t="str">
            <v>Janeiro</v>
          </cell>
          <cell r="G85" t="str">
            <v>January</v>
          </cell>
        </row>
        <row r="86">
          <cell r="E86" t="str">
            <v>ALL_MONTH_2</v>
          </cell>
          <cell r="F86" t="str">
            <v>Fevereiro</v>
          </cell>
          <cell r="G86" t="str">
            <v>February</v>
          </cell>
        </row>
        <row r="87">
          <cell r="E87" t="str">
            <v>ALL_MONTH_3</v>
          </cell>
          <cell r="F87" t="str">
            <v>Março</v>
          </cell>
          <cell r="G87" t="str">
            <v>March</v>
          </cell>
        </row>
        <row r="88">
          <cell r="E88" t="str">
            <v>ALL_MONTH_4</v>
          </cell>
          <cell r="F88" t="str">
            <v>Abril</v>
          </cell>
          <cell r="G88" t="str">
            <v>April</v>
          </cell>
        </row>
        <row r="89">
          <cell r="E89" t="str">
            <v>ALL_MONTH_5</v>
          </cell>
          <cell r="F89" t="str">
            <v>Maio</v>
          </cell>
          <cell r="G89" t="str">
            <v>May</v>
          </cell>
        </row>
        <row r="90">
          <cell r="E90" t="str">
            <v>ALL_MONTH_6</v>
          </cell>
          <cell r="F90" t="str">
            <v>Junho</v>
          </cell>
          <cell r="G90" t="str">
            <v>June</v>
          </cell>
        </row>
        <row r="91">
          <cell r="E91" t="str">
            <v>ALL_MONTH_7</v>
          </cell>
          <cell r="F91" t="str">
            <v>Julho</v>
          </cell>
          <cell r="G91" t="str">
            <v>July</v>
          </cell>
        </row>
        <row r="92">
          <cell r="E92" t="str">
            <v>ALL_MONTH_8</v>
          </cell>
          <cell r="F92" t="str">
            <v>Agosto</v>
          </cell>
          <cell r="G92" t="str">
            <v>August</v>
          </cell>
        </row>
        <row r="93">
          <cell r="E93" t="str">
            <v>ALL_MONTH_9</v>
          </cell>
          <cell r="F93" t="str">
            <v>Setembro</v>
          </cell>
          <cell r="G93" t="str">
            <v>September</v>
          </cell>
        </row>
        <row r="94">
          <cell r="E94" t="str">
            <v>ALL_MONTH_10</v>
          </cell>
          <cell r="F94" t="str">
            <v>Outubro</v>
          </cell>
          <cell r="G94" t="str">
            <v>October</v>
          </cell>
        </row>
        <row r="95">
          <cell r="E95" t="str">
            <v>ALL_MONTH_11</v>
          </cell>
          <cell r="F95" t="str">
            <v>Novembro</v>
          </cell>
          <cell r="G95" t="str">
            <v>November</v>
          </cell>
        </row>
        <row r="96">
          <cell r="E96" t="str">
            <v>ALL_MONTH_12</v>
          </cell>
          <cell r="F96" t="str">
            <v>Dezembro</v>
          </cell>
          <cell r="G96" t="str">
            <v>December</v>
          </cell>
        </row>
        <row r="98">
          <cell r="E98" t="str">
            <v>PLAN_SHEET_NAME_ALL_DATA</v>
          </cell>
          <cell r="F98" t="str">
            <v>Dados</v>
          </cell>
          <cell r="G98" t="str">
            <v>Data</v>
          </cell>
        </row>
        <row r="99">
          <cell r="E99" t="str">
            <v>PLAN_SHEET_NAME_ALL_FRONT</v>
          </cell>
          <cell r="F99" t="str">
            <v>Folha de Rosto</v>
          </cell>
          <cell r="G99" t="str">
            <v>Cover</v>
          </cell>
        </row>
        <row r="100">
          <cell r="E100" t="str">
            <v>PLAN_SHEET_NAME_ALL_DAYPARTS_HORIZ</v>
          </cell>
          <cell r="F100" t="str">
            <v>Períodos Horários Horiz</v>
          </cell>
          <cell r="G100" t="str">
            <v>Day-Parts Horiz</v>
          </cell>
        </row>
        <row r="101">
          <cell r="E101" t="str">
            <v>PLAN_SHEET_NAME_ALL_DAYPARTS_VERT</v>
          </cell>
          <cell r="F101" t="str">
            <v>Períodos Horários Vert</v>
          </cell>
          <cell r="G101" t="str">
            <v>Day-Parts Vert</v>
          </cell>
        </row>
        <row r="102">
          <cell r="E102" t="str">
            <v>PLAN_SHEET_NAME_ALL_DAYPARTS_WEEK_HORIZ</v>
          </cell>
          <cell r="F102" t="str">
            <v>P. Horários Horiz. Dias Úteis</v>
          </cell>
          <cell r="G102" t="str">
            <v>Day-Parts Week Horiz</v>
          </cell>
        </row>
        <row r="103">
          <cell r="E103" t="str">
            <v>PLAN_SHEET_NAME_ALL_DAYPARTS_WEEK_VERT</v>
          </cell>
          <cell r="F103" t="str">
            <v>P. Horários Vert. Dias Úteis</v>
          </cell>
          <cell r="G103" t="str">
            <v>Day-Parts Week Vert</v>
          </cell>
        </row>
        <row r="104">
          <cell r="E104" t="str">
            <v>PLAN_SHEET_NAME_ALL_DAYPARTS_WEEKEND_HORIZ</v>
          </cell>
          <cell r="F104" t="str">
            <v>P. Horários Horiz. Fim de Sem.</v>
          </cell>
          <cell r="G104" t="str">
            <v>Day-Parts Weekend Vert</v>
          </cell>
        </row>
        <row r="105">
          <cell r="E105" t="str">
            <v>PLAN_SHEET_NAME_ALL_DAYPARTS_WEEKEND_VERT</v>
          </cell>
          <cell r="F105" t="str">
            <v>P. Horários Vert. Fim de Sem.</v>
          </cell>
          <cell r="G105" t="str">
            <v>Day-Parts Weekend Horiz</v>
          </cell>
        </row>
        <row r="110">
          <cell r="E110" t="str">
            <v>PLAN_SHEET_NAME_ALL_EVAL_BY_CHANNEL</v>
          </cell>
          <cell r="F110" t="str">
            <v>Avaliação por canal</v>
          </cell>
          <cell r="G110" t="str">
            <v>Evaluation by channel</v>
          </cell>
        </row>
        <row r="111">
          <cell r="E111" t="str">
            <v>PLAN_SHEET_NAME_ALL_EVAL_BY_WEEK</v>
          </cell>
          <cell r="F111" t="str">
            <v>Avaliação por semana</v>
          </cell>
          <cell r="G111" t="str">
            <v>Evaluation by week</v>
          </cell>
        </row>
        <row r="112">
          <cell r="E112" t="str">
            <v>PLAN_SHEET_NAME_ALL_EVAL_BY_WEEKPART</v>
          </cell>
          <cell r="F112" t="str">
            <v>Avaliação por período semanal</v>
          </cell>
          <cell r="G112" t="str">
            <v>Evaluation by week period</v>
          </cell>
        </row>
        <row r="113">
          <cell r="E113" t="str">
            <v>PLAN_SHEET_NAME_ALL_COSTSSMRY</v>
          </cell>
          <cell r="F113" t="str">
            <v>Resumo de Custos</v>
          </cell>
          <cell r="G113" t="str">
            <v>Costs Summary</v>
          </cell>
        </row>
        <row r="114">
          <cell r="E114" t="str">
            <v>PLAN_SHEET_NAME_ALL_RCSTRINGS</v>
          </cell>
          <cell r="F114" t="str">
            <v>Resource-Strings</v>
          </cell>
          <cell r="G114" t="str">
            <v>Resource-Strings</v>
          </cell>
        </row>
        <row r="117">
          <cell r="E117" t="str">
            <v>ALL_WORD_TO</v>
          </cell>
          <cell r="F117" t="str">
            <v>a</v>
          </cell>
          <cell r="G117" t="str">
            <v>to</v>
          </cell>
        </row>
        <row r="118">
          <cell r="E118" t="str">
            <v>ALL_WORD_OF</v>
          </cell>
          <cell r="F118" t="str">
            <v>de</v>
          </cell>
        </row>
        <row r="119">
          <cell r="E119" t="str">
            <v>ALL_WORD_INVESTMENT</v>
          </cell>
          <cell r="F119" t="str">
            <v>INVESTIMENTO</v>
          </cell>
          <cell r="G119" t="str">
            <v>INVESTMENT</v>
          </cell>
        </row>
        <row r="120">
          <cell r="E120" t="str">
            <v>ALL_WORD_GRPS</v>
          </cell>
          <cell r="F120" t="str">
            <v>GRPS</v>
          </cell>
          <cell r="G120" t="str">
            <v>GRPS</v>
          </cell>
        </row>
        <row r="122">
          <cell r="E122" t="str">
            <v>ALL_WORD_VERT_ACC</v>
          </cell>
          <cell r="F122" t="str">
            <v>Acumulação Vertical</v>
          </cell>
          <cell r="G122" t="str">
            <v>Vertical Accumulation</v>
          </cell>
        </row>
        <row r="123">
          <cell r="E123" t="str">
            <v>ALL_WORD_HORIZ_ACC</v>
          </cell>
          <cell r="F123" t="str">
            <v>Acumulação Horizontal</v>
          </cell>
          <cell r="G123" t="str">
            <v>Horizontal Accumulation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>
        <row r="2">
          <cell r="E2">
            <v>0</v>
          </cell>
        </row>
      </sheetData>
      <sheetData sheetId="14">
        <row r="2">
          <cell r="E2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>
        <row r="6">
          <cell r="E6">
            <v>0</v>
          </cell>
        </row>
      </sheetData>
      <sheetData sheetId="2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ed_MSN Fall Fash &amp; Beauty"/>
    </sheetNames>
    <sheetDataSet>
      <sheetData sheetId="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İndirimler ve Tanımlar"/>
      <sheetName val="Ayarlar"/>
      <sheetName val="GRP"/>
      <sheetName val="Plan"/>
      <sheetName val="Rezervasyon"/>
      <sheetName val="Özet"/>
    </sheetNames>
    <sheetDataSet>
      <sheetData sheetId="0" refreshError="1">
        <row r="4">
          <cell r="B4">
            <v>60</v>
          </cell>
        </row>
        <row r="8">
          <cell r="A8" t="str">
            <v>Kopya Uzunlukları</v>
          </cell>
          <cell r="B8" t="str">
            <v>Film Adı</v>
          </cell>
          <cell r="C8" t="str">
            <v>Süre /Sn.</v>
          </cell>
        </row>
        <row r="9">
          <cell r="A9" t="str">
            <v>SÜRE -1</v>
          </cell>
        </row>
        <row r="10">
          <cell r="A10" t="str">
            <v>SÜRE -2</v>
          </cell>
        </row>
        <row r="11">
          <cell r="A11" t="str">
            <v>SÜRE -3</v>
          </cell>
        </row>
        <row r="12">
          <cell r="A12" t="str">
            <v>SÜRE -4</v>
          </cell>
        </row>
        <row r="13">
          <cell r="A13" t="str">
            <v>SÜRE -5</v>
          </cell>
        </row>
        <row r="14">
          <cell r="A14" t="str">
            <v>SÜRE -6</v>
          </cell>
        </row>
        <row r="15">
          <cell r="A15" t="str">
            <v>SÜRE -7</v>
          </cell>
        </row>
        <row r="16">
          <cell r="A16" t="str">
            <v>SÜRE -8</v>
          </cell>
        </row>
        <row r="17">
          <cell r="A17" t="str">
            <v>SÜRE -9</v>
          </cell>
        </row>
      </sheetData>
      <sheetData sheetId="1" refreshError="1">
        <row r="2">
          <cell r="A2" t="str">
            <v>PT-1</v>
          </cell>
          <cell r="B2">
            <v>0.78402777777777777</v>
          </cell>
          <cell r="H2" t="str">
            <v>KAT.</v>
          </cell>
          <cell r="I2" t="str">
            <v>Dilim</v>
          </cell>
        </row>
        <row r="3">
          <cell r="A3" t="str">
            <v>PT-1</v>
          </cell>
          <cell r="B3">
            <v>0.89583333333333337</v>
          </cell>
          <cell r="H3" t="str">
            <v>K-11</v>
          </cell>
          <cell r="I3" t="str">
            <v>ÖZEL</v>
          </cell>
          <cell r="M3" t="str">
            <v>NORMAL SPOT</v>
          </cell>
        </row>
        <row r="4">
          <cell r="A4" t="str">
            <v>PT-2</v>
          </cell>
          <cell r="B4">
            <v>0.89584490740740741</v>
          </cell>
          <cell r="H4" t="str">
            <v>K-10</v>
          </cell>
          <cell r="I4" t="str">
            <v>TOP PT</v>
          </cell>
          <cell r="M4" t="str">
            <v>FREE SPOT</v>
          </cell>
        </row>
        <row r="5">
          <cell r="A5" t="str">
            <v>PT-2</v>
          </cell>
          <cell r="B5">
            <v>0.97916666666666663</v>
          </cell>
          <cell r="H5" t="str">
            <v>K-9</v>
          </cell>
          <cell r="I5" t="str">
            <v>PT</v>
          </cell>
          <cell r="M5" t="str">
            <v>BANT</v>
          </cell>
        </row>
        <row r="6">
          <cell r="A6" t="str">
            <v>PT</v>
          </cell>
          <cell r="B6">
            <v>0.97916666666666663</v>
          </cell>
          <cell r="H6" t="str">
            <v>K-8</v>
          </cell>
          <cell r="I6" t="str">
            <v>OPT</v>
          </cell>
        </row>
        <row r="7">
          <cell r="A7" t="str">
            <v>PT</v>
          </cell>
          <cell r="B7">
            <v>0.99998842592592585</v>
          </cell>
          <cell r="H7" t="str">
            <v>K-7</v>
          </cell>
          <cell r="I7" t="str">
            <v>OPT</v>
          </cell>
        </row>
        <row r="8">
          <cell r="H8" t="str">
            <v>K-6</v>
          </cell>
          <cell r="I8" t="str">
            <v>OPT</v>
          </cell>
        </row>
        <row r="9">
          <cell r="H9" t="str">
            <v>K-5</v>
          </cell>
          <cell r="I9" t="str">
            <v>PT LATE</v>
          </cell>
        </row>
        <row r="14">
          <cell r="H14" t="str">
            <v>KO11</v>
          </cell>
          <cell r="I14" t="str">
            <v>ÖZEL</v>
          </cell>
        </row>
        <row r="15">
          <cell r="H15" t="str">
            <v>KO10</v>
          </cell>
          <cell r="I15" t="str">
            <v>TOP PT</v>
          </cell>
        </row>
        <row r="16">
          <cell r="H16" t="str">
            <v>KO9</v>
          </cell>
          <cell r="I16" t="str">
            <v>PT</v>
          </cell>
        </row>
        <row r="17">
          <cell r="H17" t="str">
            <v>KO8</v>
          </cell>
          <cell r="I17" t="str">
            <v>OPT</v>
          </cell>
        </row>
        <row r="18">
          <cell r="H18" t="str">
            <v>KO7</v>
          </cell>
          <cell r="I18" t="str">
            <v>OPT</v>
          </cell>
        </row>
        <row r="19">
          <cell r="H19" t="str">
            <v>KO6</v>
          </cell>
          <cell r="I19" t="str">
            <v>OPT</v>
          </cell>
        </row>
        <row r="20">
          <cell r="H20" t="str">
            <v>KO5</v>
          </cell>
          <cell r="I20" t="str">
            <v>PT LATE</v>
          </cell>
        </row>
      </sheetData>
      <sheetData sheetId="2" refreshError="1">
        <row r="3">
          <cell r="G3" t="str">
            <v>Adults</v>
          </cell>
          <cell r="H3" t="str">
            <v>Adults AB</v>
          </cell>
          <cell r="I3" t="str">
            <v>Adults ABC1</v>
          </cell>
          <cell r="J3" t="str">
            <v>Adults ABC1C2</v>
          </cell>
          <cell r="K3" t="str">
            <v>Adults C1</v>
          </cell>
          <cell r="L3" t="str">
            <v>Adults C2</v>
          </cell>
          <cell r="M3" t="str">
            <v>Adults C2D</v>
          </cell>
          <cell r="N3" t="str">
            <v>Adults C1C2D</v>
          </cell>
          <cell r="O3" t="str">
            <v>Adults D</v>
          </cell>
          <cell r="P3" t="str">
            <v>Age 05-11</v>
          </cell>
          <cell r="Q3" t="str">
            <v>Age 05-11 AB</v>
          </cell>
          <cell r="R3" t="str">
            <v>Age 05-11 ABC1</v>
          </cell>
          <cell r="S3" t="str">
            <v>Age 05-11 ABC1C2</v>
          </cell>
          <cell r="T3" t="str">
            <v>Age 05-11 C1</v>
          </cell>
          <cell r="U3" t="str">
            <v>Age 05-11 C2</v>
          </cell>
          <cell r="V3" t="str">
            <v>Age 05-11 C2D</v>
          </cell>
          <cell r="W3" t="str">
            <v>Age 05-11 D</v>
          </cell>
          <cell r="X3" t="str">
            <v>Age 05-19</v>
          </cell>
          <cell r="Y3" t="str">
            <v>Age 05-19 AB</v>
          </cell>
          <cell r="Z3" t="str">
            <v>Age 05-19 ABC1</v>
          </cell>
          <cell r="AA3" t="str">
            <v>Age 05-19 C1</v>
          </cell>
          <cell r="AB3" t="str">
            <v>Age 05-19 C2</v>
          </cell>
          <cell r="AC3" t="str">
            <v>Age 05-19 C2D</v>
          </cell>
          <cell r="AD3" t="str">
            <v>Age 05-19 D</v>
          </cell>
          <cell r="AE3" t="str">
            <v>Age 05-34</v>
          </cell>
          <cell r="AF3" t="str">
            <v>Age 05-34 AB</v>
          </cell>
          <cell r="AG3" t="str">
            <v>Age 05-34 ABC1</v>
          </cell>
          <cell r="AH3" t="str">
            <v>Age 05-34 C1</v>
          </cell>
          <cell r="AI3" t="str">
            <v>Age 05-34 C2</v>
          </cell>
          <cell r="AJ3" t="str">
            <v>Age 05-34 C2D</v>
          </cell>
          <cell r="AK3" t="str">
            <v>Age 05-34 D</v>
          </cell>
          <cell r="AL3" t="str">
            <v>Age 12+</v>
          </cell>
          <cell r="AM3" t="str">
            <v>Age 12-14</v>
          </cell>
          <cell r="AN3" t="str">
            <v>Age 12-19</v>
          </cell>
          <cell r="AO3" t="str">
            <v>Age 12-19 AB</v>
          </cell>
          <cell r="AP3" t="str">
            <v>Age 12-19 ABC1</v>
          </cell>
          <cell r="AQ3" t="str">
            <v>Age 12-19 C1</v>
          </cell>
          <cell r="AR3" t="str">
            <v>Age 12-19 C1C2</v>
          </cell>
          <cell r="AS3" t="str">
            <v>Age 12-19 C2</v>
          </cell>
          <cell r="AT3" t="str">
            <v>Age 12-19 C2D</v>
          </cell>
          <cell r="AU3" t="str">
            <v>Age 12-19 D</v>
          </cell>
          <cell r="AV3" t="str">
            <v>Age 12-24</v>
          </cell>
          <cell r="AW3" t="str">
            <v>Age 12-34</v>
          </cell>
          <cell r="AX3" t="str">
            <v>Age 12-34 AB</v>
          </cell>
          <cell r="AY3" t="str">
            <v>Age 12-34 ABC1</v>
          </cell>
          <cell r="AZ3" t="str">
            <v>Age 12-34 C1</v>
          </cell>
          <cell r="BA3" t="str">
            <v>Age 12-34 C1C2</v>
          </cell>
          <cell r="BB3" t="str">
            <v>Age 12-34 C2</v>
          </cell>
          <cell r="BC3" t="str">
            <v>Age 12-34 C2D</v>
          </cell>
          <cell r="BD3" t="str">
            <v>Age 12-34 D</v>
          </cell>
          <cell r="BE3" t="str">
            <v>Age 12-44</v>
          </cell>
          <cell r="BF3" t="str">
            <v>Age 12-44 AB</v>
          </cell>
          <cell r="BG3" t="str">
            <v>Age 12-44 ABC1</v>
          </cell>
          <cell r="BH3" t="str">
            <v>Age 12-44 C1C2</v>
          </cell>
          <cell r="BI3" t="str">
            <v>Age 15+</v>
          </cell>
          <cell r="BJ3" t="str">
            <v>Age 15+ AB</v>
          </cell>
          <cell r="BK3" t="str">
            <v>Age 15+ ABC1</v>
          </cell>
          <cell r="BL3" t="str">
            <v>Age 15+ C1</v>
          </cell>
          <cell r="BM3" t="str">
            <v>Age 15+ C2</v>
          </cell>
          <cell r="BN3" t="str">
            <v>Age 15+ C2D</v>
          </cell>
          <cell r="BO3" t="str">
            <v>Age 15+ D</v>
          </cell>
          <cell r="BP3" t="str">
            <v>Age 15-19</v>
          </cell>
          <cell r="BQ3" t="str">
            <v>Age 15-19 AB</v>
          </cell>
          <cell r="BR3" t="str">
            <v>Age 15-19 ABC1</v>
          </cell>
          <cell r="BS3" t="str">
            <v>Age 15-24</v>
          </cell>
          <cell r="BT3" t="str">
            <v>Age 15-24 ABC1</v>
          </cell>
          <cell r="BU3" t="str">
            <v>Age 15-34</v>
          </cell>
          <cell r="BV3" t="str">
            <v>Age 15-34 AB</v>
          </cell>
          <cell r="BW3" t="str">
            <v>Age 15-34 ABC1</v>
          </cell>
          <cell r="BX3" t="str">
            <v>Age 15-34 ABC1C2</v>
          </cell>
          <cell r="BY3" t="str">
            <v>Age 15-44</v>
          </cell>
          <cell r="BZ3" t="str">
            <v>Age 15-44 AB</v>
          </cell>
          <cell r="CA3" t="str">
            <v>Age 15-44 ABC1</v>
          </cell>
          <cell r="CB3" t="str">
            <v>Age 15-44 ABC1C2</v>
          </cell>
          <cell r="CC3" t="str">
            <v>Age 15-44 C1</v>
          </cell>
          <cell r="CD3" t="str">
            <v>Age 15-44 C2</v>
          </cell>
          <cell r="CE3" t="str">
            <v>Age 15-44 C2D</v>
          </cell>
          <cell r="CF3" t="str">
            <v>Age 15-44 C1C2</v>
          </cell>
          <cell r="CG3" t="str">
            <v>Age 15-44 D</v>
          </cell>
          <cell r="CH3" t="str">
            <v>Age 20-24</v>
          </cell>
          <cell r="CI3" t="str">
            <v>Age 20-34</v>
          </cell>
          <cell r="CJ3" t="str">
            <v>Age 20-34 AB</v>
          </cell>
          <cell r="CK3" t="str">
            <v>Age 20-34 ABC1</v>
          </cell>
          <cell r="CL3" t="str">
            <v>Age 20-34 ABC1C2</v>
          </cell>
          <cell r="CM3" t="str">
            <v>Age 20-44</v>
          </cell>
          <cell r="CN3" t="str">
            <v>Age 20-44 AB</v>
          </cell>
          <cell r="CO3" t="str">
            <v>Age 20-44 ABC1</v>
          </cell>
          <cell r="CP3" t="str">
            <v>Age 20-44 ABC1C2</v>
          </cell>
          <cell r="CQ3" t="str">
            <v>Age 20-44 C1</v>
          </cell>
          <cell r="CR3" t="str">
            <v>Age 20-44 C1C2</v>
          </cell>
          <cell r="CS3" t="str">
            <v>Age 20-44 C2</v>
          </cell>
          <cell r="CT3" t="str">
            <v>Age 20-44 C2D</v>
          </cell>
          <cell r="CU3" t="str">
            <v>Age 20-44 D</v>
          </cell>
          <cell r="CV3" t="str">
            <v>Age 25+</v>
          </cell>
          <cell r="CW3" t="str">
            <v>Age 25+ AB</v>
          </cell>
          <cell r="CX3" t="str">
            <v>Age 25+ ABC1</v>
          </cell>
          <cell r="CY3" t="str">
            <v>Age 25+ ABC1C2</v>
          </cell>
          <cell r="CZ3" t="str">
            <v>Age 25-34</v>
          </cell>
          <cell r="DA3" t="str">
            <v>Age 25-44 ABC1</v>
          </cell>
          <cell r="DB3" t="str">
            <v>Age 25-44 ABC1C2</v>
          </cell>
          <cell r="DC3" t="str">
            <v>Age 35+</v>
          </cell>
          <cell r="DD3" t="str">
            <v>Age 35+ AB</v>
          </cell>
          <cell r="DE3" t="str">
            <v>Age 35+ ABC1</v>
          </cell>
          <cell r="DF3" t="str">
            <v>Age 35-44</v>
          </cell>
          <cell r="DG3" t="str">
            <v>Age 35-44 ABC1</v>
          </cell>
          <cell r="DH3" t="str">
            <v>Age 45+</v>
          </cell>
          <cell r="DI3" t="str">
            <v>F</v>
          </cell>
          <cell r="DJ3" t="str">
            <v>F 12-34</v>
          </cell>
          <cell r="DK3" t="str">
            <v>F 12-34 C1</v>
          </cell>
          <cell r="DL3" t="str">
            <v>F 12-44</v>
          </cell>
          <cell r="DM3" t="str">
            <v>F 12-44 ABC1</v>
          </cell>
          <cell r="DN3" t="str">
            <v>F 15+ ABC1</v>
          </cell>
          <cell r="DO3" t="str">
            <v>F 15+ ABC1C2</v>
          </cell>
          <cell r="DP3" t="str">
            <v>F 15-19</v>
          </cell>
          <cell r="DQ3" t="str">
            <v>F 15-24</v>
          </cell>
          <cell r="DR3" t="str">
            <v>F 15-34 ABC1</v>
          </cell>
          <cell r="DS3" t="str">
            <v>F 15-44</v>
          </cell>
          <cell r="DT3" t="str">
            <v>F 15-44 AB</v>
          </cell>
          <cell r="DU3" t="str">
            <v>F 15-44 ABC1</v>
          </cell>
          <cell r="DV3" t="str">
            <v>F 15-44 C1</v>
          </cell>
          <cell r="DW3" t="str">
            <v>F 15-44 C2</v>
          </cell>
          <cell r="DX3" t="str">
            <v>F 15-44 C2D</v>
          </cell>
          <cell r="DY3" t="str">
            <v>F 15-44 D</v>
          </cell>
          <cell r="DZ3" t="str">
            <v>F 20+</v>
          </cell>
          <cell r="EA3" t="str">
            <v>F 20+ AB</v>
          </cell>
          <cell r="EB3" t="str">
            <v>F 20+ ABC1</v>
          </cell>
          <cell r="EC3" t="str">
            <v>F 20+ ABC1C2</v>
          </cell>
          <cell r="ED3" t="str">
            <v>F 20+ C1</v>
          </cell>
          <cell r="EE3" t="str">
            <v>F 20+ C2</v>
          </cell>
          <cell r="EF3" t="str">
            <v>F 20+ C2D</v>
          </cell>
          <cell r="EG3" t="str">
            <v>F 20+ D</v>
          </cell>
          <cell r="EH3" t="str">
            <v>F 20-34</v>
          </cell>
          <cell r="EI3" t="str">
            <v>F 20-34 AB</v>
          </cell>
          <cell r="EJ3" t="str">
            <v>F 20-34 ABC1</v>
          </cell>
          <cell r="EK3" t="str">
            <v>F 20-34 ABC1C2</v>
          </cell>
          <cell r="EL3" t="str">
            <v>F 20-44</v>
          </cell>
          <cell r="EM3" t="str">
            <v>F 20-44 AB</v>
          </cell>
          <cell r="EN3" t="str">
            <v>F 20-44 ABC1</v>
          </cell>
          <cell r="EO3" t="str">
            <v>F 20-44 ABC1C2</v>
          </cell>
          <cell r="EP3" t="str">
            <v>F 20-44 C1</v>
          </cell>
          <cell r="EQ3" t="str">
            <v>F 20-44 C2</v>
          </cell>
          <cell r="ER3" t="str">
            <v>F 20-44 C2D</v>
          </cell>
          <cell r="ES3" t="str">
            <v>F 20-44 D</v>
          </cell>
          <cell r="ET3" t="str">
            <v>F 25+ ABC1</v>
          </cell>
          <cell r="EU3" t="str">
            <v>F 25-34 ABC1</v>
          </cell>
          <cell r="EV3" t="str">
            <v>F 25-44 ABC1</v>
          </cell>
          <cell r="EW3" t="str">
            <v>F 25-44 ABC1C2</v>
          </cell>
          <cell r="EX3" t="str">
            <v>F 35-44 C2D</v>
          </cell>
          <cell r="EY3" t="str">
            <v>F C1C2</v>
          </cell>
          <cell r="EZ3" t="str">
            <v>Housekeeper</v>
          </cell>
          <cell r="FA3" t="str">
            <v>Housekeeper 20-44</v>
          </cell>
          <cell r="FB3" t="str">
            <v>Housekeeper 20-44 AB</v>
          </cell>
          <cell r="FC3" t="str">
            <v>Housekeeper 20-44 ABC1</v>
          </cell>
          <cell r="FD3" t="str">
            <v>Housekeeper AB</v>
          </cell>
          <cell r="FE3" t="str">
            <v>Housekeeper ABC1</v>
          </cell>
          <cell r="FF3" t="str">
            <v>Housekeeper ABC1C2</v>
          </cell>
          <cell r="FG3" t="str">
            <v>Housekeeper C1</v>
          </cell>
          <cell r="FH3" t="str">
            <v>Housekeeper C2</v>
          </cell>
          <cell r="FI3" t="str">
            <v>Housekeeper C2D</v>
          </cell>
          <cell r="FJ3" t="str">
            <v>Housewife</v>
          </cell>
          <cell r="FK3" t="str">
            <v>Housewife 20+</v>
          </cell>
          <cell r="FL3" t="str">
            <v>Housewife 20+ ABC1</v>
          </cell>
          <cell r="FM3" t="str">
            <v>Housewife 20-44</v>
          </cell>
          <cell r="FN3" t="str">
            <v>Housewife 20-44 ABC1</v>
          </cell>
          <cell r="FO3" t="str">
            <v>Housewife 20-44 ABC1C2</v>
          </cell>
          <cell r="FP3" t="str">
            <v>Housewife 20-44 C1C2</v>
          </cell>
          <cell r="FQ3" t="str">
            <v>Housewife 25-44 ABC1C2</v>
          </cell>
          <cell r="FR3" t="str">
            <v>Housewife AB</v>
          </cell>
          <cell r="FS3" t="str">
            <v>Housewife ABC1</v>
          </cell>
          <cell r="FT3" t="str">
            <v>Housewife ABC1C2</v>
          </cell>
          <cell r="FU3" t="str">
            <v>Housewife C1</v>
          </cell>
          <cell r="FV3" t="str">
            <v>Housewife C1C2</v>
          </cell>
          <cell r="FW3" t="str">
            <v>Housewife C1C2D</v>
          </cell>
          <cell r="FX3" t="str">
            <v>Housewife C2</v>
          </cell>
          <cell r="FY3" t="str">
            <v>Housewife C2D</v>
          </cell>
          <cell r="FZ3" t="str">
            <v>Housewife D</v>
          </cell>
          <cell r="GA3" t="str">
            <v>M</v>
          </cell>
          <cell r="GB3" t="str">
            <v>M 12+</v>
          </cell>
          <cell r="GC3" t="str">
            <v>M 12+ ABC1</v>
          </cell>
          <cell r="GD3" t="str">
            <v>M 12-19</v>
          </cell>
          <cell r="GE3" t="str">
            <v>M 15-19</v>
          </cell>
          <cell r="GF3" t="str">
            <v>M 15-19 ABC1</v>
          </cell>
          <cell r="GG3" t="str">
            <v>M 15-24</v>
          </cell>
          <cell r="GH3" t="str">
            <v>M 15-24 ABC1</v>
          </cell>
          <cell r="GI3" t="str">
            <v>M 15-34 ABC1</v>
          </cell>
          <cell r="GJ3" t="str">
            <v>M 15-34 ABC1C2</v>
          </cell>
          <cell r="GK3" t="str">
            <v>M 15-44</v>
          </cell>
          <cell r="GL3" t="str">
            <v>M 15-44 ABC1</v>
          </cell>
          <cell r="GM3" t="str">
            <v>M 20+</v>
          </cell>
          <cell r="GN3" t="str">
            <v>M 20+ AB</v>
          </cell>
          <cell r="GO3" t="str">
            <v>M 20+ ABC1</v>
          </cell>
          <cell r="GP3" t="str">
            <v>M 20+ ABC1C2</v>
          </cell>
          <cell r="GQ3" t="str">
            <v>M 20+ C1</v>
          </cell>
          <cell r="GR3" t="str">
            <v>M 20+ C1C2</v>
          </cell>
          <cell r="GS3" t="str">
            <v>M 20+ C2</v>
          </cell>
          <cell r="GT3" t="str">
            <v>M 20+ C2D</v>
          </cell>
          <cell r="GU3" t="str">
            <v>M 20+ D</v>
          </cell>
          <cell r="GV3" t="str">
            <v>M 20-34</v>
          </cell>
          <cell r="GW3" t="str">
            <v>M 20-34 ABC1</v>
          </cell>
          <cell r="GX3" t="str">
            <v>M 20-34 C1C2</v>
          </cell>
          <cell r="GY3" t="str">
            <v>M 20-44</v>
          </cell>
          <cell r="GZ3" t="str">
            <v>M 20-44 AB</v>
          </cell>
          <cell r="HA3" t="str">
            <v>M 20-44 ABC1</v>
          </cell>
          <cell r="HB3" t="str">
            <v>M 20-44 C1C2</v>
          </cell>
          <cell r="HC3" t="str">
            <v>M 25+</v>
          </cell>
          <cell r="HD3" t="str">
            <v>M 25+ AB</v>
          </cell>
          <cell r="HE3" t="str">
            <v>M 25+ ABC1</v>
          </cell>
          <cell r="HF3" t="str">
            <v>M 25+ ABC1C2</v>
          </cell>
          <cell r="HG3" t="str">
            <v>M 25+ C1C2D</v>
          </cell>
          <cell r="HH3" t="str">
            <v>M 25-44 ABC1</v>
          </cell>
          <cell r="HI3" t="str">
            <v>M 25-44 ABC1C2</v>
          </cell>
          <cell r="HJ3" t="str">
            <v>M 25-44 C1C2</v>
          </cell>
          <cell r="HK3" t="str">
            <v>M 35+ AB</v>
          </cell>
          <cell r="HL3" t="str">
            <v>M 35+ ABC1</v>
          </cell>
          <cell r="HM3" t="str">
            <v>M 35-44</v>
          </cell>
          <cell r="HN3" t="str">
            <v>M 35-44 AB</v>
          </cell>
          <cell r="HO3" t="str">
            <v>M 35-44 ABC1</v>
          </cell>
          <cell r="HP3" t="str">
            <v>Ses AB</v>
          </cell>
          <cell r="HQ3" t="str">
            <v>Ses ABC1</v>
          </cell>
          <cell r="HR3" t="str">
            <v>Ses C1</v>
          </cell>
          <cell r="HS3" t="str">
            <v>Ses C1C2</v>
          </cell>
          <cell r="HT3" t="str">
            <v>Ses C2</v>
          </cell>
          <cell r="HU3" t="str">
            <v>Ses C2D</v>
          </cell>
          <cell r="HV3" t="str">
            <v>Ses D</v>
          </cell>
          <cell r="HW3" t="str">
            <v>Total Individuals</v>
          </cell>
        </row>
        <row r="4">
          <cell r="B4" t="str">
            <v>BİRLEŞTİR2</v>
          </cell>
        </row>
        <row r="5">
          <cell r="B5" t="str">
            <v>HABER 32. GUN     -     KO6</v>
          </cell>
        </row>
        <row r="6">
          <cell r="B6" t="str">
            <v>HABER 32. GUN     -     K-6</v>
          </cell>
        </row>
        <row r="7">
          <cell r="B7" t="str">
            <v>TARTISMA ABBAS GUCLU ILE GENC BAKIS     -     KO6</v>
          </cell>
        </row>
        <row r="8">
          <cell r="B8" t="str">
            <v>TARTISMA ABBAS GUCLU ILE GENC BAKIS     -     K-6</v>
          </cell>
        </row>
        <row r="9">
          <cell r="B9" t="str">
            <v>ALLAH'IN KILICI     -     KO5</v>
          </cell>
        </row>
        <row r="10">
          <cell r="B10" t="str">
            <v>ALLAH'IN KILICI     -     K-5</v>
          </cell>
        </row>
        <row r="11">
          <cell r="B11" t="str">
            <v>ALLAH'IN KILICI     -     KO9</v>
          </cell>
        </row>
        <row r="12">
          <cell r="B12" t="str">
            <v>ALLAH'IN KILICI     -     K-9</v>
          </cell>
        </row>
        <row r="13">
          <cell r="B13" t="str">
            <v>ALLAH'IN KILICI (TKR)     -     KO6</v>
          </cell>
        </row>
        <row r="14">
          <cell r="B14" t="str">
            <v>ALLAH'IN KILICI (TKR)     -     K-6</v>
          </cell>
        </row>
        <row r="15">
          <cell r="B15" t="str">
            <v>ANNEM     -     KO10</v>
          </cell>
        </row>
        <row r="16">
          <cell r="B16" t="str">
            <v>ANNEM     -     K-10</v>
          </cell>
        </row>
        <row r="17">
          <cell r="B17" t="str">
            <v>ANNEM (TKR)     -     KO7</v>
          </cell>
        </row>
        <row r="18">
          <cell r="B18" t="str">
            <v>ANNEM (TKR)     -     K-7</v>
          </cell>
        </row>
        <row r="19">
          <cell r="B19" t="str">
            <v>HABER ARENA     -     KO6</v>
          </cell>
        </row>
        <row r="20">
          <cell r="B20" t="str">
            <v>HABER ARENA     -     K-6</v>
          </cell>
        </row>
        <row r="21">
          <cell r="B21" t="str">
            <v>ARKA SOKAKLAR     -     KO10</v>
          </cell>
        </row>
        <row r="22">
          <cell r="B22" t="str">
            <v>ARKA SOKAKLAR     -     K-10</v>
          </cell>
        </row>
        <row r="23">
          <cell r="B23" t="str">
            <v>YERLI DIZI  TEKRAR     -     KO8</v>
          </cell>
        </row>
        <row r="24">
          <cell r="B24" t="str">
            <v>YERLI DIZI  TEKRAR     -     K-8</v>
          </cell>
        </row>
        <row r="25">
          <cell r="B25" t="str">
            <v>ARKA SOKAKLAR (TKR)     -     KO7</v>
          </cell>
        </row>
        <row r="26">
          <cell r="B26" t="str">
            <v>BICAK SIRTI     -     KO11</v>
          </cell>
        </row>
        <row r="27">
          <cell r="B27" t="str">
            <v>BICAK SIRTI     -     K-11</v>
          </cell>
        </row>
        <row r="28">
          <cell r="B28" t="str">
            <v>BICAK SIRTI (OZEL)     -     OZEL KAT.(O)</v>
          </cell>
        </row>
        <row r="29">
          <cell r="B29" t="str">
            <v>BICAK SIRTI (TKR)     -     KO9</v>
          </cell>
        </row>
        <row r="30">
          <cell r="B30" t="str">
            <v>BICAK SIRTI (TKR)     -     K-9</v>
          </cell>
        </row>
        <row r="31">
          <cell r="B31" t="str">
            <v>BICAK SIRTI (TKR)     -     KO7</v>
          </cell>
        </row>
        <row r="32">
          <cell r="B32" t="str">
            <v>BICAK SIRTI (TKR)     -     K-7</v>
          </cell>
        </row>
        <row r="33">
          <cell r="B33" t="str">
            <v>BINBIR GECE     -     KO11</v>
          </cell>
        </row>
        <row r="34">
          <cell r="B34" t="str">
            <v>BINBIR GECE     -     K-11</v>
          </cell>
        </row>
        <row r="35">
          <cell r="B35" t="str">
            <v>BINBIR GECE OZET     -     KO10</v>
          </cell>
        </row>
        <row r="36">
          <cell r="B36" t="str">
            <v>BINBIR GECE OZET     -     K-10</v>
          </cell>
        </row>
        <row r="37">
          <cell r="B37" t="str">
            <v>CANLI CANLI     -     KO9</v>
          </cell>
        </row>
        <row r="38">
          <cell r="B38" t="str">
            <v>CANLI CANLI     -     K-9</v>
          </cell>
        </row>
        <row r="39">
          <cell r="B39" t="str">
            <v>CIRKIN ORDEK YAVRUSU ILE FARECIK (Y.S)     -     OZEL KAT.(O)</v>
          </cell>
        </row>
        <row r="40">
          <cell r="B40" t="str">
            <v>CIRKIN ORDEK YAVRUSU ILE FARECIK (Y.S)     -     OZEL KAT.</v>
          </cell>
        </row>
        <row r="41">
          <cell r="B41" t="str">
            <v>MAGAZIN  DOBRA DOBRA     -     KO7</v>
          </cell>
        </row>
        <row r="42">
          <cell r="B42" t="str">
            <v>MAGAZIN  DOBRA DOBRA     -     K-7</v>
          </cell>
        </row>
        <row r="43">
          <cell r="B43" t="str">
            <v>ELVEDA DERKEN     -     KO10</v>
          </cell>
        </row>
        <row r="44">
          <cell r="B44" t="str">
            <v>ELVEDA DERKEN     -     K-10</v>
          </cell>
        </row>
        <row r="45">
          <cell r="B45" t="str">
            <v>KADIN  ESRA CEYHAN'LA     -     KO8</v>
          </cell>
        </row>
        <row r="46">
          <cell r="B46" t="str">
            <v>KADIN  ESRA CEYHAN'LA     -     K-8</v>
          </cell>
        </row>
        <row r="47">
          <cell r="B47" t="str">
            <v>MAGAZIN  GENC MAGAZIN     -     KO7</v>
          </cell>
        </row>
        <row r="48">
          <cell r="B48" t="str">
            <v>MAGAZIN  GENC MAGAZIN     -     K-7</v>
          </cell>
        </row>
        <row r="49">
          <cell r="B49" t="str">
            <v>GENCO     -     KO10</v>
          </cell>
        </row>
        <row r="50">
          <cell r="B50" t="str">
            <v>GENCO     -     K-10</v>
          </cell>
        </row>
        <row r="51">
          <cell r="B51" t="str">
            <v>KANAL D ANA HABER BULTENI     -     KO10</v>
          </cell>
        </row>
        <row r="52">
          <cell r="B52" t="str">
            <v>KANAL D ANA HABER BULTENI     -     K-10</v>
          </cell>
        </row>
        <row r="53">
          <cell r="B53" t="str">
            <v>KAVAK YELLERI     -     KO10</v>
          </cell>
        </row>
        <row r="54">
          <cell r="B54" t="str">
            <v>KAVAK YELLERI     -     K-10</v>
          </cell>
        </row>
        <row r="55">
          <cell r="B55" t="str">
            <v>KAVAK YELLERI (TKR)     -     KO9</v>
          </cell>
        </row>
        <row r="56">
          <cell r="B56" t="str">
            <v>KAVAK YELLERI (TKR)     -     K-9</v>
          </cell>
        </row>
        <row r="57">
          <cell r="B57" t="str">
            <v>EGLENCE KOCA KAFALAR     -     KO9</v>
          </cell>
        </row>
        <row r="58">
          <cell r="B58" t="str">
            <v>EGLENCE KOCA KAFALAR     -     K-9</v>
          </cell>
        </row>
        <row r="59">
          <cell r="B59" t="str">
            <v>EGLENCE KOCA KAFALAR  TEKRAR     -     KO5</v>
          </cell>
        </row>
        <row r="60">
          <cell r="B60" t="str">
            <v>EGLENCE KOCA KAFALAR  TEKRAR     -     K-5</v>
          </cell>
        </row>
        <row r="61">
          <cell r="B61" t="str">
            <v>KOCA KAFALAR (TKR)     -     KO3</v>
          </cell>
        </row>
        <row r="62">
          <cell r="B62" t="str">
            <v>KOCA KAFALAR (TKR)     -     K-3</v>
          </cell>
        </row>
        <row r="63">
          <cell r="B63" t="str">
            <v>KOKPIT     -     KO2</v>
          </cell>
        </row>
        <row r="64">
          <cell r="B64" t="str">
            <v>KOKPIT     -     K-2</v>
          </cell>
        </row>
        <row r="65">
          <cell r="B65" t="str">
            <v>MAGAZIN  MAGAZIN D     -     KO8</v>
          </cell>
        </row>
        <row r="66">
          <cell r="B66" t="str">
            <v>MAGAZIN  MAGAZIN D     -     K-8</v>
          </cell>
        </row>
        <row r="67">
          <cell r="B67" t="str">
            <v>MENEKSE ILE HALIL     -     KO10</v>
          </cell>
        </row>
        <row r="68">
          <cell r="B68" t="str">
            <v>MENEKSE ILE HALIL     -     K-10</v>
          </cell>
        </row>
        <row r="69">
          <cell r="B69" t="str">
            <v>MENEKSE ILE HALIL (TKR)     -     KO9</v>
          </cell>
        </row>
        <row r="70">
          <cell r="B70" t="str">
            <v>MENEKSE ILE HALIL (TKR)     -     K-9</v>
          </cell>
        </row>
        <row r="71">
          <cell r="B71" t="str">
            <v>MENEKSE ILE HALIL (TKR)     -     KO4</v>
          </cell>
        </row>
        <row r="72">
          <cell r="B72" t="str">
            <v>MENEKSE ILE HALIL (TKR)     -     K-4</v>
          </cell>
        </row>
        <row r="73">
          <cell r="B73" t="str">
            <v>OYUN BITTI     -     KO10</v>
          </cell>
        </row>
        <row r="74">
          <cell r="B74" t="str">
            <v>OYUN BITTI     -     K-10</v>
          </cell>
        </row>
        <row r="75">
          <cell r="B75" t="str">
            <v>OYUN BITTI (TKR)     -     KO9</v>
          </cell>
        </row>
        <row r="76">
          <cell r="B76" t="str">
            <v>OYUN BITTI (TKR)     -     K-9</v>
          </cell>
        </row>
        <row r="77">
          <cell r="B77" t="str">
            <v>EGLENCE  SABAHLARIN SULTANI     -     KO9</v>
          </cell>
        </row>
        <row r="78">
          <cell r="B78" t="str">
            <v>EGLENCE  SABAHLARIN SULTANI     -     K-9</v>
          </cell>
        </row>
        <row r="79">
          <cell r="B79" t="str">
            <v>SIHIRLI ANNEM (TKR)     -     KO1</v>
          </cell>
        </row>
        <row r="80">
          <cell r="B80" t="str">
            <v>SIHIRLI ANNEM (TKR)     -     K-1</v>
          </cell>
        </row>
        <row r="81">
          <cell r="B81" t="str">
            <v>SIHIRLI ANNEM     -     KO5</v>
          </cell>
        </row>
        <row r="82">
          <cell r="B82" t="str">
            <v>SIHIRLI ANNEM     -     K-5</v>
          </cell>
        </row>
        <row r="83">
          <cell r="B83" t="str">
            <v>SOUND WAVE     -     KO6</v>
          </cell>
        </row>
        <row r="84">
          <cell r="B84" t="str">
            <v>HABER SULE ILE GUN ARASI     -     KO7</v>
          </cell>
        </row>
        <row r="85">
          <cell r="B85" t="str">
            <v>SUPER KAHRAMANLAR     -     KO5</v>
          </cell>
        </row>
        <row r="86">
          <cell r="B86" t="str">
            <v>TUPU     -     KO5</v>
          </cell>
        </row>
        <row r="87">
          <cell r="B87" t="str">
            <v>VAY ANAM VAY     -     KO5</v>
          </cell>
        </row>
        <row r="88">
          <cell r="B88" t="str">
            <v>WINX CLUB     -     KO5</v>
          </cell>
        </row>
        <row r="89">
          <cell r="B89" t="str">
            <v>YABANCI DAMAT  TEKRAR     -     KO9</v>
          </cell>
        </row>
        <row r="90">
          <cell r="B90" t="str">
            <v>YABANCI DAMAT  TEKRAR     -     K-9</v>
          </cell>
        </row>
        <row r="91">
          <cell r="B91" t="str">
            <v>YAPRAK DOKUMU     -     KO11</v>
          </cell>
        </row>
        <row r="92">
          <cell r="B92" t="str">
            <v>YAPRAK DOKUMU     -     K-11</v>
          </cell>
        </row>
        <row r="93">
          <cell r="B93" t="str">
            <v>YAPRAK DOKUMU (TKR)     -     KO7</v>
          </cell>
        </row>
        <row r="94">
          <cell r="B94" t="str">
            <v>YAPRAK DOKUMU (TKR)     -     K-7</v>
          </cell>
        </row>
        <row r="95">
          <cell r="B95" t="str">
            <v>ZORAKI KOCA     -     KO10</v>
          </cell>
        </row>
        <row r="96">
          <cell r="B96" t="str">
            <v>ZORAKI KOCA     -     K-10</v>
          </cell>
        </row>
        <row r="97">
          <cell r="B97" t="str">
            <v>ZORAKI KOCA (TKR)     -     KO7</v>
          </cell>
        </row>
        <row r="98">
          <cell r="B98" t="str">
            <v>ZORAKI KOCA (TKR)     -     K-7</v>
          </cell>
        </row>
        <row r="99">
          <cell r="B99" t="str">
            <v xml:space="preserve">     -     </v>
          </cell>
        </row>
        <row r="100">
          <cell r="B100" t="str">
            <v xml:space="preserve">     -     </v>
          </cell>
        </row>
        <row r="101">
          <cell r="B101" t="str">
            <v xml:space="preserve">     -     </v>
          </cell>
        </row>
        <row r="102">
          <cell r="B102" t="str">
            <v xml:space="preserve">     -     </v>
          </cell>
        </row>
        <row r="103">
          <cell r="B103" t="str">
            <v xml:space="preserve">     -     </v>
          </cell>
        </row>
        <row r="104">
          <cell r="B104" t="str">
            <v xml:space="preserve">     -     </v>
          </cell>
        </row>
        <row r="105">
          <cell r="B105" t="str">
            <v xml:space="preserve">     -     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lingtype"/>
      <sheetName val="network"/>
      <sheetName val="creativetype"/>
      <sheetName val="Mediatype"/>
      <sheetName val="Calculation"/>
    </sheetNames>
    <sheetDataSet>
      <sheetData sheetId="0" refreshError="1">
        <row r="1">
          <cell r="A1" t="str">
            <v>CPM</v>
          </cell>
        </row>
        <row r="2">
          <cell r="A2" t="str">
            <v>CPC</v>
          </cell>
        </row>
        <row r="3">
          <cell r="A3" t="str">
            <v>CPA</v>
          </cell>
        </row>
        <row r="4">
          <cell r="A4" t="str">
            <v>CPV</v>
          </cell>
        </row>
        <row r="5">
          <cell r="A5" t="str">
            <v>Fixed</v>
          </cell>
        </row>
        <row r="6">
          <cell r="A6" t="str">
            <v>Fixed - 1/2</v>
          </cell>
        </row>
        <row r="7">
          <cell r="A7" t="str">
            <v>Fixed - 1/3</v>
          </cell>
        </row>
        <row r="8">
          <cell r="A8" t="str">
            <v>Fixed - 1/4</v>
          </cell>
        </row>
        <row r="9">
          <cell r="A9" t="str">
            <v>Fixed - 1/5</v>
          </cell>
        </row>
        <row r="10">
          <cell r="A10" t="str">
            <v>Fixed - 1/6</v>
          </cell>
        </row>
        <row r="11">
          <cell r="A11" t="str">
            <v>Fixed - 1/7</v>
          </cell>
        </row>
        <row r="12">
          <cell r="A12" t="str">
            <v>Fixed - 1/8</v>
          </cell>
        </row>
        <row r="13">
          <cell r="A13" t="str">
            <v>Fixed - 1/9</v>
          </cell>
        </row>
        <row r="14">
          <cell r="A14" t="str">
            <v>Fixed - 1/10</v>
          </cell>
        </row>
        <row r="15">
          <cell r="A15" t="str">
            <v>Fixed + CPM</v>
          </cell>
        </row>
        <row r="16">
          <cell r="A16" t="str">
            <v>Session</v>
          </cell>
        </row>
        <row r="17">
          <cell r="A17" t="str">
            <v>Session - 1/2</v>
          </cell>
        </row>
        <row r="18">
          <cell r="A18" t="str">
            <v>Session - 1/3</v>
          </cell>
        </row>
        <row r="19">
          <cell r="A19" t="str">
            <v>Session - 1/4</v>
          </cell>
        </row>
        <row r="20">
          <cell r="A20" t="str">
            <v>Session - 1/5</v>
          </cell>
        </row>
        <row r="21">
          <cell r="A21" t="str">
            <v>Session - 1/6</v>
          </cell>
        </row>
        <row r="22">
          <cell r="A22" t="str">
            <v>Session - 1/7</v>
          </cell>
        </row>
        <row r="23">
          <cell r="A23" t="str">
            <v>Session - 1/8</v>
          </cell>
        </row>
        <row r="24">
          <cell r="A24" t="str">
            <v>Session - 1/9</v>
          </cell>
        </row>
        <row r="25">
          <cell r="A25" t="str">
            <v>Session - 1/10</v>
          </cell>
        </row>
        <row r="26">
          <cell r="A26" t="str">
            <v>Fixed - 1 hours</v>
          </cell>
        </row>
        <row r="27">
          <cell r="A27" t="str">
            <v>Fixed - 2 hours</v>
          </cell>
        </row>
        <row r="28">
          <cell r="A28" t="str">
            <v>Fixed - 3 hours</v>
          </cell>
        </row>
        <row r="29">
          <cell r="A29" t="str">
            <v>Fixed - 4 hours</v>
          </cell>
        </row>
        <row r="30">
          <cell r="A30" t="str">
            <v>Fixed - 5 hours</v>
          </cell>
        </row>
        <row r="31">
          <cell r="A31" t="str">
            <v>Fixed - 6 hours</v>
          </cell>
        </row>
        <row r="32">
          <cell r="A32" t="str">
            <v>Fixed - 7 hours</v>
          </cell>
        </row>
        <row r="33">
          <cell r="A33" t="str">
            <v>Fixed - 8 hours</v>
          </cell>
        </row>
        <row r="34">
          <cell r="A34" t="str">
            <v>Fixed - 9 hours</v>
          </cell>
        </row>
        <row r="35">
          <cell r="A35" t="str">
            <v>Fixed - 10 hours</v>
          </cell>
        </row>
        <row r="36">
          <cell r="A36" t="str">
            <v>Fixed - 11 hours</v>
          </cell>
        </row>
        <row r="37">
          <cell r="A37" t="str">
            <v>Fixed - 12 hours</v>
          </cell>
        </row>
        <row r="38">
          <cell r="A38" t="str">
            <v>Fixed - 13 hours</v>
          </cell>
        </row>
        <row r="39">
          <cell r="A39" t="str">
            <v>Fixed - 14 hours</v>
          </cell>
        </row>
        <row r="40">
          <cell r="A40" t="str">
            <v>Fixed - 15 hours</v>
          </cell>
        </row>
        <row r="41">
          <cell r="A41" t="str">
            <v>Fixed - 16 hours</v>
          </cell>
        </row>
        <row r="42">
          <cell r="A42" t="str">
            <v>Fixed - 17 hours</v>
          </cell>
        </row>
        <row r="43">
          <cell r="A43" t="str">
            <v>Fixed - 18 hours</v>
          </cell>
        </row>
        <row r="44">
          <cell r="A44" t="str">
            <v>Fixed - 19 hours</v>
          </cell>
        </row>
        <row r="45">
          <cell r="A45" t="str">
            <v>Fixed - 20 hours</v>
          </cell>
        </row>
        <row r="46">
          <cell r="A46" t="str">
            <v>Fixed - 21 hours</v>
          </cell>
        </row>
        <row r="47">
          <cell r="A47" t="str">
            <v>Fixed - 22 hours</v>
          </cell>
        </row>
        <row r="48">
          <cell r="A48" t="str">
            <v>Fixed - 23 hours</v>
          </cell>
        </row>
      </sheetData>
      <sheetData sheetId="1" refreshError="1">
        <row r="1">
          <cell r="A1" t="str">
            <v>ADSMRT</v>
          </cell>
        </row>
        <row r="2">
          <cell r="A2" t="str">
            <v>ADTECH</v>
          </cell>
        </row>
        <row r="3">
          <cell r="A3" t="str">
            <v>AHMETÇELİK</v>
          </cell>
        </row>
        <row r="4">
          <cell r="A4" t="str">
            <v>AIRKULE</v>
          </cell>
        </row>
        <row r="5">
          <cell r="A5" t="str">
            <v>AKAKCE</v>
          </cell>
        </row>
        <row r="6">
          <cell r="A6" t="str">
            <v>AKAMPÜS</v>
          </cell>
        </row>
        <row r="7">
          <cell r="A7" t="str">
            <v>AKMEDYA</v>
          </cell>
        </row>
        <row r="8">
          <cell r="A8" t="str">
            <v>ALTINTEKNOLOJİ</v>
          </cell>
        </row>
        <row r="9">
          <cell r="A9" t="str">
            <v>ANAMEDYA</v>
          </cell>
        </row>
        <row r="10">
          <cell r="A10" t="str">
            <v>ANNEYIZBIZ</v>
          </cell>
        </row>
        <row r="11">
          <cell r="A11" t="str">
            <v>APLUSMEDYA</v>
          </cell>
        </row>
        <row r="12">
          <cell r="A12" t="str">
            <v>ARKİTERABİLİŞİMHİZMETLERİ</v>
          </cell>
        </row>
        <row r="13">
          <cell r="A13" t="str">
            <v>BEE</v>
          </cell>
        </row>
        <row r="14">
          <cell r="A14" t="str">
            <v>BİAİLETİŞİMREKLAMVEDANIŞM</v>
          </cell>
        </row>
        <row r="15">
          <cell r="A15" t="str">
            <v>BİLETIX</v>
          </cell>
        </row>
        <row r="16">
          <cell r="A16" t="str">
            <v>BİLYABİLİŞİM</v>
          </cell>
        </row>
        <row r="17">
          <cell r="A17" t="str">
            <v>BİRMENBİLİŞİMİNŞAATMEDYA</v>
          </cell>
        </row>
        <row r="18">
          <cell r="A18" t="str">
            <v>BORSAGÜNDEM</v>
          </cell>
        </row>
        <row r="19">
          <cell r="A19" t="str">
            <v>BOXOFFICETURKIYE</v>
          </cell>
        </row>
        <row r="20">
          <cell r="A20" t="str">
            <v>BOYUTYAYINGRUBU</v>
          </cell>
        </row>
        <row r="21">
          <cell r="A21" t="str">
            <v>CİNER</v>
          </cell>
        </row>
        <row r="22">
          <cell r="A22" t="str">
            <v>COOLSHARK</v>
          </cell>
        </row>
        <row r="23">
          <cell r="A23" t="str">
            <v>COMMEDYA</v>
          </cell>
        </row>
        <row r="24">
          <cell r="A24" t="str">
            <v>DATAPROFIL</v>
          </cell>
        </row>
        <row r="25">
          <cell r="A25" t="str">
            <v>DIGITOUCH</v>
          </cell>
        </row>
        <row r="26">
          <cell r="A26" t="str">
            <v>DMARKET</v>
          </cell>
        </row>
        <row r="27">
          <cell r="A27" t="str">
            <v>DOĞUŞGRUP</v>
          </cell>
        </row>
        <row r="28">
          <cell r="A28" t="str">
            <v>DOKTORSİTESİ</v>
          </cell>
        </row>
        <row r="29">
          <cell r="A29" t="str">
            <v>DÜNYAAKTÜEL</v>
          </cell>
        </row>
        <row r="30">
          <cell r="A30" t="str">
            <v>EOTODERGİ</v>
          </cell>
        </row>
        <row r="31">
          <cell r="A31" t="str">
            <v>ERAMEDYA</v>
          </cell>
        </row>
        <row r="32">
          <cell r="A32" t="str">
            <v>ETUKETICI</v>
          </cell>
        </row>
        <row r="33">
          <cell r="A33" t="str">
            <v>EUROMESSAGE</v>
          </cell>
        </row>
        <row r="34">
          <cell r="A34" t="str">
            <v>EVO</v>
          </cell>
        </row>
        <row r="35">
          <cell r="A35" t="str">
            <v>FEZA</v>
          </cell>
        </row>
        <row r="36">
          <cell r="A36" t="str">
            <v>FİNANSGÜNDEM</v>
          </cell>
        </row>
        <row r="37">
          <cell r="A37" t="str">
            <v>FİNANSTREND</v>
          </cell>
        </row>
        <row r="38">
          <cell r="A38" t="str">
            <v>FOX</v>
          </cell>
        </row>
        <row r="39">
          <cell r="A39" t="str">
            <v>GENART</v>
          </cell>
        </row>
        <row r="40">
          <cell r="A40" t="str">
            <v>GENÇONLINE</v>
          </cell>
        </row>
        <row r="41">
          <cell r="A41" t="str">
            <v>GİTTİGİDİYOR</v>
          </cell>
        </row>
        <row r="42">
          <cell r="A42" t="str">
            <v>GOOGLEIRELANDLİMİTED</v>
          </cell>
        </row>
        <row r="43">
          <cell r="A43" t="str">
            <v>HÜRRİYET</v>
          </cell>
        </row>
        <row r="44">
          <cell r="A44" t="str">
            <v>IMDER</v>
          </cell>
        </row>
        <row r="45">
          <cell r="A45" t="str">
            <v>INTERPRO</v>
          </cell>
        </row>
        <row r="46">
          <cell r="A46" t="str">
            <v>İHLASFUARHİZM</v>
          </cell>
        </row>
        <row r="47">
          <cell r="A47" t="str">
            <v>İNDEKS</v>
          </cell>
        </row>
        <row r="48">
          <cell r="A48" t="str">
            <v>İSTANBULNET</v>
          </cell>
        </row>
        <row r="49">
          <cell r="A49" t="str">
            <v>İZ</v>
          </cell>
        </row>
        <row r="50">
          <cell r="A50" t="str">
            <v>KADINLARARASI</v>
          </cell>
        </row>
        <row r="51">
          <cell r="A51" t="str">
            <v>KADINLARKLUBU</v>
          </cell>
        </row>
        <row r="52">
          <cell r="A52" t="str">
            <v>KARİYERNET</v>
          </cell>
        </row>
        <row r="53">
          <cell r="A53" t="str">
            <v>KOZA</v>
          </cell>
        </row>
        <row r="54">
          <cell r="A54" t="str">
            <v>LİNKZ</v>
          </cell>
        </row>
        <row r="55">
          <cell r="A55" t="str">
            <v>LOCALDİGİTAL</v>
          </cell>
        </row>
        <row r="56">
          <cell r="A56" t="str">
            <v>LOGARİTMA</v>
          </cell>
        </row>
        <row r="57">
          <cell r="A57" t="str">
            <v>LOJİPORT</v>
          </cell>
        </row>
        <row r="58">
          <cell r="A58" t="str">
            <v>M3WORKS</v>
          </cell>
        </row>
        <row r="59">
          <cell r="A59" t="str">
            <v>MAGNETBİLİŞİM</v>
          </cell>
        </row>
        <row r="60">
          <cell r="A60" t="str">
            <v>MAKSİMUM</v>
          </cell>
        </row>
        <row r="61">
          <cell r="A61" t="str">
            <v>MARSYAYINCILIK</v>
          </cell>
        </row>
        <row r="62">
          <cell r="A62" t="str">
            <v>MCDDIGITAL</v>
          </cell>
        </row>
        <row r="63">
          <cell r="A63" t="str">
            <v>MEDICON</v>
          </cell>
        </row>
        <row r="64">
          <cell r="A64" t="str">
            <v>MEDYACİN</v>
          </cell>
        </row>
        <row r="65">
          <cell r="A65" t="str">
            <v>MEDYAFARK</v>
          </cell>
        </row>
        <row r="66">
          <cell r="A66" t="str">
            <v>MEDYAGURU</v>
          </cell>
        </row>
        <row r="67">
          <cell r="A67" t="str">
            <v>MEDYAGURU ADKLIK</v>
          </cell>
        </row>
        <row r="68">
          <cell r="A68" t="str">
            <v>MEDYAKLİK</v>
          </cell>
        </row>
        <row r="69">
          <cell r="A69" t="str">
            <v>MEDYAMAGİLETİŞİM</v>
          </cell>
        </row>
        <row r="70">
          <cell r="A70" t="str">
            <v>MEDYANET</v>
          </cell>
        </row>
        <row r="71">
          <cell r="A71" t="str">
            <v>MICROSOFT &amp; NETCOM</v>
          </cell>
        </row>
        <row r="72">
          <cell r="A72" t="str">
            <v>MİLLİYET</v>
          </cell>
        </row>
        <row r="73">
          <cell r="A73" t="str">
            <v>MİLLİYETEMLAK</v>
          </cell>
        </row>
        <row r="74">
          <cell r="A74" t="str">
            <v>MOBILLIFE</v>
          </cell>
        </row>
        <row r="75">
          <cell r="A75" t="str">
            <v>MOBİLERA</v>
          </cell>
        </row>
        <row r="76">
          <cell r="A76" t="str">
            <v>MOBİLİKE</v>
          </cell>
        </row>
        <row r="77">
          <cell r="A77" t="str">
            <v>MOVE</v>
          </cell>
        </row>
        <row r="78">
          <cell r="A78" t="str">
            <v>MUTLUDERGİ</v>
          </cell>
        </row>
        <row r="79">
          <cell r="A79" t="str">
            <v>MYNET</v>
          </cell>
        </row>
        <row r="80">
          <cell r="A80" t="str">
            <v>NETBOOK</v>
          </cell>
        </row>
        <row r="81">
          <cell r="A81" t="str">
            <v>NETBOOK HABERTURK</v>
          </cell>
        </row>
        <row r="82">
          <cell r="A82" t="str">
            <v>NETBOOK MEMURLAR</v>
          </cell>
        </row>
        <row r="83">
          <cell r="A83" t="str">
            <v>NETWORK</v>
          </cell>
        </row>
        <row r="84">
          <cell r="A84" t="str">
            <v>NOKTACOM</v>
          </cell>
        </row>
        <row r="85">
          <cell r="A85" t="str">
            <v>NRAANIMASYON</v>
          </cell>
        </row>
        <row r="86">
          <cell r="A86" t="str">
            <v>ODATV</v>
          </cell>
        </row>
        <row r="87">
          <cell r="A87" t="str">
            <v>ODC</v>
          </cell>
        </row>
        <row r="88">
          <cell r="A88" t="str">
            <v>OMDDIGITAL</v>
          </cell>
        </row>
        <row r="89">
          <cell r="A89" t="str">
            <v>ORTİORTAKLAR</v>
          </cell>
        </row>
        <row r="90">
          <cell r="A90" t="str">
            <v>OTOMOBİLPORT</v>
          </cell>
        </row>
        <row r="91">
          <cell r="A91" t="str">
            <v>OZNMEDYA</v>
          </cell>
        </row>
        <row r="92">
          <cell r="A92" t="str">
            <v>PCLABS</v>
          </cell>
        </row>
        <row r="93">
          <cell r="A93" t="str">
            <v>PERFORMANMAGAZİN</v>
          </cell>
        </row>
        <row r="94">
          <cell r="A94" t="str">
            <v>PRESTIJYAYINCILIK</v>
          </cell>
        </row>
        <row r="95">
          <cell r="A95" t="str">
            <v>PROFARK</v>
          </cell>
        </row>
        <row r="96">
          <cell r="A96" t="str">
            <v>PROJECTHOUSE</v>
          </cell>
        </row>
        <row r="97">
          <cell r="A97" t="str">
            <v>PROJEHABER</v>
          </cell>
        </row>
        <row r="98">
          <cell r="A98" t="str">
            <v>PUBLIK</v>
          </cell>
        </row>
        <row r="99">
          <cell r="A99" t="str">
            <v>PUNTO</v>
          </cell>
        </row>
        <row r="100">
          <cell r="A100" t="str">
            <v>R2D2REKLAM</v>
          </cell>
        </row>
        <row r="101">
          <cell r="A101" t="str">
            <v>REKLAMSTORE</v>
          </cell>
        </row>
        <row r="102">
          <cell r="A102" t="str">
            <v>REKLAMZ</v>
          </cell>
        </row>
        <row r="103">
          <cell r="A103" t="str">
            <v>REKLAMZ POSTA</v>
          </cell>
        </row>
        <row r="104">
          <cell r="A104" t="str">
            <v>RODER</v>
          </cell>
        </row>
        <row r="105">
          <cell r="A105" t="str">
            <v>RÖVAŞATAYAYINCILIK</v>
          </cell>
        </row>
        <row r="106">
          <cell r="A106" t="str">
            <v>SAHİBİNDEN</v>
          </cell>
        </row>
        <row r="107">
          <cell r="A107" t="str">
            <v>SEMYAYINCILIK</v>
          </cell>
        </row>
        <row r="108">
          <cell r="A108" t="str">
            <v>SEMYAYINCILIK IDDAA</v>
          </cell>
        </row>
        <row r="109">
          <cell r="A109" t="str">
            <v>SHIFTDELETE</v>
          </cell>
        </row>
        <row r="110">
          <cell r="A110" t="str">
            <v>TARIMGENTR</v>
          </cell>
        </row>
        <row r="111">
          <cell r="A111" t="str">
            <v>TAŞIMACILAR</v>
          </cell>
        </row>
        <row r="112">
          <cell r="A112" t="str">
            <v>TECHNOLABS</v>
          </cell>
        </row>
        <row r="113">
          <cell r="A113" t="str">
            <v>TEMPO DIGITAL</v>
          </cell>
        </row>
        <row r="114">
          <cell r="A114" t="str">
            <v>TİPEEZ</v>
          </cell>
        </row>
        <row r="115">
          <cell r="A115" t="str">
            <v>TTBOOM</v>
          </cell>
        </row>
        <row r="116">
          <cell r="A116" t="str">
            <v>TURHAZIRBET</v>
          </cell>
        </row>
        <row r="117">
          <cell r="A117" t="str">
            <v>TURKCELL</v>
          </cell>
        </row>
        <row r="118">
          <cell r="A118" t="str">
            <v>TURKTİCARET</v>
          </cell>
        </row>
        <row r="119">
          <cell r="A119" t="str">
            <v>TURKUVAZ</v>
          </cell>
        </row>
        <row r="120">
          <cell r="A120" t="str">
            <v>TÜRKİYETÜKETİCİLER</v>
          </cell>
        </row>
        <row r="121">
          <cell r="A121" t="str">
            <v>ULASIMGAZETESİ</v>
          </cell>
        </row>
        <row r="122">
          <cell r="A122" t="str">
            <v>UND</v>
          </cell>
        </row>
        <row r="123">
          <cell r="A123" t="str">
            <v>UZMANTV</v>
          </cell>
        </row>
        <row r="124">
          <cell r="A124" t="str">
            <v>VODAFONE</v>
          </cell>
        </row>
        <row r="125">
          <cell r="A125" t="str">
            <v>YAPI</v>
          </cell>
        </row>
        <row r="126">
          <cell r="A126" t="str">
            <v>YAPIMSGIHTISASYAYINCILIK</v>
          </cell>
        </row>
      </sheetData>
      <sheetData sheetId="2"/>
      <sheetData sheetId="3"/>
      <sheetData sheetId="4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  <sheetName val="Programlar"/>
      <sheetName val="ATV"/>
      <sheetName val="KAND"/>
      <sheetName val="SHOW"/>
      <sheetName val="TGRT"/>
      <sheetName val="TRT 1"/>
      <sheetName val="BRT"/>
      <sheetName val="KANAL 6"/>
      <sheetName val="FLASH"/>
      <sheetName val="CNNTURK"/>
      <sheetName val="KANAL E"/>
      <sheetName val="CINE 5"/>
      <sheetName val="KANAL 7"/>
      <sheetName val="DISCOVERY"/>
      <sheetName val="NTV"/>
      <sheetName val="PİVOT FREE"/>
      <sheetName val="KARIŞIK FREE"/>
      <sheetName val="PİVOT PARALI"/>
      <sheetName val="KARIŞIK PARALI"/>
      <sheetName val="KARIŞIK ÖDEME PLANI"/>
      <sheetName val="ÖZET"/>
      <sheetName val="ÖDEME PLANI"/>
      <sheetName val="GERÇEKLEŞEN ÖZET TABLO"/>
      <sheetName val="GERÇEKLEŞEN NORMAL"/>
      <sheetName val="PİVOT NORMAL"/>
      <sheetName val="PİVOT 23-30"/>
      <sheetName val="GERÇEKLEŞEN FREE 23-30"/>
      <sheetName val="BÜTÇE FREESİ"/>
      <sheetName val="GERÇEKLEŞEN FREE"/>
      <sheetName val="KARIŞIK GERÇEKLEŞEN"/>
      <sheetName val="GERÇEKLEŞEN ÖDEME PLANI"/>
      <sheetName val="GERÇEKLEŞEN KARIŞIK ÖDEME PLANI"/>
      <sheetName val="H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</sheetNames>
    <sheetDataSet>
      <sheetData sheetId="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L"/>
      <sheetName val="BURSA AMB-SON"/>
      <sheetName val="KADIKOY AMB-SON"/>
      <sheetName val="AMBALAJ BAZINDA %"/>
      <sheetName val="K-B-AY AMB-SON"/>
      <sheetName val="K-B  AY AMB-3"/>
      <sheetName val="K-B YIL AMB-2"/>
      <sheetName val="K-B AY-YIL-1"/>
      <sheetName val="GENEL"/>
      <sheetName val="BÖLGEAYLAR"/>
      <sheetName val="GENELAYLAR"/>
      <sheetName val="BÖLGELER-MARKA (3)"/>
      <sheetName val="BÖLGELER"/>
      <sheetName val="BÖLGELER-MARKA"/>
      <sheetName val="FARK DOSYASI"/>
      <sheetName val="Sheet3"/>
      <sheetName val="Kategoriler"/>
      <sheetName val="Resource-Strings"/>
      <sheetName val="Sayfa4"/>
      <sheetName val="kanal data"/>
      <sheetName val="BALANCE SHEET"/>
      <sheetName val="REST. OF OTH.ASSETS"/>
      <sheetName val="İndirimler ve Tanımlar"/>
      <sheetName val="Plan"/>
      <sheetName val="Ayarlar"/>
      <sheetName val="GRP"/>
      <sheetName val="Programlar"/>
      <sheetName val="kuşak data"/>
      <sheetName val="BURSA_AMB-SON"/>
      <sheetName val="KADIKOY_AMB-SON"/>
      <sheetName val="AMBALAJ_BAZINDA_%"/>
      <sheetName val="K-B-AY_AMB-SON"/>
      <sheetName val="K-B__AY_AMB-3"/>
      <sheetName val="K-B_YIL_AMB-2"/>
      <sheetName val="K-B_AY-YIL-1"/>
      <sheetName val="BÖLGELER-MARKA_(3)"/>
      <sheetName val="FARK_DOSYASI"/>
      <sheetName val="kanal_data"/>
      <sheetName val="BALANCE_SHEET"/>
      <sheetName val="REST__OF_OTH_ASSETS"/>
      <sheetName val="İndirimler_ve_Tanımlar"/>
      <sheetName val="kuşak_data"/>
      <sheetName val="BURSA_AMB-SON1"/>
      <sheetName val="KADIKOY_AMB-SON1"/>
      <sheetName val="AMBALAJ_BAZINDA_%1"/>
      <sheetName val="K-B-AY_AMB-SON1"/>
      <sheetName val="K-B__AY_AMB-31"/>
      <sheetName val="K-B_YIL_AMB-21"/>
      <sheetName val="K-B_AY-YIL-11"/>
      <sheetName val="BÖLGELER-MARKA_(3)1"/>
      <sheetName val="FARK_DOSYASI1"/>
      <sheetName val="kanal_data1"/>
      <sheetName val="BALANCE_SHEET1"/>
      <sheetName val="REST__OF_OTH_ASSETS1"/>
      <sheetName val="İndirimler_ve_Tanımlar1"/>
      <sheetName val="kuşak_data1"/>
      <sheetName val="IMMATREN"/>
      <sheetName val="KADIKOY-BURSA 2001-2005 CALISMA"/>
      <sheetName val="plan-gaz1"/>
      <sheetName val="AMOUNT BASES"/>
      <sheetName val="Media Schedule"/>
      <sheetName val="Eki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  <sheetName val="Plan"/>
      <sheetName val="ÖDEME"/>
      <sheetName val="tanımlar"/>
      <sheetName val="Copies"/>
      <sheetName val="Exchange"/>
      <sheetName val="Payments"/>
      <sheetName val="Stations"/>
      <sheetName val="Prices"/>
      <sheetName val="HL"/>
      <sheetName val="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Fields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ying Method"/>
      <sheetName val="Network"/>
      <sheetName val="Media Plan"/>
      <sheetName val="Ordino.Sablon"/>
      <sheetName val="MedPlan.Sablon"/>
      <sheetName val="Client"/>
      <sheetName val="Media Type"/>
      <sheetName val="Sites"/>
      <sheetName val="Format"/>
      <sheetName val="Placement"/>
      <sheetName val="Adserving"/>
      <sheetName val="Viewability"/>
      <sheetName val="Indexes"/>
    </sheetNames>
    <sheetDataSet>
      <sheetData sheetId="0" refreshError="1">
        <row r="1">
          <cell r="A1" t="str">
            <v>CPM</v>
          </cell>
        </row>
        <row r="2">
          <cell r="A2" t="str">
            <v>CPC</v>
          </cell>
        </row>
        <row r="3">
          <cell r="A3" t="str">
            <v>CPA</v>
          </cell>
        </row>
        <row r="4">
          <cell r="A4" t="str">
            <v>CPV</v>
          </cell>
        </row>
        <row r="5">
          <cell r="A5" t="str">
            <v>Fixed</v>
          </cell>
        </row>
        <row r="6">
          <cell r="A6" t="str">
            <v>Fixed - 1/2</v>
          </cell>
        </row>
        <row r="7">
          <cell r="A7" t="str">
            <v>Fixed - 1/3</v>
          </cell>
        </row>
        <row r="8">
          <cell r="A8" t="str">
            <v>Fixed - 1/4</v>
          </cell>
        </row>
        <row r="9">
          <cell r="A9" t="str">
            <v>Fixed - 1/5</v>
          </cell>
        </row>
        <row r="10">
          <cell r="A10" t="str">
            <v>Fixed - 1/6</v>
          </cell>
        </row>
        <row r="11">
          <cell r="A11" t="str">
            <v>Fixed - 1/7</v>
          </cell>
        </row>
        <row r="12">
          <cell r="A12" t="str">
            <v>Fixed - 1/8</v>
          </cell>
        </row>
        <row r="13">
          <cell r="A13" t="str">
            <v>Fixed - 1/9</v>
          </cell>
        </row>
        <row r="14">
          <cell r="A14" t="str">
            <v>Fixed - 1/10</v>
          </cell>
        </row>
        <row r="15">
          <cell r="A15" t="str">
            <v>Fixed + CPM</v>
          </cell>
        </row>
        <row r="16">
          <cell r="A16" t="str">
            <v>Session</v>
          </cell>
        </row>
        <row r="17">
          <cell r="A17" t="str">
            <v>Session - 1/2</v>
          </cell>
        </row>
        <row r="18">
          <cell r="A18" t="str">
            <v>Session - 1/3</v>
          </cell>
        </row>
        <row r="19">
          <cell r="A19" t="str">
            <v>Session - 1/4</v>
          </cell>
        </row>
        <row r="20">
          <cell r="A20" t="str">
            <v>Session - 1/5</v>
          </cell>
        </row>
        <row r="21">
          <cell r="A21" t="str">
            <v>Session - 1/6</v>
          </cell>
        </row>
        <row r="22">
          <cell r="A22" t="str">
            <v>Session - 1/7</v>
          </cell>
        </row>
        <row r="23">
          <cell r="A23" t="str">
            <v>Session - 1/8</v>
          </cell>
        </row>
        <row r="24">
          <cell r="A24" t="str">
            <v>Session - 1/9</v>
          </cell>
        </row>
        <row r="25">
          <cell r="A25" t="str">
            <v>Session - 1/10</v>
          </cell>
        </row>
        <row r="26">
          <cell r="A26" t="str">
            <v>Fixed - 1 hours</v>
          </cell>
        </row>
        <row r="27">
          <cell r="A27" t="str">
            <v>Fixed - 2 hours</v>
          </cell>
        </row>
        <row r="28">
          <cell r="A28" t="str">
            <v>Fixed - 3 hours</v>
          </cell>
        </row>
        <row r="29">
          <cell r="A29" t="str">
            <v>Fixed - 4 hours</v>
          </cell>
        </row>
        <row r="30">
          <cell r="A30" t="str">
            <v>Fixed - 5 hours</v>
          </cell>
        </row>
        <row r="31">
          <cell r="A31" t="str">
            <v>Fixed - 6 hours</v>
          </cell>
        </row>
        <row r="32">
          <cell r="A32" t="str">
            <v>Fixed - 7 hours</v>
          </cell>
        </row>
        <row r="33">
          <cell r="A33" t="str">
            <v>Fixed - 8 hours</v>
          </cell>
        </row>
        <row r="34">
          <cell r="A34" t="str">
            <v>Fixed - 9 hours</v>
          </cell>
        </row>
        <row r="35">
          <cell r="A35" t="str">
            <v>Fixed - 10 hours</v>
          </cell>
        </row>
      </sheetData>
      <sheetData sheetId="1" refreshError="1">
        <row r="1">
          <cell r="A1" t="str">
            <v>Name</v>
          </cell>
        </row>
        <row r="2">
          <cell r="A2" t="str">
            <v>2025ARENABİLGİSAYAR</v>
          </cell>
        </row>
        <row r="3">
          <cell r="A3" t="str">
            <v>ADNBOOST</v>
          </cell>
        </row>
        <row r="4">
          <cell r="A4" t="str">
            <v>ADNOMIA DIJITAL PAZARLAMA VE MEDYA A.Ş.</v>
          </cell>
        </row>
        <row r="5">
          <cell r="A5" t="str">
            <v>AERODEON</v>
          </cell>
        </row>
        <row r="6">
          <cell r="A6" t="str">
            <v>AĞEĞİTİMAJANSI</v>
          </cell>
        </row>
        <row r="7">
          <cell r="A7" t="str">
            <v>ALTINMECRALAR</v>
          </cell>
        </row>
        <row r="8">
          <cell r="A8" t="str">
            <v>ANADOLUYAKASISELENDİNÇ</v>
          </cell>
        </row>
        <row r="9">
          <cell r="A9" t="str">
            <v>APLUSMEDYA</v>
          </cell>
        </row>
        <row r="10">
          <cell r="A10" t="str">
            <v>APLUSYAZILIM</v>
          </cell>
        </row>
        <row r="11">
          <cell r="A11" t="str">
            <v>APOLLOBİLGİ</v>
          </cell>
        </row>
        <row r="12">
          <cell r="A12" t="str">
            <v>ASAYERDANIŞMANLIK</v>
          </cell>
        </row>
        <row r="13">
          <cell r="A13" t="str">
            <v>BOXOFFICETURKİYE</v>
          </cell>
        </row>
        <row r="14">
          <cell r="A14" t="str">
            <v>BURCUSARAR</v>
          </cell>
        </row>
        <row r="15">
          <cell r="A15" t="str">
            <v>CDOMEDYA</v>
          </cell>
        </row>
        <row r="16">
          <cell r="A16" t="str">
            <v>CLIPKITTURKEY</v>
          </cell>
        </row>
        <row r="17">
          <cell r="A17" t="str">
            <v>COMMEDYA</v>
          </cell>
        </row>
        <row r="18">
          <cell r="A18" t="str">
            <v>COOLSHARKİNTERNET</v>
          </cell>
        </row>
        <row r="19">
          <cell r="A19" t="str">
            <v>ÇİLEKMEDYA</v>
          </cell>
        </row>
        <row r="20">
          <cell r="A20" t="str">
            <v>DAHAİYİYAŞAMREKLAM</v>
          </cell>
        </row>
        <row r="21">
          <cell r="A21" t="str">
            <v>DEKAMEDIA</v>
          </cell>
        </row>
        <row r="22">
          <cell r="A22" t="str">
            <v>DIGITALMARCOMNETWORK</v>
          </cell>
        </row>
        <row r="23">
          <cell r="A23" t="str">
            <v>DOĞANİNTERNET</v>
          </cell>
        </row>
        <row r="24">
          <cell r="A24" t="str">
            <v>DOĞUŞYAYINGRUBU</v>
          </cell>
        </row>
        <row r="25">
          <cell r="A25" t="str">
            <v>DOKTORLARSİTESİ</v>
          </cell>
        </row>
        <row r="26">
          <cell r="A26" t="str">
            <v>DONANIMHABER</v>
          </cell>
        </row>
        <row r="27">
          <cell r="A27" t="str">
            <v>DÜNYA</v>
          </cell>
        </row>
        <row r="28">
          <cell r="A28" t="str">
            <v>EKART</v>
          </cell>
        </row>
        <row r="29">
          <cell r="A29" t="str">
            <v>ENUYGUNCOM</v>
          </cell>
        </row>
        <row r="30">
          <cell r="A30" t="str">
            <v>ESEĞİTİM</v>
          </cell>
        </row>
        <row r="31">
          <cell r="A31" t="str">
            <v>ESM</v>
          </cell>
        </row>
        <row r="32">
          <cell r="A32" t="str">
            <v>ESTETİK YAYINCILIK A.Ş.</v>
          </cell>
        </row>
        <row r="33">
          <cell r="A33" t="str">
            <v>ETAPHAVACILIK</v>
          </cell>
        </row>
        <row r="34">
          <cell r="A34" t="str">
            <v>ETKİYAYINCILIK</v>
          </cell>
        </row>
        <row r="35">
          <cell r="A35" t="str">
            <v>FEZA</v>
          </cell>
        </row>
        <row r="36">
          <cell r="A36" t="str">
            <v>FİNANSTREND</v>
          </cell>
        </row>
        <row r="37">
          <cell r="A37" t="str">
            <v>GCAİLETİŞİM</v>
          </cell>
        </row>
        <row r="38">
          <cell r="A38" t="str">
            <v>GELİŞMİŞMOTOR</v>
          </cell>
        </row>
        <row r="39">
          <cell r="A39" t="str">
            <v>GENART</v>
          </cell>
        </row>
        <row r="40">
          <cell r="A40" t="str">
            <v>GİTTİGİDİYOR</v>
          </cell>
        </row>
        <row r="41">
          <cell r="A41" t="str">
            <v>GOOGLE</v>
          </cell>
        </row>
        <row r="42">
          <cell r="A42" t="str">
            <v>GÜNEŞ</v>
          </cell>
        </row>
        <row r="43">
          <cell r="A43" t="str">
            <v>HÜRRİYET</v>
          </cell>
        </row>
        <row r="44">
          <cell r="A44" t="str">
            <v>INTERNETTE</v>
          </cell>
        </row>
        <row r="45">
          <cell r="A45" t="str">
            <v>İNTERPROMEDYA</v>
          </cell>
        </row>
        <row r="46">
          <cell r="A46" t="str">
            <v>İSTANBULCOM</v>
          </cell>
        </row>
        <row r="47">
          <cell r="A47" t="str">
            <v>İZHALKLAİLİŞKİLER</v>
          </cell>
        </row>
        <row r="48">
          <cell r="A48" t="str">
            <v>KAMPÜSBİLİŞİM</v>
          </cell>
        </row>
        <row r="49">
          <cell r="A49" t="str">
            <v>KARİYERNET</v>
          </cell>
        </row>
        <row r="50">
          <cell r="A50" t="str">
            <v>KARNAVAL</v>
          </cell>
        </row>
        <row r="51">
          <cell r="A51" t="str">
            <v>KATUİNTERNET</v>
          </cell>
        </row>
        <row r="52">
          <cell r="A52" t="str">
            <v>KENSHOOUKLTD</v>
          </cell>
        </row>
        <row r="53">
          <cell r="A53" t="str">
            <v>LEVENTDOĞANMEDYAPLANLAMA</v>
          </cell>
        </row>
        <row r="54">
          <cell r="A54" t="str">
            <v>LİNKZ</v>
          </cell>
        </row>
        <row r="55">
          <cell r="A55" t="str">
            <v>LOGARİTMA</v>
          </cell>
        </row>
        <row r="56">
          <cell r="A56" t="str">
            <v>MAGNETBİLGİ</v>
          </cell>
        </row>
        <row r="57">
          <cell r="A57" t="str">
            <v>MAKSİMUM</v>
          </cell>
        </row>
        <row r="58">
          <cell r="A58" t="str">
            <v>MAPDİJİTAL</v>
          </cell>
        </row>
        <row r="59">
          <cell r="A59" t="str">
            <v>MCCANNİSTANBUL</v>
          </cell>
        </row>
        <row r="60">
          <cell r="A60" t="str">
            <v>MCDTELEKOMİNİKASYON</v>
          </cell>
        </row>
        <row r="61">
          <cell r="A61" t="str">
            <v>MEDIAMIND</v>
          </cell>
        </row>
        <row r="62">
          <cell r="A62" t="str">
            <v>MEDYAGÜNDEMDİGİTAL</v>
          </cell>
        </row>
        <row r="63">
          <cell r="A63" t="str">
            <v>METETURİZM</v>
          </cell>
        </row>
        <row r="64">
          <cell r="A64" t="str">
            <v>MICROSOFT</v>
          </cell>
        </row>
        <row r="65">
          <cell r="A65" t="str">
            <v>MİLLİYETGAZETECİLİK</v>
          </cell>
        </row>
        <row r="66">
          <cell r="A66" t="str">
            <v>MOBİLİKE</v>
          </cell>
        </row>
        <row r="67">
          <cell r="A67" t="str">
            <v>MOKSİİNTERAKTİF</v>
          </cell>
        </row>
        <row r="68">
          <cell r="A68" t="str">
            <v>MOVEZ</v>
          </cell>
        </row>
        <row r="69">
          <cell r="A69" t="str">
            <v>MURATÖZEL</v>
          </cell>
        </row>
        <row r="70">
          <cell r="A70" t="str">
            <v>MWORKS</v>
          </cell>
        </row>
        <row r="71">
          <cell r="A71" t="str">
            <v>MYNET</v>
          </cell>
        </row>
        <row r="72">
          <cell r="A72" t="str">
            <v>NETBOOK</v>
          </cell>
        </row>
        <row r="73">
          <cell r="A73" t="str">
            <v>NETCOM</v>
          </cell>
        </row>
        <row r="74">
          <cell r="A74" t="str">
            <v>NOKTACOMMEDYA</v>
          </cell>
        </row>
        <row r="75">
          <cell r="A75" t="str">
            <v>OGMEDYA</v>
          </cell>
        </row>
        <row r="76">
          <cell r="A76" t="str">
            <v>OLYMPOSTANITIM</v>
          </cell>
        </row>
        <row r="77">
          <cell r="A77" t="str">
            <v>PBGELEKTRONİK</v>
          </cell>
        </row>
        <row r="78">
          <cell r="A78" t="str">
            <v>PERSPEKTİFBİLİŞİM</v>
          </cell>
        </row>
        <row r="79">
          <cell r="A79" t="str">
            <v>PİRAMİTBİLGİSAYAR</v>
          </cell>
        </row>
        <row r="80">
          <cell r="A80" t="str">
            <v>PORTAKALREKLAM</v>
          </cell>
        </row>
        <row r="81">
          <cell r="A81" t="str">
            <v>PUBLIKİLETİŞİM</v>
          </cell>
        </row>
        <row r="82">
          <cell r="A82" t="str">
            <v>PUNTOMEDYA</v>
          </cell>
        </row>
        <row r="83">
          <cell r="A83" t="str">
            <v>REKLAMPORTALI</v>
          </cell>
        </row>
        <row r="84">
          <cell r="A84" t="str">
            <v>REKLAMZ</v>
          </cell>
        </row>
        <row r="85">
          <cell r="A85" t="str">
            <v>ROTAYAYINYAPIM</v>
          </cell>
        </row>
        <row r="86">
          <cell r="A86" t="str">
            <v>RSINTERNET</v>
          </cell>
        </row>
        <row r="87">
          <cell r="A87" t="str">
            <v>SAHİBİNDEN</v>
          </cell>
        </row>
        <row r="88">
          <cell r="A88" t="str">
            <v>SANEİLETİŞİM</v>
          </cell>
        </row>
        <row r="89">
          <cell r="A89" t="str">
            <v>SATIŞOFİSİ</v>
          </cell>
        </row>
        <row r="90">
          <cell r="A90" t="str">
            <v>SCVDANIŞMANLIK</v>
          </cell>
        </row>
        <row r="91">
          <cell r="A91" t="str">
            <v>SHİFTDELETENET</v>
          </cell>
        </row>
        <row r="92">
          <cell r="A92" t="str">
            <v>SOSYALİNTERNET</v>
          </cell>
        </row>
        <row r="93">
          <cell r="A93" t="str">
            <v>SOSYALİNTERNET</v>
          </cell>
        </row>
        <row r="94">
          <cell r="A94" t="str">
            <v>SPECTRUMMEDYALABS</v>
          </cell>
        </row>
        <row r="95">
          <cell r="A95" t="str">
            <v>SPOTIFYAB</v>
          </cell>
        </row>
        <row r="96">
          <cell r="A96" t="str">
            <v>SÜPERMOBİLMEDYA</v>
          </cell>
        </row>
        <row r="97">
          <cell r="A97" t="str">
            <v>TABLETMEDYA</v>
          </cell>
        </row>
        <row r="98">
          <cell r="A98" t="str">
            <v>TABLETMEDYAREKLAM</v>
          </cell>
        </row>
        <row r="99">
          <cell r="A99" t="str">
            <v>TAŞITCOMBİLGİHİZMETLERİ</v>
          </cell>
        </row>
        <row r="100">
          <cell r="A100" t="str">
            <v>TEŞKİLATİLETİŞİM</v>
          </cell>
        </row>
        <row r="101">
          <cell r="A101" t="str">
            <v>TEŞKİLATİLETİŞİM</v>
          </cell>
        </row>
        <row r="102">
          <cell r="A102" t="str">
            <v>THMAGGERYAYINCILIK</v>
          </cell>
        </row>
        <row r="103">
          <cell r="A103" t="str">
            <v>THMAGGERYAYINCILIK</v>
          </cell>
        </row>
        <row r="104">
          <cell r="A104" t="str">
            <v>TMEDYAPAZARLAMA</v>
          </cell>
        </row>
        <row r="105">
          <cell r="A105" t="str">
            <v>TUANA</v>
          </cell>
        </row>
        <row r="106">
          <cell r="A106" t="str">
            <v>TURKCELL</v>
          </cell>
        </row>
        <row r="107">
          <cell r="A107" t="str">
            <v>TURKCELL</v>
          </cell>
        </row>
        <row r="108">
          <cell r="A108" t="str">
            <v>TURKEYYELLOWPAGES</v>
          </cell>
        </row>
        <row r="109">
          <cell r="A109" t="str">
            <v>TURKEYYELLOWPAGES</v>
          </cell>
        </row>
        <row r="110">
          <cell r="A110" t="str">
            <v>TURKUVAZREKLAM</v>
          </cell>
        </row>
        <row r="111">
          <cell r="A111" t="str">
            <v>TURKUVAZREKLAM</v>
          </cell>
        </row>
        <row r="112">
          <cell r="A112" t="str">
            <v>TÜRKTİCARETNET</v>
          </cell>
        </row>
        <row r="113">
          <cell r="A113" t="str">
            <v>TÜRKTİCARETNET</v>
          </cell>
        </row>
        <row r="114">
          <cell r="A114" t="str">
            <v>UĞURBİLGİTEKNOLOJİLERİ</v>
          </cell>
        </row>
        <row r="115">
          <cell r="A115" t="str">
            <v>UĞURBİLGİTEKNOLOJİLERİ</v>
          </cell>
        </row>
        <row r="116">
          <cell r="A116" t="str">
            <v>VATANGAZETECİLİK</v>
          </cell>
        </row>
        <row r="117">
          <cell r="A117" t="str">
            <v>VATANGAZETECİLİK</v>
          </cell>
        </row>
        <row r="118">
          <cell r="A118" t="str">
            <v>VİDYODAMEDYA</v>
          </cell>
        </row>
        <row r="119">
          <cell r="A119" t="str">
            <v>VİDYODAMEDYA</v>
          </cell>
        </row>
        <row r="120">
          <cell r="A120" t="str">
            <v>YENİBİRİŞ</v>
          </cell>
        </row>
        <row r="121">
          <cell r="A121" t="str">
            <v>YENİBİRİŞ</v>
          </cell>
        </row>
        <row r="122">
          <cell r="A122" t="str">
            <v>YÜKSELÖZELEĞİTİM</v>
          </cell>
        </row>
        <row r="123">
          <cell r="A123" t="str">
            <v>YÜKSELÖZELEĞİTİM</v>
          </cell>
        </row>
        <row r="124">
          <cell r="A124" t="str">
            <v>ZANOXREKLAM</v>
          </cell>
        </row>
        <row r="125">
          <cell r="A125" t="str">
            <v>ZANOXREKLAM</v>
          </cell>
        </row>
      </sheetData>
      <sheetData sheetId="2"/>
      <sheetData sheetId="3"/>
      <sheetData sheetId="4"/>
      <sheetData sheetId="5"/>
      <sheetData sheetId="6"/>
      <sheetData sheetId="7">
        <row r="1">
          <cell r="A1" t="str">
            <v>Name</v>
          </cell>
        </row>
      </sheetData>
      <sheetData sheetId="8">
        <row r="1">
          <cell r="A1" t="str">
            <v>Format</v>
          </cell>
        </row>
      </sheetData>
      <sheetData sheetId="9">
        <row r="1">
          <cell r="A1" t="str">
            <v>Home Page</v>
          </cell>
        </row>
      </sheetData>
      <sheetData sheetId="10"/>
      <sheetData sheetId="11"/>
      <sheetData sheetId="12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a"/>
    </sheetNames>
    <sheetDataSet>
      <sheetData sheetId="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PHP"/>
      <sheetName val="SUPERSEDED"/>
      <sheetName val="Sheet3"/>
      <sheetName val="FINALUS$"/>
      <sheetName val="CAPERFORM"/>
      <sheetName val="CAPERFORM $"/>
      <sheetName val="IFO$"/>
      <sheetName val="Sheet1"/>
      <sheetName val="Sheet2"/>
      <sheetName val="Kategoriler"/>
      <sheetName val="CPEXPER"/>
      <sheetName val="plan-gaz1"/>
      <sheetName val="Channelvorgabe"/>
      <sheetName val="Sayfa2"/>
      <sheetName val="PIPELINE"/>
      <sheetName val="CPEXPER.XLS"/>
    </sheetNames>
    <sheetDataSet>
      <sheetData sheetId="0" refreshError="1">
        <row r="27">
          <cell r="G27">
            <v>32000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kim"/>
      <sheetName val="Kasım"/>
      <sheetName val="Aralık"/>
      <sheetName val="Ocak"/>
      <sheetName val="Şubat"/>
      <sheetName val="Mart"/>
      <sheetName val="Genel"/>
      <sheetName val="Genel (2)"/>
      <sheetName val="Genel (3)"/>
      <sheetName val="Genel (4)"/>
      <sheetName val="Dağılım"/>
      <sheetName val="7 HAFTA"/>
      <sheetName val="Kategoriler"/>
      <sheetName val="CU Dergi"/>
      <sheetName val="TUBORG"/>
      <sheetName val="plan-gaz1"/>
      <sheetName val="Foglio1"/>
      <sheetName val="Genel_(2)"/>
      <sheetName val="Genel_(3)"/>
      <sheetName val="Genel_(4)"/>
      <sheetName val="CU_Dergi"/>
      <sheetName val="PLANNED"/>
      <sheetName val="RadioMIND"/>
      <sheetName val="Programlar"/>
      <sheetName val="CampaignData"/>
      <sheetName val="PlanData"/>
      <sheetName val="ExchangeRates"/>
      <sheetName val="ManualDiscounts"/>
      <sheetName val="NetPrices"/>
      <sheetName val="Kategori_Dizi_kanalları"/>
      <sheetName val="TRT_FM"/>
      <sheetName val="ntv-fiyat"/>
      <sheetName val="PlanSheet"/>
      <sheetName val="GAZETE"/>
      <sheetName val="Gazete_teaser"/>
      <sheetName val="Hasar Hattı"/>
      <sheetName val="REVİZE Özet Tablo HAFTALIK"/>
      <sheetName val="Tnt"/>
      <sheetName val="plan-der"/>
      <sheetName val="Makro1"/>
      <sheetName val="Genel_(2)1"/>
      <sheetName val="Genel_(3)1"/>
      <sheetName val="Genel_(4)1"/>
      <sheetName val="CU_Dergi1"/>
      <sheetName val="Hasar_Hattı"/>
      <sheetName val="REVİZE_Özet_Tablo_HAFTALIK"/>
      <sheetName val="7_HAFTA"/>
      <sheetName val="Copies"/>
      <sheetName val="Materyaller"/>
      <sheetName val="Fiyat"/>
      <sheetName val="SpotList_(2)1"/>
      <sheetName val="Exchange"/>
      <sheetName val="tanımlar"/>
      <sheetName val="Sheet2"/>
      <sheetName val="Payments"/>
      <sheetName val="Stations"/>
      <sheetName val="Pri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mpaignData"/>
      <sheetName val="PlanData"/>
      <sheetName val="ExchangeRates"/>
      <sheetName val="ManualDiscounts"/>
      <sheetName val="NetPrices"/>
      <sheetName val="PlanSheet"/>
      <sheetName val="Formulas"/>
      <sheetName val="Channel &amp; Copy Split"/>
      <sheetName val="CancellationForm"/>
      <sheetName val="ReservationForm"/>
      <sheetName val="Spotlist"/>
      <sheetName val="Summary"/>
      <sheetName val="Weekly Summary"/>
      <sheetName val="tvbel0304 (version 2)"/>
      <sheetName val="Kategoriler"/>
      <sheetName val="Köprü"/>
      <sheetName val="Sayfa4"/>
      <sheetName val="1998"/>
    </sheetNames>
    <sheetDataSet>
      <sheetData sheetId="0" refreshError="1">
        <row r="1">
          <cell r="D1" t="str">
            <v>U:\Planlama\Bellona\Tv\2004\est\02\Plan\config01-BL.xls</v>
          </cell>
        </row>
        <row r="4">
          <cell r="D4" t="str">
            <v>BELLONA</v>
          </cell>
        </row>
        <row r="6">
          <cell r="D6" t="str">
            <v>BELLONA</v>
          </cell>
        </row>
        <row r="7">
          <cell r="D7" t="str">
            <v>ADULTS</v>
          </cell>
        </row>
        <row r="8">
          <cell r="D8" t="str">
            <v>ADULTS</v>
          </cell>
        </row>
        <row r="9">
          <cell r="D9">
            <v>38047</v>
          </cell>
        </row>
        <row r="10">
          <cell r="D10">
            <v>38077</v>
          </cell>
        </row>
        <row r="11">
          <cell r="D11">
            <v>0.75</v>
          </cell>
        </row>
        <row r="12">
          <cell r="D12">
            <v>1.0826388888888889</v>
          </cell>
        </row>
        <row r="16">
          <cell r="B16">
            <v>0</v>
          </cell>
          <cell r="C16" t="str">
            <v>Odessa Kisa</v>
          </cell>
          <cell r="D16" t="str">
            <v>X</v>
          </cell>
          <cell r="E16">
            <v>19</v>
          </cell>
          <cell r="F16">
            <v>1</v>
          </cell>
          <cell r="H16" t="str">
            <v>ATV</v>
          </cell>
          <cell r="I16" t="str">
            <v>ZEDPAS</v>
          </cell>
          <cell r="K16">
            <v>1</v>
          </cell>
          <cell r="M16">
            <v>0</v>
          </cell>
          <cell r="N16" t="str">
            <v>NORMAL</v>
          </cell>
          <cell r="O16">
            <v>1</v>
          </cell>
          <cell r="Q16" t="str">
            <v>K-1</v>
          </cell>
          <cell r="R16" t="str">
            <v>W</v>
          </cell>
          <cell r="V16">
            <v>0</v>
          </cell>
          <cell r="W16" t="str">
            <v>NULL</v>
          </cell>
          <cell r="X16">
            <v>0</v>
          </cell>
          <cell r="Z16" t="str">
            <v>SUN</v>
          </cell>
          <cell r="AB16">
            <v>8.3333333333333329E-2</v>
          </cell>
          <cell r="AC16" t="str">
            <v>OVERNIGHT</v>
          </cell>
          <cell r="AE16" t="str">
            <v>APA</v>
          </cell>
          <cell r="AF16" t="str">
            <v>PTB</v>
          </cell>
          <cell r="AH16">
            <v>10</v>
          </cell>
          <cell r="AI16" t="str">
            <v>WEEK1</v>
          </cell>
        </row>
        <row r="17">
          <cell r="B17">
            <v>1</v>
          </cell>
          <cell r="C17" t="str">
            <v>Verso Kisa</v>
          </cell>
          <cell r="D17" t="str">
            <v>X</v>
          </cell>
          <cell r="E17">
            <v>19</v>
          </cell>
          <cell r="F17">
            <v>1</v>
          </cell>
          <cell r="H17" t="str">
            <v>CINE-5</v>
          </cell>
          <cell r="I17" t="str">
            <v>CINE 5</v>
          </cell>
          <cell r="K17">
            <v>0</v>
          </cell>
          <cell r="M17" t="str">
            <v>SB</v>
          </cell>
          <cell r="N17" t="str">
            <v>STAND-BY</v>
          </cell>
          <cell r="O17">
            <v>1</v>
          </cell>
          <cell r="Q17" t="str">
            <v>K-2</v>
          </cell>
          <cell r="R17" t="str">
            <v>W</v>
          </cell>
          <cell r="V17" t="str">
            <v>N</v>
          </cell>
          <cell r="W17" t="str">
            <v>EXPECTED</v>
          </cell>
          <cell r="X17">
            <v>1</v>
          </cell>
          <cell r="Z17" t="str">
            <v>MON</v>
          </cell>
          <cell r="AB17">
            <v>0.25</v>
          </cell>
          <cell r="AC17" t="str">
            <v>BREAKFAST</v>
          </cell>
          <cell r="AE17" t="str">
            <v>API</v>
          </cell>
          <cell r="AF17" t="str">
            <v>PTW</v>
          </cell>
          <cell r="AH17">
            <v>11</v>
          </cell>
          <cell r="AI17" t="str">
            <v>WEEK2</v>
          </cell>
        </row>
        <row r="18">
          <cell r="B18">
            <v>2</v>
          </cell>
          <cell r="C18" t="str">
            <v>Maximum Ev Tekstili Bant</v>
          </cell>
          <cell r="D18" t="str">
            <v>X</v>
          </cell>
          <cell r="E18">
            <v>8</v>
          </cell>
          <cell r="F18">
            <v>1</v>
          </cell>
          <cell r="H18" t="str">
            <v>CNBC-e</v>
          </cell>
          <cell r="I18" t="str">
            <v>CNBC-e</v>
          </cell>
          <cell r="K18">
            <v>0</v>
          </cell>
          <cell r="M18" t="str">
            <v>B</v>
          </cell>
          <cell r="N18" t="str">
            <v>BARTER</v>
          </cell>
          <cell r="O18">
            <v>1</v>
          </cell>
          <cell r="Q18" t="str">
            <v>K-3</v>
          </cell>
          <cell r="R18" t="str">
            <v>W</v>
          </cell>
          <cell r="V18" t="str">
            <v>A</v>
          </cell>
          <cell r="W18" t="str">
            <v>ACTUAL</v>
          </cell>
          <cell r="X18">
            <v>1</v>
          </cell>
          <cell r="Z18" t="str">
            <v>TUE</v>
          </cell>
          <cell r="AB18">
            <v>0.33333333333333331</v>
          </cell>
          <cell r="AC18" t="str">
            <v>MORNING</v>
          </cell>
          <cell r="AE18" t="str">
            <v>OPA</v>
          </cell>
          <cell r="AF18" t="str">
            <v>OPTB</v>
          </cell>
          <cell r="AH18">
            <v>12</v>
          </cell>
          <cell r="AI18" t="str">
            <v>WEEK3</v>
          </cell>
        </row>
        <row r="19">
          <cell r="B19">
            <v>3</v>
          </cell>
          <cell r="C19" t="str">
            <v>Maximum Bant</v>
          </cell>
          <cell r="D19" t="str">
            <v>X</v>
          </cell>
          <cell r="E19">
            <v>8</v>
          </cell>
          <cell r="F19">
            <v>1</v>
          </cell>
          <cell r="H19" t="str">
            <v>CNNTURK</v>
          </cell>
          <cell r="I19" t="str">
            <v>CNNTURK</v>
          </cell>
          <cell r="K19">
            <v>0</v>
          </cell>
          <cell r="M19" t="str">
            <v>F</v>
          </cell>
          <cell r="N19" t="str">
            <v>FREE</v>
          </cell>
          <cell r="O19">
            <v>0</v>
          </cell>
          <cell r="Q19" t="str">
            <v>K-4</v>
          </cell>
          <cell r="R19" t="str">
            <v>W</v>
          </cell>
          <cell r="V19" t="str">
            <v>K</v>
          </cell>
          <cell r="W19" t="str">
            <v>EXTRA</v>
          </cell>
          <cell r="X19">
            <v>1</v>
          </cell>
          <cell r="Z19" t="str">
            <v>WED</v>
          </cell>
          <cell r="AB19">
            <v>0.5</v>
          </cell>
          <cell r="AC19" t="str">
            <v>LUNCH</v>
          </cell>
          <cell r="AE19" t="str">
            <v>OPI</v>
          </cell>
          <cell r="AF19" t="str">
            <v>OPTW</v>
          </cell>
          <cell r="AH19">
            <v>13</v>
          </cell>
          <cell r="AI19" t="str">
            <v>WEEK4</v>
          </cell>
        </row>
        <row r="20">
          <cell r="B20">
            <v>4</v>
          </cell>
          <cell r="C20" t="str">
            <v>Odessa</v>
          </cell>
          <cell r="D20" t="str">
            <v>X</v>
          </cell>
          <cell r="E20">
            <v>40</v>
          </cell>
          <cell r="F20">
            <v>1</v>
          </cell>
          <cell r="H20" t="str">
            <v>FLASH</v>
          </cell>
          <cell r="I20" t="str">
            <v>FLASH</v>
          </cell>
          <cell r="K20">
            <v>1</v>
          </cell>
          <cell r="M20" t="str">
            <v>X</v>
          </cell>
          <cell r="N20" t="str">
            <v>X</v>
          </cell>
          <cell r="O20">
            <v>0</v>
          </cell>
          <cell r="Q20" t="str">
            <v>K-5</v>
          </cell>
          <cell r="R20" t="str">
            <v>W</v>
          </cell>
          <cell r="V20" t="str">
            <v>F</v>
          </cell>
          <cell r="W20" t="str">
            <v>CONFIRMED</v>
          </cell>
          <cell r="X20">
            <v>1</v>
          </cell>
          <cell r="Z20" t="str">
            <v>THU</v>
          </cell>
          <cell r="AB20">
            <v>0.58333333333333337</v>
          </cell>
          <cell r="AC20" t="str">
            <v>AFTERNOON</v>
          </cell>
          <cell r="AH20">
            <v>14</v>
          </cell>
          <cell r="AI20" t="str">
            <v>WEEK5</v>
          </cell>
        </row>
        <row r="21">
          <cell r="B21">
            <v>5</v>
          </cell>
          <cell r="C21" t="str">
            <v>Verso</v>
          </cell>
          <cell r="D21" t="str">
            <v>X</v>
          </cell>
          <cell r="E21">
            <v>40</v>
          </cell>
          <cell r="F21">
            <v>1</v>
          </cell>
          <cell r="H21" t="str">
            <v>MELTEM TV</v>
          </cell>
          <cell r="I21" t="str">
            <v>MELTEM TV</v>
          </cell>
          <cell r="K21">
            <v>0</v>
          </cell>
          <cell r="M21" t="str">
            <v>X</v>
          </cell>
          <cell r="N21" t="str">
            <v>X</v>
          </cell>
          <cell r="O21">
            <v>0</v>
          </cell>
          <cell r="Q21" t="str">
            <v>K-6</v>
          </cell>
          <cell r="R21" t="str">
            <v>W</v>
          </cell>
          <cell r="V21" t="str">
            <v>C</v>
          </cell>
          <cell r="W21" t="str">
            <v>CANCELLED</v>
          </cell>
          <cell r="X21">
            <v>0</v>
          </cell>
          <cell r="Z21" t="str">
            <v>FRI</v>
          </cell>
          <cell r="AB21">
            <v>0.75</v>
          </cell>
          <cell r="AC21" t="str">
            <v>EARLY PRIME</v>
          </cell>
          <cell r="AH21" t="str">
            <v>X</v>
          </cell>
          <cell r="AI21" t="str">
            <v>X</v>
          </cell>
        </row>
        <row r="22">
          <cell r="B22">
            <v>6</v>
          </cell>
          <cell r="C22" t="str">
            <v>x</v>
          </cell>
          <cell r="D22" t="str">
            <v>X</v>
          </cell>
          <cell r="E22">
            <v>0</v>
          </cell>
          <cell r="F22">
            <v>0</v>
          </cell>
          <cell r="H22" t="str">
            <v>KANAL 6</v>
          </cell>
          <cell r="I22" t="str">
            <v>LOTUS</v>
          </cell>
          <cell r="K22">
            <v>0</v>
          </cell>
          <cell r="M22" t="str">
            <v>X</v>
          </cell>
          <cell r="N22" t="str">
            <v>X</v>
          </cell>
          <cell r="O22">
            <v>0</v>
          </cell>
          <cell r="Q22" t="str">
            <v>K-7</v>
          </cell>
          <cell r="R22" t="str">
            <v>W</v>
          </cell>
          <cell r="V22" t="str">
            <v>M</v>
          </cell>
          <cell r="W22" t="str">
            <v>MISSING</v>
          </cell>
          <cell r="X22">
            <v>0</v>
          </cell>
          <cell r="Z22" t="str">
            <v>SAT</v>
          </cell>
          <cell r="AB22">
            <v>0.83333333333333337</v>
          </cell>
          <cell r="AC22" t="str">
            <v>PRIME</v>
          </cell>
        </row>
        <row r="23">
          <cell r="B23">
            <v>7</v>
          </cell>
          <cell r="C23" t="str">
            <v>X</v>
          </cell>
          <cell r="D23" t="str">
            <v>X</v>
          </cell>
          <cell r="E23">
            <v>0</v>
          </cell>
          <cell r="F23">
            <v>0</v>
          </cell>
          <cell r="H23" t="str">
            <v>KANAL7</v>
          </cell>
          <cell r="I23" t="str">
            <v>KANAL7</v>
          </cell>
          <cell r="K23">
            <v>1</v>
          </cell>
          <cell r="M23" t="str">
            <v>X</v>
          </cell>
          <cell r="N23" t="str">
            <v>X</v>
          </cell>
          <cell r="O23">
            <v>0</v>
          </cell>
          <cell r="Q23" t="str">
            <v>K-8</v>
          </cell>
          <cell r="R23" t="str">
            <v>W</v>
          </cell>
          <cell r="AB23">
            <v>0.95833333333333337</v>
          </cell>
          <cell r="AC23" t="str">
            <v>LATE NIGHT</v>
          </cell>
        </row>
        <row r="24">
          <cell r="B24">
            <v>8</v>
          </cell>
          <cell r="C24" t="str">
            <v>X</v>
          </cell>
          <cell r="D24" t="str">
            <v>X</v>
          </cell>
          <cell r="E24">
            <v>0</v>
          </cell>
          <cell r="F24">
            <v>0</v>
          </cell>
          <cell r="H24" t="str">
            <v>KAND</v>
          </cell>
          <cell r="I24" t="str">
            <v>BIMAS</v>
          </cell>
          <cell r="K24">
            <v>1</v>
          </cell>
          <cell r="M24" t="str">
            <v>X</v>
          </cell>
          <cell r="N24" t="str">
            <v>X</v>
          </cell>
          <cell r="O24">
            <v>0</v>
          </cell>
          <cell r="Q24" t="str">
            <v>K-9</v>
          </cell>
          <cell r="R24" t="str">
            <v>W</v>
          </cell>
        </row>
        <row r="25">
          <cell r="B25">
            <v>9</v>
          </cell>
          <cell r="C25" t="str">
            <v>X</v>
          </cell>
          <cell r="D25" t="str">
            <v>X</v>
          </cell>
          <cell r="E25">
            <v>0</v>
          </cell>
          <cell r="F25">
            <v>0</v>
          </cell>
          <cell r="H25" t="str">
            <v>KRAL</v>
          </cell>
          <cell r="I25" t="str">
            <v>LOTUS</v>
          </cell>
          <cell r="K25">
            <v>0</v>
          </cell>
          <cell r="M25" t="str">
            <v>X</v>
          </cell>
          <cell r="N25" t="str">
            <v>X</v>
          </cell>
          <cell r="O25">
            <v>0</v>
          </cell>
          <cell r="Q25" t="str">
            <v>K-10</v>
          </cell>
          <cell r="R25" t="str">
            <v>W</v>
          </cell>
        </row>
        <row r="26">
          <cell r="B26">
            <v>10</v>
          </cell>
          <cell r="C26" t="str">
            <v>X</v>
          </cell>
          <cell r="D26" t="str">
            <v>X</v>
          </cell>
          <cell r="E26">
            <v>0</v>
          </cell>
          <cell r="F26">
            <v>0</v>
          </cell>
          <cell r="H26" t="str">
            <v>NUMBER 1</v>
          </cell>
          <cell r="I26" t="str">
            <v>NUMBER 1</v>
          </cell>
          <cell r="K26">
            <v>0</v>
          </cell>
          <cell r="M26" t="str">
            <v>X</v>
          </cell>
          <cell r="N26" t="str">
            <v>X</v>
          </cell>
          <cell r="O26">
            <v>0</v>
          </cell>
          <cell r="Q26" t="str">
            <v>K-11</v>
          </cell>
          <cell r="R26" t="str">
            <v>W</v>
          </cell>
        </row>
        <row r="27">
          <cell r="B27">
            <v>11</v>
          </cell>
          <cell r="C27" t="str">
            <v>X</v>
          </cell>
          <cell r="D27" t="str">
            <v>X</v>
          </cell>
          <cell r="E27">
            <v>0</v>
          </cell>
          <cell r="F27">
            <v>0</v>
          </cell>
          <cell r="H27" t="str">
            <v>NTV</v>
          </cell>
          <cell r="I27" t="str">
            <v>NTV</v>
          </cell>
          <cell r="K27">
            <v>0</v>
          </cell>
          <cell r="M27" t="str">
            <v>X</v>
          </cell>
          <cell r="N27" t="str">
            <v>X</v>
          </cell>
          <cell r="O27">
            <v>0</v>
          </cell>
          <cell r="Q27" t="str">
            <v>K-12</v>
          </cell>
          <cell r="R27" t="str">
            <v>W</v>
          </cell>
        </row>
        <row r="28">
          <cell r="B28">
            <v>12</v>
          </cell>
          <cell r="C28" t="str">
            <v>X</v>
          </cell>
          <cell r="D28" t="str">
            <v>X</v>
          </cell>
          <cell r="E28">
            <v>0</v>
          </cell>
          <cell r="F28">
            <v>0</v>
          </cell>
          <cell r="H28" t="str">
            <v>SHOW</v>
          </cell>
          <cell r="I28" t="str">
            <v>ZEDPAS</v>
          </cell>
          <cell r="K28">
            <v>1</v>
          </cell>
          <cell r="M28" t="str">
            <v>X</v>
          </cell>
          <cell r="N28" t="str">
            <v>X</v>
          </cell>
          <cell r="O28">
            <v>0</v>
          </cell>
          <cell r="Q28" t="str">
            <v>K-13</v>
          </cell>
          <cell r="R28" t="str">
            <v>W</v>
          </cell>
        </row>
        <row r="29">
          <cell r="B29">
            <v>13</v>
          </cell>
          <cell r="C29" t="str">
            <v>X</v>
          </cell>
          <cell r="D29" t="str">
            <v>X</v>
          </cell>
          <cell r="E29">
            <v>0</v>
          </cell>
          <cell r="F29">
            <v>0</v>
          </cell>
          <cell r="H29" t="str">
            <v>SKYTURK</v>
          </cell>
          <cell r="I29" t="str">
            <v>SKYTURK</v>
          </cell>
          <cell r="K29">
            <v>0</v>
          </cell>
          <cell r="M29" t="str">
            <v>X</v>
          </cell>
          <cell r="N29" t="str">
            <v>X</v>
          </cell>
          <cell r="O29">
            <v>0</v>
          </cell>
          <cell r="Q29" t="str">
            <v>K-14</v>
          </cell>
          <cell r="R29" t="str">
            <v>W</v>
          </cell>
        </row>
        <row r="30">
          <cell r="B30">
            <v>14</v>
          </cell>
          <cell r="C30" t="str">
            <v>X</v>
          </cell>
          <cell r="D30" t="str">
            <v>X</v>
          </cell>
          <cell r="E30">
            <v>0</v>
          </cell>
          <cell r="F30">
            <v>0</v>
          </cell>
          <cell r="H30" t="str">
            <v>STAR</v>
          </cell>
          <cell r="I30" t="str">
            <v>STAR</v>
          </cell>
          <cell r="K30">
            <v>1</v>
          </cell>
          <cell r="M30" t="str">
            <v>X</v>
          </cell>
          <cell r="N30" t="str">
            <v>X</v>
          </cell>
          <cell r="O30">
            <v>0</v>
          </cell>
          <cell r="Q30" t="str">
            <v>K-15</v>
          </cell>
          <cell r="R30" t="str">
            <v>W</v>
          </cell>
        </row>
        <row r="31">
          <cell r="B31">
            <v>15</v>
          </cell>
          <cell r="C31" t="str">
            <v>X</v>
          </cell>
          <cell r="D31" t="str">
            <v>X</v>
          </cell>
          <cell r="E31">
            <v>0</v>
          </cell>
          <cell r="F31">
            <v>0</v>
          </cell>
          <cell r="H31" t="str">
            <v>STARMAX</v>
          </cell>
          <cell r="I31" t="str">
            <v>LOTUS</v>
          </cell>
          <cell r="K31">
            <v>0</v>
          </cell>
          <cell r="M31" t="str">
            <v>X</v>
          </cell>
          <cell r="N31" t="str">
            <v>X</v>
          </cell>
          <cell r="O31">
            <v>0</v>
          </cell>
          <cell r="Q31" t="str">
            <v>K-16</v>
          </cell>
          <cell r="R31" t="str">
            <v>W</v>
          </cell>
        </row>
        <row r="32">
          <cell r="B32">
            <v>16</v>
          </cell>
          <cell r="C32" t="str">
            <v>X</v>
          </cell>
          <cell r="D32" t="str">
            <v>X</v>
          </cell>
          <cell r="E32">
            <v>0</v>
          </cell>
          <cell r="F32">
            <v>0</v>
          </cell>
          <cell r="H32" t="str">
            <v>STV</v>
          </cell>
          <cell r="I32" t="str">
            <v>STV</v>
          </cell>
          <cell r="K32">
            <v>1</v>
          </cell>
          <cell r="M32" t="str">
            <v>X</v>
          </cell>
          <cell r="N32" t="str">
            <v>X</v>
          </cell>
          <cell r="O32">
            <v>0</v>
          </cell>
          <cell r="Q32" t="str">
            <v>K-17</v>
          </cell>
          <cell r="R32" t="str">
            <v>W</v>
          </cell>
        </row>
        <row r="33">
          <cell r="B33">
            <v>17</v>
          </cell>
          <cell r="C33" t="str">
            <v>X</v>
          </cell>
          <cell r="D33" t="str">
            <v>X</v>
          </cell>
          <cell r="E33">
            <v>0</v>
          </cell>
          <cell r="F33">
            <v>0</v>
          </cell>
          <cell r="H33" t="str">
            <v>TGRT</v>
          </cell>
          <cell r="I33" t="str">
            <v>TGRT</v>
          </cell>
          <cell r="K33">
            <v>1</v>
          </cell>
          <cell r="M33" t="str">
            <v>X</v>
          </cell>
          <cell r="N33" t="str">
            <v>X</v>
          </cell>
          <cell r="O33">
            <v>0</v>
          </cell>
          <cell r="Q33" t="str">
            <v>K-18</v>
          </cell>
          <cell r="R33" t="str">
            <v>W</v>
          </cell>
        </row>
        <row r="34">
          <cell r="B34">
            <v>18</v>
          </cell>
          <cell r="C34" t="str">
            <v>X</v>
          </cell>
          <cell r="D34" t="str">
            <v>X</v>
          </cell>
          <cell r="E34">
            <v>0</v>
          </cell>
          <cell r="F34">
            <v>0</v>
          </cell>
          <cell r="H34" t="str">
            <v>TRT1</v>
          </cell>
          <cell r="I34" t="str">
            <v>TRT1</v>
          </cell>
          <cell r="J34" t="str">
            <v>act adults</v>
          </cell>
          <cell r="K34">
            <v>1</v>
          </cell>
          <cell r="M34" t="str">
            <v>X</v>
          </cell>
          <cell r="N34" t="str">
            <v>X</v>
          </cell>
          <cell r="O34">
            <v>0</v>
          </cell>
          <cell r="Q34" t="str">
            <v>K-19</v>
          </cell>
          <cell r="R34" t="str">
            <v>W</v>
          </cell>
        </row>
        <row r="35">
          <cell r="B35">
            <v>19</v>
          </cell>
          <cell r="C35" t="str">
            <v>X</v>
          </cell>
          <cell r="D35" t="str">
            <v>X</v>
          </cell>
          <cell r="E35">
            <v>0</v>
          </cell>
          <cell r="F35">
            <v>0</v>
          </cell>
          <cell r="H35" t="str">
            <v>TV8</v>
          </cell>
          <cell r="I35" t="str">
            <v>TV8</v>
          </cell>
          <cell r="K35">
            <v>0</v>
          </cell>
          <cell r="M35" t="str">
            <v>X</v>
          </cell>
          <cell r="N35" t="str">
            <v>X</v>
          </cell>
          <cell r="O35">
            <v>0</v>
          </cell>
          <cell r="Q35" t="str">
            <v>K-20</v>
          </cell>
          <cell r="R35" t="str">
            <v>W</v>
          </cell>
        </row>
        <row r="36">
          <cell r="B36">
            <v>20</v>
          </cell>
          <cell r="C36" t="str">
            <v>X</v>
          </cell>
          <cell r="D36" t="str">
            <v>X</v>
          </cell>
          <cell r="E36">
            <v>0</v>
          </cell>
          <cell r="F36">
            <v>0</v>
          </cell>
          <cell r="H36" t="str">
            <v>DREAM TV</v>
          </cell>
          <cell r="I36" t="str">
            <v>DREAM TV</v>
          </cell>
          <cell r="K36">
            <v>0</v>
          </cell>
          <cell r="M36" t="str">
            <v>X</v>
          </cell>
          <cell r="N36" t="str">
            <v>X</v>
          </cell>
          <cell r="O36">
            <v>0</v>
          </cell>
          <cell r="Q36" t="str">
            <v>K-21</v>
          </cell>
          <cell r="R36" t="str">
            <v>W</v>
          </cell>
        </row>
        <row r="37">
          <cell r="B37">
            <v>21</v>
          </cell>
          <cell r="C37" t="str">
            <v>X</v>
          </cell>
          <cell r="D37" t="str">
            <v>X</v>
          </cell>
          <cell r="E37">
            <v>0</v>
          </cell>
          <cell r="F37">
            <v>0</v>
          </cell>
          <cell r="H37" t="str">
            <v>JOY TV</v>
          </cell>
          <cell r="I37" t="str">
            <v>LOTUS</v>
          </cell>
          <cell r="K37">
            <v>0</v>
          </cell>
          <cell r="M37" t="str">
            <v>X</v>
          </cell>
          <cell r="N37" t="str">
            <v>X</v>
          </cell>
          <cell r="O37">
            <v>0</v>
          </cell>
          <cell r="Q37" t="str">
            <v>K-22</v>
          </cell>
          <cell r="R37" t="str">
            <v>W</v>
          </cell>
        </row>
        <row r="38">
          <cell r="B38">
            <v>22</v>
          </cell>
          <cell r="C38" t="str">
            <v>X</v>
          </cell>
          <cell r="D38" t="str">
            <v>X</v>
          </cell>
          <cell r="E38">
            <v>0</v>
          </cell>
          <cell r="F38">
            <v>0</v>
          </cell>
          <cell r="H38" t="str">
            <v>POWERTURK</v>
          </cell>
          <cell r="I38" t="str">
            <v>POWERTURK</v>
          </cell>
          <cell r="K38">
            <v>0</v>
          </cell>
          <cell r="M38" t="str">
            <v>X</v>
          </cell>
          <cell r="N38" t="str">
            <v>X</v>
          </cell>
          <cell r="O38">
            <v>0</v>
          </cell>
          <cell r="Q38" t="str">
            <v>K-23</v>
          </cell>
          <cell r="R38" t="str">
            <v>W</v>
          </cell>
        </row>
        <row r="39">
          <cell r="B39">
            <v>23</v>
          </cell>
          <cell r="C39" t="str">
            <v>X</v>
          </cell>
          <cell r="D39" t="str">
            <v>X</v>
          </cell>
          <cell r="E39">
            <v>0</v>
          </cell>
          <cell r="F39">
            <v>0</v>
          </cell>
          <cell r="H39" t="str">
            <v>LIG TV</v>
          </cell>
          <cell r="I39" t="str">
            <v>MEPAS</v>
          </cell>
          <cell r="K39">
            <v>0</v>
          </cell>
          <cell r="M39" t="str">
            <v>X</v>
          </cell>
          <cell r="N39" t="str">
            <v>X</v>
          </cell>
          <cell r="O39">
            <v>0</v>
          </cell>
          <cell r="Q39" t="str">
            <v>K-24</v>
          </cell>
          <cell r="R39" t="str">
            <v>W</v>
          </cell>
        </row>
        <row r="40">
          <cell r="B40">
            <v>24</v>
          </cell>
          <cell r="C40" t="str">
            <v>X</v>
          </cell>
          <cell r="D40" t="str">
            <v>X</v>
          </cell>
          <cell r="E40">
            <v>0</v>
          </cell>
          <cell r="F40">
            <v>0</v>
          </cell>
          <cell r="H40" t="str">
            <v>MOVIEMAX1</v>
          </cell>
          <cell r="I40" t="str">
            <v>DIGITURK</v>
          </cell>
          <cell r="K40">
            <v>0</v>
          </cell>
          <cell r="M40" t="str">
            <v>X</v>
          </cell>
          <cell r="N40" t="str">
            <v>X</v>
          </cell>
          <cell r="O40">
            <v>0</v>
          </cell>
          <cell r="Q40" t="str">
            <v>K-25</v>
          </cell>
          <cell r="R40" t="str">
            <v>W</v>
          </cell>
        </row>
        <row r="41">
          <cell r="B41">
            <v>25</v>
          </cell>
          <cell r="C41" t="str">
            <v>X</v>
          </cell>
          <cell r="D41" t="str">
            <v>X</v>
          </cell>
          <cell r="E41">
            <v>0</v>
          </cell>
          <cell r="F41">
            <v>0</v>
          </cell>
          <cell r="H41" t="str">
            <v>MOVIEMAX2</v>
          </cell>
          <cell r="I41" t="str">
            <v>DIGITURK</v>
          </cell>
          <cell r="K41">
            <v>0</v>
          </cell>
          <cell r="M41" t="str">
            <v>X</v>
          </cell>
          <cell r="N41" t="str">
            <v>X</v>
          </cell>
          <cell r="O41">
            <v>0</v>
          </cell>
          <cell r="Q41" t="str">
            <v>KO1</v>
          </cell>
          <cell r="R41" t="str">
            <v>B</v>
          </cell>
        </row>
        <row r="42">
          <cell r="B42">
            <v>26</v>
          </cell>
          <cell r="C42" t="str">
            <v>X</v>
          </cell>
          <cell r="D42" t="str">
            <v>X</v>
          </cell>
          <cell r="E42">
            <v>0</v>
          </cell>
          <cell r="F42">
            <v>0</v>
          </cell>
          <cell r="H42" t="str">
            <v>COMEDYMAX</v>
          </cell>
          <cell r="I42" t="str">
            <v>DIGITURK</v>
          </cell>
          <cell r="K42">
            <v>0</v>
          </cell>
          <cell r="M42" t="str">
            <v>X</v>
          </cell>
          <cell r="N42" t="str">
            <v>X</v>
          </cell>
          <cell r="O42">
            <v>0</v>
          </cell>
          <cell r="Q42" t="str">
            <v>KO2</v>
          </cell>
          <cell r="R42" t="str">
            <v>B</v>
          </cell>
        </row>
        <row r="43">
          <cell r="B43">
            <v>27</v>
          </cell>
          <cell r="C43" t="str">
            <v>X</v>
          </cell>
          <cell r="D43" t="str">
            <v>X</v>
          </cell>
          <cell r="E43">
            <v>0</v>
          </cell>
          <cell r="F43">
            <v>0</v>
          </cell>
          <cell r="H43" t="str">
            <v>KAND2</v>
          </cell>
          <cell r="I43" t="str">
            <v>BIMAS</v>
          </cell>
          <cell r="K43">
            <v>1</v>
          </cell>
          <cell r="M43" t="str">
            <v>X</v>
          </cell>
          <cell r="N43" t="str">
            <v>X</v>
          </cell>
          <cell r="O43">
            <v>0</v>
          </cell>
          <cell r="Q43" t="str">
            <v>KO3</v>
          </cell>
          <cell r="R43" t="str">
            <v>B</v>
          </cell>
        </row>
        <row r="44">
          <cell r="B44">
            <v>28</v>
          </cell>
          <cell r="C44" t="str">
            <v>X</v>
          </cell>
          <cell r="D44" t="str">
            <v>X</v>
          </cell>
          <cell r="E44">
            <v>0</v>
          </cell>
          <cell r="F44">
            <v>0</v>
          </cell>
          <cell r="H44" t="str">
            <v>MELTEM TV2</v>
          </cell>
          <cell r="I44" t="str">
            <v>MELTEM TV2</v>
          </cell>
          <cell r="K44">
            <v>0</v>
          </cell>
          <cell r="M44" t="str">
            <v>X</v>
          </cell>
          <cell r="N44" t="str">
            <v>X</v>
          </cell>
          <cell r="O44">
            <v>0</v>
          </cell>
          <cell r="Q44" t="str">
            <v>KO4</v>
          </cell>
          <cell r="R44" t="str">
            <v>B</v>
          </cell>
        </row>
        <row r="45">
          <cell r="B45">
            <v>29</v>
          </cell>
          <cell r="C45" t="str">
            <v>X</v>
          </cell>
          <cell r="D45" t="str">
            <v>X</v>
          </cell>
          <cell r="E45">
            <v>0</v>
          </cell>
          <cell r="F45">
            <v>0</v>
          </cell>
          <cell r="H45" t="str">
            <v>X</v>
          </cell>
          <cell r="I45" t="str">
            <v>X</v>
          </cell>
          <cell r="K45">
            <v>0</v>
          </cell>
          <cell r="M45" t="str">
            <v>X</v>
          </cell>
          <cell r="N45" t="str">
            <v>X</v>
          </cell>
          <cell r="O45">
            <v>0</v>
          </cell>
          <cell r="Q45" t="str">
            <v>KO5</v>
          </cell>
          <cell r="R45" t="str">
            <v>B</v>
          </cell>
        </row>
        <row r="46">
          <cell r="Q46" t="str">
            <v>KO6</v>
          </cell>
          <cell r="R46" t="str">
            <v>B</v>
          </cell>
        </row>
        <row r="47">
          <cell r="Q47" t="str">
            <v>KO7</v>
          </cell>
          <cell r="R47" t="str">
            <v>B</v>
          </cell>
        </row>
        <row r="48">
          <cell r="Q48" t="str">
            <v>KO8</v>
          </cell>
          <cell r="R48" t="str">
            <v>B</v>
          </cell>
        </row>
        <row r="49">
          <cell r="Q49" t="str">
            <v>KO9</v>
          </cell>
          <cell r="R49" t="str">
            <v>B</v>
          </cell>
        </row>
        <row r="50">
          <cell r="Q50" t="str">
            <v>KO10</v>
          </cell>
          <cell r="R50" t="str">
            <v>B</v>
          </cell>
        </row>
        <row r="51">
          <cell r="Q51" t="str">
            <v>KO11</v>
          </cell>
          <cell r="R51" t="str">
            <v>B</v>
          </cell>
        </row>
        <row r="52">
          <cell r="Q52" t="str">
            <v>KO12</v>
          </cell>
          <cell r="R52" t="str">
            <v>B</v>
          </cell>
        </row>
        <row r="53">
          <cell r="Q53" t="str">
            <v>KO13</v>
          </cell>
          <cell r="R53" t="str">
            <v>B</v>
          </cell>
        </row>
        <row r="54">
          <cell r="Q54" t="str">
            <v>KO14</v>
          </cell>
          <cell r="R54" t="str">
            <v>B</v>
          </cell>
        </row>
        <row r="55">
          <cell r="Q55" t="str">
            <v>KO15</v>
          </cell>
          <cell r="R55" t="str">
            <v>B</v>
          </cell>
        </row>
        <row r="56">
          <cell r="Q56" t="str">
            <v>KO16</v>
          </cell>
          <cell r="R56" t="str">
            <v>B</v>
          </cell>
        </row>
        <row r="57">
          <cell r="Q57" t="str">
            <v>KO17</v>
          </cell>
          <cell r="R57" t="str">
            <v>B</v>
          </cell>
        </row>
        <row r="58">
          <cell r="Q58" t="str">
            <v>KO18</v>
          </cell>
          <cell r="R58" t="str">
            <v>B</v>
          </cell>
        </row>
        <row r="59">
          <cell r="Q59" t="str">
            <v>KO19</v>
          </cell>
          <cell r="R59" t="str">
            <v>B</v>
          </cell>
        </row>
        <row r="60">
          <cell r="Q60" t="str">
            <v>KO20</v>
          </cell>
          <cell r="R60" t="str">
            <v>B</v>
          </cell>
        </row>
        <row r="61">
          <cell r="Q61" t="str">
            <v>KO21</v>
          </cell>
          <cell r="R61" t="str">
            <v>B</v>
          </cell>
        </row>
        <row r="62">
          <cell r="Q62" t="str">
            <v>KO22</v>
          </cell>
          <cell r="R62" t="str">
            <v>B</v>
          </cell>
        </row>
        <row r="63">
          <cell r="Q63" t="str">
            <v>KO23</v>
          </cell>
          <cell r="R63" t="str">
            <v>B</v>
          </cell>
        </row>
        <row r="64">
          <cell r="Q64" t="str">
            <v>KO24</v>
          </cell>
          <cell r="R64" t="str">
            <v>B</v>
          </cell>
        </row>
        <row r="65">
          <cell r="Q65" t="str">
            <v>KO25</v>
          </cell>
          <cell r="R65" t="str">
            <v>B</v>
          </cell>
        </row>
        <row r="66">
          <cell r="Q66" t="str">
            <v>APA</v>
          </cell>
          <cell r="R66" t="str">
            <v>B</v>
          </cell>
        </row>
        <row r="67">
          <cell r="Q67" t="str">
            <v>APA1</v>
          </cell>
          <cell r="R67" t="str">
            <v>B</v>
          </cell>
        </row>
        <row r="68">
          <cell r="Q68" t="str">
            <v>APA2</v>
          </cell>
          <cell r="R68" t="str">
            <v>B</v>
          </cell>
        </row>
        <row r="69">
          <cell r="Q69" t="str">
            <v>APA3</v>
          </cell>
          <cell r="R69" t="str">
            <v>B</v>
          </cell>
        </row>
        <row r="70">
          <cell r="Q70" t="str">
            <v>APA4</v>
          </cell>
          <cell r="R70" t="str">
            <v>B</v>
          </cell>
        </row>
        <row r="71">
          <cell r="Q71" t="str">
            <v>APA5</v>
          </cell>
          <cell r="R71" t="str">
            <v>B</v>
          </cell>
        </row>
        <row r="72">
          <cell r="Q72" t="str">
            <v>APA6</v>
          </cell>
          <cell r="R72" t="str">
            <v>B</v>
          </cell>
        </row>
        <row r="73">
          <cell r="Q73" t="str">
            <v>APA7</v>
          </cell>
          <cell r="R73" t="str">
            <v>B</v>
          </cell>
        </row>
        <row r="74">
          <cell r="Q74" t="str">
            <v>APA8</v>
          </cell>
          <cell r="R74" t="str">
            <v>B</v>
          </cell>
        </row>
        <row r="75">
          <cell r="Q75" t="str">
            <v>APA9</v>
          </cell>
          <cell r="R75" t="str">
            <v>B</v>
          </cell>
        </row>
        <row r="76">
          <cell r="Q76" t="str">
            <v>APA10</v>
          </cell>
          <cell r="R76" t="str">
            <v>B</v>
          </cell>
        </row>
        <row r="77">
          <cell r="Q77" t="str">
            <v>APA11</v>
          </cell>
          <cell r="R77" t="str">
            <v>B</v>
          </cell>
        </row>
        <row r="78">
          <cell r="Q78" t="str">
            <v>APA12</v>
          </cell>
          <cell r="R78" t="str">
            <v>B</v>
          </cell>
        </row>
        <row r="79">
          <cell r="Q79" t="str">
            <v>API</v>
          </cell>
          <cell r="R79" t="str">
            <v>W</v>
          </cell>
        </row>
        <row r="80">
          <cell r="Q80" t="str">
            <v>API1</v>
          </cell>
          <cell r="R80" t="str">
            <v>W</v>
          </cell>
        </row>
        <row r="81">
          <cell r="Q81" t="str">
            <v>API2</v>
          </cell>
          <cell r="R81" t="str">
            <v>W</v>
          </cell>
        </row>
        <row r="82">
          <cell r="Q82" t="str">
            <v>API3</v>
          </cell>
          <cell r="R82" t="str">
            <v>W</v>
          </cell>
        </row>
        <row r="83">
          <cell r="Q83" t="str">
            <v>API4</v>
          </cell>
          <cell r="R83" t="str">
            <v>W</v>
          </cell>
        </row>
        <row r="84">
          <cell r="Q84" t="str">
            <v>API5</v>
          </cell>
          <cell r="R84" t="str">
            <v>W</v>
          </cell>
        </row>
        <row r="85">
          <cell r="Q85" t="str">
            <v>API6</v>
          </cell>
          <cell r="R85" t="str">
            <v>W</v>
          </cell>
        </row>
        <row r="86">
          <cell r="Q86" t="str">
            <v>API7</v>
          </cell>
          <cell r="R86" t="str">
            <v>W</v>
          </cell>
        </row>
        <row r="87">
          <cell r="Q87" t="str">
            <v>API8</v>
          </cell>
          <cell r="R87" t="str">
            <v>W</v>
          </cell>
        </row>
        <row r="88">
          <cell r="Q88" t="str">
            <v>API9</v>
          </cell>
          <cell r="R88" t="str">
            <v>W</v>
          </cell>
        </row>
        <row r="89">
          <cell r="Q89" t="str">
            <v>API10</v>
          </cell>
          <cell r="R89" t="str">
            <v>W</v>
          </cell>
        </row>
        <row r="90">
          <cell r="Q90" t="str">
            <v>API11</v>
          </cell>
          <cell r="R90" t="str">
            <v>W</v>
          </cell>
        </row>
        <row r="91">
          <cell r="Q91" t="str">
            <v>API12</v>
          </cell>
          <cell r="R91" t="str">
            <v>W</v>
          </cell>
        </row>
        <row r="92">
          <cell r="Q92" t="str">
            <v>OPA</v>
          </cell>
          <cell r="R92" t="str">
            <v>B</v>
          </cell>
        </row>
        <row r="93">
          <cell r="Q93" t="str">
            <v>OPA1</v>
          </cell>
          <cell r="R93" t="str">
            <v>B</v>
          </cell>
        </row>
        <row r="94">
          <cell r="Q94" t="str">
            <v>OPA2</v>
          </cell>
          <cell r="R94" t="str">
            <v>B</v>
          </cell>
        </row>
        <row r="95">
          <cell r="Q95" t="str">
            <v>OPA3</v>
          </cell>
          <cell r="R95" t="str">
            <v>B</v>
          </cell>
        </row>
        <row r="96">
          <cell r="Q96" t="str">
            <v>OPA4</v>
          </cell>
          <cell r="R96" t="str">
            <v>B</v>
          </cell>
        </row>
        <row r="97">
          <cell r="Q97" t="str">
            <v>OPA5</v>
          </cell>
          <cell r="R97" t="str">
            <v>B</v>
          </cell>
        </row>
        <row r="98">
          <cell r="Q98" t="str">
            <v>OPA6</v>
          </cell>
          <cell r="R98" t="str">
            <v>B</v>
          </cell>
        </row>
        <row r="99">
          <cell r="Q99" t="str">
            <v>OPA7</v>
          </cell>
          <cell r="R99" t="str">
            <v>B</v>
          </cell>
        </row>
        <row r="100">
          <cell r="Q100" t="str">
            <v>OPA8</v>
          </cell>
          <cell r="R100" t="str">
            <v>B</v>
          </cell>
        </row>
        <row r="101">
          <cell r="Q101" t="str">
            <v>OPA9</v>
          </cell>
          <cell r="R101" t="str">
            <v>B</v>
          </cell>
        </row>
        <row r="102">
          <cell r="Q102" t="str">
            <v>OPA10</v>
          </cell>
          <cell r="R102" t="str">
            <v>B</v>
          </cell>
        </row>
        <row r="103">
          <cell r="Q103" t="str">
            <v>OPA11</v>
          </cell>
          <cell r="R103" t="str">
            <v>B</v>
          </cell>
        </row>
        <row r="104">
          <cell r="Q104" t="str">
            <v>OPA12</v>
          </cell>
          <cell r="R104" t="str">
            <v>B</v>
          </cell>
        </row>
        <row r="105">
          <cell r="Q105" t="str">
            <v>OPI</v>
          </cell>
          <cell r="R105" t="str">
            <v>W</v>
          </cell>
        </row>
        <row r="106">
          <cell r="Q106" t="str">
            <v>OPI1</v>
          </cell>
          <cell r="R106" t="str">
            <v>W</v>
          </cell>
        </row>
        <row r="107">
          <cell r="Q107" t="str">
            <v>OPI2</v>
          </cell>
          <cell r="R107" t="str">
            <v>W</v>
          </cell>
        </row>
        <row r="108">
          <cell r="Q108" t="str">
            <v>OPI3</v>
          </cell>
          <cell r="R108" t="str">
            <v>W</v>
          </cell>
        </row>
        <row r="109">
          <cell r="Q109" t="str">
            <v>OPI4</v>
          </cell>
          <cell r="R109" t="str">
            <v>W</v>
          </cell>
        </row>
        <row r="110">
          <cell r="Q110" t="str">
            <v>OPI5</v>
          </cell>
          <cell r="R110" t="str">
            <v>W</v>
          </cell>
        </row>
        <row r="111">
          <cell r="Q111" t="str">
            <v>OPI6</v>
          </cell>
          <cell r="R111" t="str">
            <v>W</v>
          </cell>
        </row>
        <row r="112">
          <cell r="Q112" t="str">
            <v>OPI7</v>
          </cell>
          <cell r="R112" t="str">
            <v>W</v>
          </cell>
        </row>
        <row r="113">
          <cell r="Q113" t="str">
            <v>OPI8</v>
          </cell>
          <cell r="R113" t="str">
            <v>W</v>
          </cell>
        </row>
        <row r="114">
          <cell r="Q114" t="str">
            <v>OPI9</v>
          </cell>
          <cell r="R114" t="str">
            <v>W</v>
          </cell>
        </row>
        <row r="115">
          <cell r="Q115" t="str">
            <v>OPI10</v>
          </cell>
          <cell r="R115" t="str">
            <v>W</v>
          </cell>
        </row>
        <row r="116">
          <cell r="Q116" t="str">
            <v>OPI11</v>
          </cell>
          <cell r="R116" t="str">
            <v>W</v>
          </cell>
        </row>
        <row r="117">
          <cell r="Q117" t="str">
            <v>OPI12</v>
          </cell>
          <cell r="R117" t="str">
            <v>W</v>
          </cell>
        </row>
        <row r="118">
          <cell r="Q118" t="str">
            <v>OZEL</v>
          </cell>
          <cell r="R118" t="str">
            <v>W</v>
          </cell>
        </row>
        <row r="119">
          <cell r="Q119" t="str">
            <v>OPA</v>
          </cell>
          <cell r="R119" t="str">
            <v>B</v>
          </cell>
        </row>
        <row r="120">
          <cell r="Q120" t="str">
            <v>OPI</v>
          </cell>
          <cell r="R120" t="str">
            <v>W</v>
          </cell>
        </row>
        <row r="121">
          <cell r="Q121" t="str">
            <v>APA</v>
          </cell>
          <cell r="R121" t="str">
            <v>B</v>
          </cell>
        </row>
        <row r="122">
          <cell r="Q122" t="str">
            <v>API</v>
          </cell>
          <cell r="R122" t="str">
            <v>W</v>
          </cell>
        </row>
        <row r="123">
          <cell r="Q123" t="str">
            <v>OPT</v>
          </cell>
          <cell r="R123" t="str">
            <v>W</v>
          </cell>
        </row>
        <row r="124">
          <cell r="Q124" t="str">
            <v>PT</v>
          </cell>
          <cell r="R124" t="str">
            <v>W</v>
          </cell>
        </row>
        <row r="125">
          <cell r="Q125" t="str">
            <v>KO26</v>
          </cell>
          <cell r="R125" t="str">
            <v>W</v>
          </cell>
        </row>
        <row r="126">
          <cell r="Q126" t="str">
            <v>K-26</v>
          </cell>
          <cell r="R126" t="str">
            <v>W</v>
          </cell>
        </row>
        <row r="127">
          <cell r="Q127" t="str">
            <v>APA13</v>
          </cell>
          <cell r="R127" t="str">
            <v>B</v>
          </cell>
        </row>
        <row r="128">
          <cell r="Q128" t="str">
            <v>API13</v>
          </cell>
          <cell r="R128" t="str">
            <v>W</v>
          </cell>
        </row>
        <row r="129">
          <cell r="Q129" t="str">
            <v>X</v>
          </cell>
          <cell r="R129" t="str">
            <v>X</v>
          </cell>
        </row>
        <row r="130">
          <cell r="Q130" t="str">
            <v>X</v>
          </cell>
          <cell r="R130" t="str">
            <v>X</v>
          </cell>
        </row>
        <row r="131">
          <cell r="Q131" t="str">
            <v>X</v>
          </cell>
          <cell r="R131" t="str">
            <v>X</v>
          </cell>
        </row>
        <row r="132">
          <cell r="Q132" t="str">
            <v>X</v>
          </cell>
          <cell r="R132" t="str">
            <v>X</v>
          </cell>
        </row>
        <row r="133">
          <cell r="Q133" t="str">
            <v>X</v>
          </cell>
          <cell r="R133" t="str">
            <v>X</v>
          </cell>
        </row>
        <row r="134">
          <cell r="Q134" t="str">
            <v>X</v>
          </cell>
          <cell r="R134" t="str">
            <v>X</v>
          </cell>
        </row>
        <row r="135">
          <cell r="Q135" t="str">
            <v>X</v>
          </cell>
          <cell r="R135" t="str">
            <v>X</v>
          </cell>
        </row>
        <row r="136">
          <cell r="Q136" t="str">
            <v>X</v>
          </cell>
          <cell r="R136" t="str">
            <v>X</v>
          </cell>
        </row>
        <row r="137">
          <cell r="Q137" t="str">
            <v>X</v>
          </cell>
          <cell r="R137" t="str">
            <v>X</v>
          </cell>
        </row>
        <row r="138">
          <cell r="Q138" t="str">
            <v>X</v>
          </cell>
          <cell r="R138" t="str">
            <v>X</v>
          </cell>
        </row>
        <row r="139">
          <cell r="Q139" t="str">
            <v>X</v>
          </cell>
          <cell r="R139" t="str">
            <v>X</v>
          </cell>
        </row>
        <row r="140">
          <cell r="Q140" t="str">
            <v>X</v>
          </cell>
          <cell r="R140" t="str">
            <v>X</v>
          </cell>
        </row>
        <row r="141">
          <cell r="Q141" t="str">
            <v>X</v>
          </cell>
          <cell r="R141" t="str">
            <v>X</v>
          </cell>
        </row>
        <row r="142">
          <cell r="Q142" t="str">
            <v>X</v>
          </cell>
          <cell r="R142" t="str">
            <v>X</v>
          </cell>
        </row>
        <row r="143">
          <cell r="Q143" t="str">
            <v>X</v>
          </cell>
          <cell r="R143" t="str">
            <v>X</v>
          </cell>
        </row>
        <row r="144">
          <cell r="Q144" t="str">
            <v>X</v>
          </cell>
          <cell r="R144" t="str">
            <v>X</v>
          </cell>
        </row>
        <row r="145">
          <cell r="Q145" t="str">
            <v>X</v>
          </cell>
          <cell r="R145" t="str">
            <v>X</v>
          </cell>
        </row>
        <row r="146">
          <cell r="Q146" t="str">
            <v>X</v>
          </cell>
          <cell r="R146" t="str">
            <v>X</v>
          </cell>
        </row>
        <row r="147">
          <cell r="Q147" t="str">
            <v>X</v>
          </cell>
          <cell r="R147" t="str">
            <v>X</v>
          </cell>
        </row>
        <row r="148">
          <cell r="Q148" t="str">
            <v>X</v>
          </cell>
          <cell r="R148" t="str">
            <v>X</v>
          </cell>
        </row>
        <row r="149">
          <cell r="Q149" t="str">
            <v>X</v>
          </cell>
          <cell r="R149" t="str">
            <v>X</v>
          </cell>
        </row>
        <row r="150">
          <cell r="Q150" t="str">
            <v>X</v>
          </cell>
          <cell r="R150" t="str">
            <v>X</v>
          </cell>
        </row>
        <row r="151">
          <cell r="Q151" t="str">
            <v>X</v>
          </cell>
          <cell r="R151" t="str">
            <v>X</v>
          </cell>
        </row>
        <row r="152">
          <cell r="Q152" t="str">
            <v>X</v>
          </cell>
          <cell r="R152" t="str">
            <v>X</v>
          </cell>
        </row>
        <row r="153">
          <cell r="Q153" t="str">
            <v>X</v>
          </cell>
          <cell r="R153" t="str">
            <v>X</v>
          </cell>
        </row>
        <row r="154">
          <cell r="Q154" t="str">
            <v>X</v>
          </cell>
          <cell r="R154" t="str">
            <v>X</v>
          </cell>
        </row>
        <row r="155">
          <cell r="Q155" t="str">
            <v>X</v>
          </cell>
          <cell r="R155" t="str">
            <v>X</v>
          </cell>
        </row>
        <row r="156">
          <cell r="Q156" t="str">
            <v>X</v>
          </cell>
          <cell r="R156" t="str">
            <v>X</v>
          </cell>
        </row>
        <row r="157">
          <cell r="Q157" t="str">
            <v>X</v>
          </cell>
          <cell r="R157" t="str">
            <v>X</v>
          </cell>
        </row>
        <row r="158">
          <cell r="Q158" t="str">
            <v>X</v>
          </cell>
          <cell r="R158" t="str">
            <v>X</v>
          </cell>
        </row>
        <row r="159">
          <cell r="Q159" t="str">
            <v>X</v>
          </cell>
          <cell r="R159" t="str">
            <v>X</v>
          </cell>
        </row>
        <row r="160">
          <cell r="Q160" t="str">
            <v>X</v>
          </cell>
          <cell r="R160" t="str">
            <v>X</v>
          </cell>
        </row>
        <row r="161">
          <cell r="Q161" t="str">
            <v>X</v>
          </cell>
          <cell r="R161" t="str">
            <v>X</v>
          </cell>
        </row>
        <row r="162">
          <cell r="Q162" t="str">
            <v>X</v>
          </cell>
          <cell r="R162" t="str">
            <v>X</v>
          </cell>
        </row>
        <row r="163">
          <cell r="Q163" t="str">
            <v>X</v>
          </cell>
          <cell r="R163" t="str">
            <v>X</v>
          </cell>
        </row>
        <row r="164">
          <cell r="Q164" t="str">
            <v>X</v>
          </cell>
          <cell r="R164" t="str">
            <v>X</v>
          </cell>
        </row>
        <row r="165">
          <cell r="Q165" t="str">
            <v>X</v>
          </cell>
          <cell r="R165" t="str">
            <v>X</v>
          </cell>
        </row>
      </sheetData>
      <sheetData sheetId="1" refreshError="1">
        <row r="3">
          <cell r="M3" t="str">
            <v>&lt;ALL CHANNELS&gt;</v>
          </cell>
          <cell r="O3" t="str">
            <v>&lt;ALL DISCOUNTS&gt;</v>
          </cell>
          <cell r="P3" t="str">
            <v>&lt;ALL DISCOUNTS&gt;</v>
          </cell>
          <cell r="R3" t="str">
            <v>&lt;ALL COPIES&gt;</v>
          </cell>
          <cell r="S3" t="str">
            <v>&lt;ALL COPIES&gt;</v>
          </cell>
          <cell r="U3" t="str">
            <v>&lt;ALL DATES&gt;</v>
          </cell>
          <cell r="X3" t="str">
            <v>&lt;REPORTS&gt;</v>
          </cell>
          <cell r="Z3" t="str">
            <v>&lt;DATA&gt;</v>
          </cell>
          <cell r="AB3" t="str">
            <v>&lt;TOOLS&gt;</v>
          </cell>
        </row>
        <row r="4">
          <cell r="M4" t="str">
            <v>ATV</v>
          </cell>
          <cell r="O4">
            <v>0</v>
          </cell>
          <cell r="P4" t="str">
            <v>NORMAL (0)</v>
          </cell>
          <cell r="R4">
            <v>0</v>
          </cell>
          <cell r="S4" t="str">
            <v>Odessa Kisa (19)</v>
          </cell>
          <cell r="U4">
            <v>38047</v>
          </cell>
          <cell r="X4" t="str">
            <v>Summary</v>
          </cell>
          <cell r="Z4" t="str">
            <v>Sort by Actual CPP</v>
          </cell>
          <cell r="AB4" t="str">
            <v>Compile/Update</v>
          </cell>
        </row>
        <row r="5">
          <cell r="M5" t="str">
            <v>CINE-5</v>
          </cell>
          <cell r="O5" t="str">
            <v>SB</v>
          </cell>
          <cell r="P5" t="str">
            <v>STAND-BY (SB)</v>
          </cell>
          <cell r="R5">
            <v>1</v>
          </cell>
          <cell r="S5" t="str">
            <v>Verso Kisa (19)</v>
          </cell>
          <cell r="U5">
            <v>38048</v>
          </cell>
          <cell r="X5" t="str">
            <v>Spotlist</v>
          </cell>
          <cell r="Z5" t="str">
            <v>Sort by Weighted CPP</v>
          </cell>
        </row>
        <row r="6">
          <cell r="M6" t="str">
            <v>CNBC-e</v>
          </cell>
          <cell r="O6" t="str">
            <v>B</v>
          </cell>
          <cell r="P6" t="str">
            <v>BARTER (B)</v>
          </cell>
          <cell r="R6">
            <v>2</v>
          </cell>
          <cell r="S6" t="str">
            <v>Maximum Ev Tekstili Bant (8)</v>
          </cell>
          <cell r="U6">
            <v>38049</v>
          </cell>
          <cell r="X6" t="str">
            <v>Summary by Weeks</v>
          </cell>
          <cell r="Z6" t="str">
            <v>Sort by Chn,Date,Time</v>
          </cell>
        </row>
        <row r="7">
          <cell r="M7" t="str">
            <v>CNNTURK</v>
          </cell>
          <cell r="O7" t="str">
            <v>F</v>
          </cell>
          <cell r="P7" t="str">
            <v>FREE (F)</v>
          </cell>
          <cell r="R7">
            <v>3</v>
          </cell>
          <cell r="S7" t="str">
            <v>Maximum Bant (8)</v>
          </cell>
          <cell r="U7">
            <v>38050</v>
          </cell>
          <cell r="X7" t="str">
            <v>Reservation Form</v>
          </cell>
          <cell r="Z7" t="str">
            <v>Sort by Campaign Spots</v>
          </cell>
        </row>
        <row r="8">
          <cell r="M8" t="str">
            <v>FLASH</v>
          </cell>
          <cell r="O8" t="str">
            <v>X</v>
          </cell>
          <cell r="P8" t="str">
            <v>X (X)</v>
          </cell>
          <cell r="R8">
            <v>4</v>
          </cell>
          <cell r="S8" t="str">
            <v>Odessa (40)</v>
          </cell>
          <cell r="U8">
            <v>38051</v>
          </cell>
          <cell r="X8" t="str">
            <v>Cancellation Form</v>
          </cell>
          <cell r="Z8" t="str">
            <v>Copy Selected Spots</v>
          </cell>
        </row>
        <row r="9">
          <cell r="M9" t="str">
            <v>MELTEM TV</v>
          </cell>
          <cell r="O9" t="str">
            <v>X</v>
          </cell>
          <cell r="P9" t="str">
            <v>X (X)</v>
          </cell>
          <cell r="R9">
            <v>5</v>
          </cell>
          <cell r="S9" t="str">
            <v>Verso (40)</v>
          </cell>
          <cell r="U9">
            <v>38052</v>
          </cell>
        </row>
        <row r="10">
          <cell r="M10" t="str">
            <v>KANAL 6</v>
          </cell>
          <cell r="O10" t="str">
            <v>X</v>
          </cell>
          <cell r="P10" t="str">
            <v>X (X)</v>
          </cell>
          <cell r="R10">
            <v>6</v>
          </cell>
          <cell r="S10" t="str">
            <v>x (0)</v>
          </cell>
          <cell r="U10">
            <v>38053</v>
          </cell>
        </row>
        <row r="11">
          <cell r="M11" t="str">
            <v>KANAL7</v>
          </cell>
          <cell r="O11" t="str">
            <v>X</v>
          </cell>
          <cell r="P11" t="str">
            <v>X (X)</v>
          </cell>
          <cell r="R11">
            <v>7</v>
          </cell>
          <cell r="S11" t="str">
            <v>X (0)</v>
          </cell>
          <cell r="U11">
            <v>38054</v>
          </cell>
        </row>
        <row r="12">
          <cell r="M12" t="str">
            <v>KAND</v>
          </cell>
          <cell r="O12" t="str">
            <v>X</v>
          </cell>
          <cell r="P12" t="str">
            <v>X (X)</v>
          </cell>
          <cell r="R12">
            <v>8</v>
          </cell>
          <cell r="S12" t="str">
            <v>X (0)</v>
          </cell>
          <cell r="U12">
            <v>38055</v>
          </cell>
        </row>
        <row r="13">
          <cell r="M13" t="str">
            <v>KRAL</v>
          </cell>
          <cell r="O13" t="str">
            <v>X</v>
          </cell>
          <cell r="P13" t="str">
            <v>X (X)</v>
          </cell>
          <cell r="R13">
            <v>9</v>
          </cell>
          <cell r="S13" t="str">
            <v>X (0)</v>
          </cell>
          <cell r="U13">
            <v>38056</v>
          </cell>
        </row>
        <row r="14">
          <cell r="M14" t="str">
            <v>NUMBER 1</v>
          </cell>
          <cell r="O14" t="str">
            <v>X</v>
          </cell>
          <cell r="P14" t="str">
            <v>X (X)</v>
          </cell>
          <cell r="R14">
            <v>10</v>
          </cell>
          <cell r="S14" t="str">
            <v>X (0)</v>
          </cell>
          <cell r="U14">
            <v>38057</v>
          </cell>
        </row>
        <row r="15">
          <cell r="M15" t="str">
            <v>NTV</v>
          </cell>
          <cell r="O15" t="str">
            <v>X</v>
          </cell>
          <cell r="P15" t="str">
            <v>X (X)</v>
          </cell>
          <cell r="R15">
            <v>11</v>
          </cell>
          <cell r="S15" t="str">
            <v>X (0)</v>
          </cell>
          <cell r="U15">
            <v>38058</v>
          </cell>
        </row>
        <row r="16">
          <cell r="M16" t="str">
            <v>SHOW</v>
          </cell>
          <cell r="O16" t="str">
            <v>X</v>
          </cell>
          <cell r="P16" t="str">
            <v>X (X)</v>
          </cell>
          <cell r="R16">
            <v>12</v>
          </cell>
          <cell r="S16" t="str">
            <v>X (0)</v>
          </cell>
          <cell r="U16">
            <v>38059</v>
          </cell>
        </row>
        <row r="17">
          <cell r="M17" t="str">
            <v>SKYTURK</v>
          </cell>
          <cell r="O17" t="str">
            <v>X</v>
          </cell>
          <cell r="P17" t="str">
            <v>X (X)</v>
          </cell>
          <cell r="R17">
            <v>13</v>
          </cell>
          <cell r="S17" t="str">
            <v>X (0)</v>
          </cell>
          <cell r="U17">
            <v>38060</v>
          </cell>
        </row>
        <row r="18">
          <cell r="M18" t="str">
            <v>STAR</v>
          </cell>
          <cell r="O18" t="str">
            <v>X</v>
          </cell>
          <cell r="P18" t="str">
            <v>X (X)</v>
          </cell>
          <cell r="R18">
            <v>14</v>
          </cell>
          <cell r="S18" t="str">
            <v>X (0)</v>
          </cell>
          <cell r="U18">
            <v>38061</v>
          </cell>
        </row>
        <row r="19">
          <cell r="M19" t="str">
            <v>STARMAX</v>
          </cell>
          <cell r="O19" t="str">
            <v>X</v>
          </cell>
          <cell r="P19" t="str">
            <v>X (X)</v>
          </cell>
          <cell r="R19">
            <v>15</v>
          </cell>
          <cell r="S19" t="str">
            <v>X (0)</v>
          </cell>
          <cell r="U19">
            <v>38062</v>
          </cell>
        </row>
        <row r="20">
          <cell r="M20" t="str">
            <v>STV</v>
          </cell>
          <cell r="O20" t="str">
            <v>X</v>
          </cell>
          <cell r="P20" t="str">
            <v>X (X)</v>
          </cell>
          <cell r="R20">
            <v>16</v>
          </cell>
          <cell r="S20" t="str">
            <v>X (0)</v>
          </cell>
          <cell r="U20">
            <v>38063</v>
          </cell>
        </row>
        <row r="21">
          <cell r="M21" t="str">
            <v>TGRT</v>
          </cell>
          <cell r="O21" t="str">
            <v>X</v>
          </cell>
          <cell r="P21" t="str">
            <v>X (X)</v>
          </cell>
          <cell r="R21">
            <v>17</v>
          </cell>
          <cell r="S21" t="str">
            <v>X (0)</v>
          </cell>
          <cell r="U21">
            <v>38064</v>
          </cell>
        </row>
        <row r="22">
          <cell r="M22" t="str">
            <v>TRT1</v>
          </cell>
          <cell r="O22" t="str">
            <v>X</v>
          </cell>
          <cell r="P22" t="str">
            <v>X (X)</v>
          </cell>
          <cell r="R22">
            <v>18</v>
          </cell>
          <cell r="S22" t="str">
            <v>X (0)</v>
          </cell>
          <cell r="U22">
            <v>38065</v>
          </cell>
        </row>
        <row r="23">
          <cell r="M23" t="str">
            <v>TV8</v>
          </cell>
          <cell r="O23" t="str">
            <v>X</v>
          </cell>
          <cell r="P23" t="str">
            <v>X (X)</v>
          </cell>
          <cell r="R23">
            <v>19</v>
          </cell>
          <cell r="S23" t="str">
            <v>X (0)</v>
          </cell>
          <cell r="U23">
            <v>38066</v>
          </cell>
        </row>
        <row r="24">
          <cell r="M24" t="str">
            <v>DREAM TV</v>
          </cell>
          <cell r="O24" t="str">
            <v>X</v>
          </cell>
          <cell r="P24" t="str">
            <v>X (X)</v>
          </cell>
          <cell r="R24">
            <v>20</v>
          </cell>
          <cell r="S24" t="str">
            <v>X (0)</v>
          </cell>
          <cell r="U24">
            <v>38067</v>
          </cell>
        </row>
        <row r="25">
          <cell r="M25" t="str">
            <v>JOY TV</v>
          </cell>
          <cell r="O25" t="str">
            <v>X</v>
          </cell>
          <cell r="P25" t="str">
            <v>X (X)</v>
          </cell>
          <cell r="R25">
            <v>21</v>
          </cell>
          <cell r="S25" t="str">
            <v>X (0)</v>
          </cell>
          <cell r="U25">
            <v>38068</v>
          </cell>
        </row>
        <row r="26">
          <cell r="M26" t="str">
            <v>POWERTURK</v>
          </cell>
          <cell r="O26" t="str">
            <v>X</v>
          </cell>
          <cell r="P26" t="str">
            <v>X (X)</v>
          </cell>
          <cell r="R26">
            <v>22</v>
          </cell>
          <cell r="S26" t="str">
            <v>X (0)</v>
          </cell>
          <cell r="U26">
            <v>38069</v>
          </cell>
        </row>
        <row r="27">
          <cell r="M27" t="str">
            <v>LIG TV</v>
          </cell>
          <cell r="O27" t="str">
            <v>X</v>
          </cell>
          <cell r="P27" t="str">
            <v>X (X)</v>
          </cell>
          <cell r="R27">
            <v>23</v>
          </cell>
          <cell r="S27" t="str">
            <v>X (0)</v>
          </cell>
          <cell r="U27">
            <v>38070</v>
          </cell>
        </row>
        <row r="28">
          <cell r="M28" t="str">
            <v>MOVIEMAX1</v>
          </cell>
          <cell r="O28" t="str">
            <v>X</v>
          </cell>
          <cell r="P28" t="str">
            <v>X (X)</v>
          </cell>
          <cell r="R28">
            <v>24</v>
          </cell>
          <cell r="S28" t="str">
            <v>X (0)</v>
          </cell>
          <cell r="U28">
            <v>38071</v>
          </cell>
        </row>
        <row r="29">
          <cell r="M29" t="str">
            <v>MOVIEMAX2</v>
          </cell>
          <cell r="O29" t="str">
            <v>X</v>
          </cell>
          <cell r="P29" t="str">
            <v>X (X)</v>
          </cell>
          <cell r="R29">
            <v>25</v>
          </cell>
          <cell r="S29" t="str">
            <v>X (0)</v>
          </cell>
          <cell r="U29">
            <v>38072</v>
          </cell>
        </row>
        <row r="30">
          <cell r="M30" t="str">
            <v>COMEDYMAX</v>
          </cell>
          <cell r="O30" t="str">
            <v>X</v>
          </cell>
          <cell r="P30" t="str">
            <v>X (X)</v>
          </cell>
          <cell r="R30">
            <v>26</v>
          </cell>
          <cell r="S30" t="str">
            <v>X (0)</v>
          </cell>
          <cell r="U30">
            <v>38073</v>
          </cell>
        </row>
        <row r="31">
          <cell r="M31" t="str">
            <v>KAND2</v>
          </cell>
          <cell r="O31" t="str">
            <v>X</v>
          </cell>
          <cell r="P31" t="str">
            <v>X (X)</v>
          </cell>
          <cell r="R31">
            <v>27</v>
          </cell>
          <cell r="S31" t="str">
            <v>X (0)</v>
          </cell>
          <cell r="U31">
            <v>38074</v>
          </cell>
        </row>
        <row r="32">
          <cell r="M32" t="str">
            <v>MELTEM TV2</v>
          </cell>
          <cell r="O32" t="str">
            <v>X</v>
          </cell>
          <cell r="P32" t="str">
            <v>X (X)</v>
          </cell>
          <cell r="R32">
            <v>28</v>
          </cell>
          <cell r="S32" t="str">
            <v>X (0)</v>
          </cell>
          <cell r="U32">
            <v>38075</v>
          </cell>
        </row>
        <row r="33">
          <cell r="M33" t="str">
            <v>X</v>
          </cell>
          <cell r="O33" t="str">
            <v>X</v>
          </cell>
          <cell r="P33" t="str">
            <v>X (X)</v>
          </cell>
          <cell r="R33">
            <v>29</v>
          </cell>
          <cell r="S33" t="str">
            <v>X (0)</v>
          </cell>
          <cell r="U33">
            <v>38076</v>
          </cell>
        </row>
        <row r="34">
          <cell r="U34">
            <v>38077</v>
          </cell>
        </row>
        <row r="35">
          <cell r="U35" t="str">
            <v>X</v>
          </cell>
        </row>
        <row r="36">
          <cell r="U36" t="str">
            <v>X</v>
          </cell>
        </row>
        <row r="37">
          <cell r="U37" t="str">
            <v>X</v>
          </cell>
        </row>
        <row r="38">
          <cell r="U38" t="str">
            <v>X</v>
          </cell>
        </row>
        <row r="39">
          <cell r="U39" t="str">
            <v>X</v>
          </cell>
        </row>
        <row r="40">
          <cell r="U40" t="str">
            <v>X</v>
          </cell>
        </row>
        <row r="41">
          <cell r="U41" t="str">
            <v>X</v>
          </cell>
        </row>
        <row r="42">
          <cell r="U42" t="str">
            <v>X</v>
          </cell>
        </row>
        <row r="43">
          <cell r="U43" t="str">
            <v>X</v>
          </cell>
        </row>
        <row r="44">
          <cell r="U44" t="str">
            <v>X</v>
          </cell>
        </row>
        <row r="45">
          <cell r="U45" t="str">
            <v>X</v>
          </cell>
        </row>
        <row r="46">
          <cell r="U46" t="str">
            <v>X</v>
          </cell>
        </row>
        <row r="47">
          <cell r="U47" t="str">
            <v>X</v>
          </cell>
        </row>
        <row r="48">
          <cell r="U48" t="str">
            <v>X</v>
          </cell>
        </row>
        <row r="49">
          <cell r="U49" t="str">
            <v>X</v>
          </cell>
        </row>
        <row r="50">
          <cell r="U50" t="str">
            <v>X</v>
          </cell>
        </row>
        <row r="51">
          <cell r="U51" t="str">
            <v>X</v>
          </cell>
        </row>
        <row r="52">
          <cell r="U52" t="str">
            <v>X</v>
          </cell>
        </row>
        <row r="53">
          <cell r="U53" t="str">
            <v>X</v>
          </cell>
        </row>
        <row r="54">
          <cell r="U54" t="str">
            <v>X</v>
          </cell>
        </row>
        <row r="55">
          <cell r="U55" t="str">
            <v>X</v>
          </cell>
        </row>
        <row r="56">
          <cell r="U56" t="str">
            <v>X</v>
          </cell>
        </row>
        <row r="57">
          <cell r="U57" t="str">
            <v>X</v>
          </cell>
        </row>
        <row r="58">
          <cell r="U58" t="str">
            <v>X</v>
          </cell>
        </row>
        <row r="59">
          <cell r="U59" t="str">
            <v>X</v>
          </cell>
        </row>
        <row r="60">
          <cell r="U60" t="str">
            <v>X</v>
          </cell>
        </row>
        <row r="61">
          <cell r="U61" t="str">
            <v>X</v>
          </cell>
        </row>
        <row r="62">
          <cell r="U62" t="str">
            <v>X</v>
          </cell>
        </row>
        <row r="63">
          <cell r="U63" t="str">
            <v>X</v>
          </cell>
        </row>
        <row r="64">
          <cell r="U64" t="str">
            <v>X</v>
          </cell>
        </row>
        <row r="65">
          <cell r="U65" t="str">
            <v>X</v>
          </cell>
        </row>
        <row r="66">
          <cell r="U66" t="str">
            <v>X</v>
          </cell>
        </row>
        <row r="67">
          <cell r="U67" t="str">
            <v>X</v>
          </cell>
        </row>
        <row r="68">
          <cell r="U68" t="str">
            <v>X</v>
          </cell>
        </row>
        <row r="69">
          <cell r="U69" t="str">
            <v>X</v>
          </cell>
        </row>
        <row r="70">
          <cell r="U70" t="str">
            <v>X</v>
          </cell>
        </row>
        <row r="71">
          <cell r="U71" t="str">
            <v>X</v>
          </cell>
        </row>
        <row r="72">
          <cell r="U72" t="str">
            <v>X</v>
          </cell>
        </row>
        <row r="73">
          <cell r="U73" t="str">
            <v>X</v>
          </cell>
        </row>
        <row r="74">
          <cell r="U74" t="str">
            <v>X</v>
          </cell>
        </row>
        <row r="75">
          <cell r="U75" t="str">
            <v>X</v>
          </cell>
        </row>
        <row r="76">
          <cell r="U76" t="str">
            <v>X</v>
          </cell>
        </row>
        <row r="77">
          <cell r="U77" t="str">
            <v>X</v>
          </cell>
        </row>
        <row r="78">
          <cell r="U78" t="str">
            <v>X</v>
          </cell>
        </row>
        <row r="79">
          <cell r="U79" t="str">
            <v>X</v>
          </cell>
        </row>
        <row r="80">
          <cell r="U80" t="str">
            <v>X</v>
          </cell>
        </row>
        <row r="81">
          <cell r="U81" t="str">
            <v>X</v>
          </cell>
        </row>
        <row r="82">
          <cell r="U82" t="str">
            <v>X</v>
          </cell>
        </row>
        <row r="83">
          <cell r="U83" t="str">
            <v>X</v>
          </cell>
        </row>
        <row r="84">
          <cell r="U84" t="str">
            <v>X</v>
          </cell>
        </row>
        <row r="85">
          <cell r="U85" t="str">
            <v>X</v>
          </cell>
        </row>
        <row r="86">
          <cell r="U86" t="str">
            <v>X</v>
          </cell>
        </row>
        <row r="87">
          <cell r="U87" t="str">
            <v>X</v>
          </cell>
        </row>
        <row r="88">
          <cell r="U88" t="str">
            <v>X</v>
          </cell>
        </row>
        <row r="89">
          <cell r="U89" t="str">
            <v>X</v>
          </cell>
        </row>
        <row r="90">
          <cell r="U90" t="str">
            <v>X</v>
          </cell>
        </row>
        <row r="91">
          <cell r="U91" t="str">
            <v>X</v>
          </cell>
        </row>
        <row r="92">
          <cell r="U92" t="str">
            <v>X</v>
          </cell>
        </row>
        <row r="93">
          <cell r="U93" t="str">
            <v>X</v>
          </cell>
        </row>
        <row r="94">
          <cell r="U94" t="str">
            <v>X</v>
          </cell>
        </row>
        <row r="95">
          <cell r="U95" t="str">
            <v>X</v>
          </cell>
        </row>
        <row r="96">
          <cell r="U96" t="str">
            <v>X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SGV"/>
      <sheetName val="Sheet1"/>
      <sheetName val="A.1 January"/>
      <sheetName val="B.4"/>
      <sheetName val="B.5"/>
      <sheetName val="B.6 January"/>
      <sheetName val="B.7"/>
      <sheetName val="CampaignData"/>
      <sheetName val="PlanData"/>
      <sheetName val="ExchangeRates"/>
      <sheetName val="ManualDiscounts"/>
      <sheetName val="NetPrices"/>
      <sheetName val="PlanSheet"/>
      <sheetName val="Köprü"/>
      <sheetName val="A_1_January"/>
      <sheetName val="B_4"/>
      <sheetName val="B_5"/>
      <sheetName val="B_6_January"/>
      <sheetName val="B_7"/>
      <sheetName val="Programlar"/>
      <sheetName val="Kategoriler"/>
      <sheetName val="DataFields"/>
      <sheetName val="Sayfa4"/>
      <sheetName val="ekim"/>
    </sheetNames>
    <sheetDataSet>
      <sheetData sheetId="0" refreshError="1">
        <row r="6">
          <cell r="D6" t="str">
            <v>Rif.A</v>
          </cell>
          <cell r="H6" t="str">
            <v>Sezione A .xls</v>
          </cell>
        </row>
        <row r="7">
          <cell r="D7" t="str">
            <v>Rif.A100</v>
          </cell>
          <cell r="H7" t="str">
            <v>Sezione A.xls</v>
          </cell>
          <cell r="I7">
            <v>0</v>
          </cell>
        </row>
        <row r="9">
          <cell r="D9" t="str">
            <v>Rif.B</v>
          </cell>
          <cell r="H9" t="str">
            <v>Sezione B.xls</v>
          </cell>
        </row>
        <row r="10">
          <cell r="D10" t="str">
            <v>Rif.B100</v>
          </cell>
          <cell r="H10" t="str">
            <v>Sezione B.xls</v>
          </cell>
          <cell r="I10" t="str">
            <v>B.1</v>
          </cell>
        </row>
        <row r="11">
          <cell r="D11" t="str">
            <v>Rif.B200</v>
          </cell>
          <cell r="H11" t="str">
            <v>Sezione B.xls</v>
          </cell>
          <cell r="I11" t="str">
            <v>B.2</v>
          </cell>
        </row>
        <row r="13">
          <cell r="D13" t="str">
            <v>Rif.B400</v>
          </cell>
          <cell r="H13" t="str">
            <v>Sezione B.xls</v>
          </cell>
          <cell r="I13" t="str">
            <v>B.4</v>
          </cell>
        </row>
        <row r="14">
          <cell r="D14" t="str">
            <v>Rif.B600</v>
          </cell>
          <cell r="H14" t="str">
            <v>Sezione B.xls</v>
          </cell>
          <cell r="I14" t="str">
            <v>B.5</v>
          </cell>
        </row>
        <row r="15">
          <cell r="D15" t="str">
            <v>Rif.B700</v>
          </cell>
          <cell r="H15" t="str">
            <v>Sezione B7.xls</v>
          </cell>
          <cell r="I15" t="str">
            <v>B.6</v>
          </cell>
        </row>
        <row r="16">
          <cell r="D16" t="str">
            <v>Rif.B800</v>
          </cell>
          <cell r="H16" t="str">
            <v>Sezione B.xls</v>
          </cell>
          <cell r="I16" t="str">
            <v>B.7</v>
          </cell>
        </row>
        <row r="17">
          <cell r="D17" t="str">
            <v>Rif.C</v>
          </cell>
          <cell r="H17" t="str">
            <v>Sezione C.xls</v>
          </cell>
        </row>
        <row r="18">
          <cell r="D18" t="str">
            <v>Rif.C100</v>
          </cell>
          <cell r="H18" t="str">
            <v>Sezione C.xls</v>
          </cell>
          <cell r="I18" t="str">
            <v>C.1</v>
          </cell>
        </row>
        <row r="21">
          <cell r="D21" t="str">
            <v>Rif.D</v>
          </cell>
          <cell r="H21" t="str">
            <v>Sezione D.xls</v>
          </cell>
        </row>
        <row r="22">
          <cell r="D22" t="str">
            <v>Rif.D100</v>
          </cell>
          <cell r="H22" t="str">
            <v>Sezione D.xls</v>
          </cell>
          <cell r="I22" t="str">
            <v>C.2</v>
          </cell>
        </row>
        <row r="23">
          <cell r="D23" t="str">
            <v>Rif.D200</v>
          </cell>
          <cell r="H23" t="str">
            <v>Sezione D.xls</v>
          </cell>
          <cell r="I23" t="str">
            <v>C.3</v>
          </cell>
        </row>
        <row r="24">
          <cell r="D24" t="str">
            <v>Rif.D400</v>
          </cell>
          <cell r="H24" t="str">
            <v>Sezione D.xls</v>
          </cell>
          <cell r="I24" t="str">
            <v>C.3</v>
          </cell>
        </row>
        <row r="25">
          <cell r="D25" t="str">
            <v>Rif.D500</v>
          </cell>
          <cell r="H25" t="str">
            <v>Sezione D.xls</v>
          </cell>
          <cell r="I25" t="str">
            <v>C.4.1</v>
          </cell>
        </row>
        <row r="26">
          <cell r="D26" t="str">
            <v>Rif.D550</v>
          </cell>
          <cell r="H26" t="str">
            <v>Sezione D.xls</v>
          </cell>
          <cell r="I26" t="str">
            <v>C.4.1.1</v>
          </cell>
        </row>
        <row r="27">
          <cell r="D27" t="str">
            <v>Rif.D600</v>
          </cell>
          <cell r="H27" t="str">
            <v>Sezione D6.xls</v>
          </cell>
          <cell r="I27" t="str">
            <v>C.5</v>
          </cell>
        </row>
        <row r="28">
          <cell r="D28" t="str">
            <v>Rif.D650</v>
          </cell>
          <cell r="H28" t="str">
            <v>Sezione D6.xls</v>
          </cell>
          <cell r="I28" t="str">
            <v>C.6</v>
          </cell>
        </row>
        <row r="29">
          <cell r="D29" t="str">
            <v>Rif.D700</v>
          </cell>
          <cell r="H29" t="str">
            <v>Sezione D7.xls</v>
          </cell>
          <cell r="I29" t="str">
            <v>C.7</v>
          </cell>
        </row>
        <row r="30">
          <cell r="D30" t="str">
            <v>Rif.E</v>
          </cell>
          <cell r="H30" t="str">
            <v>Sezione E.xls</v>
          </cell>
        </row>
        <row r="36">
          <cell r="H36" t="str">
            <v>Sezione F.xls</v>
          </cell>
        </row>
        <row r="37">
          <cell r="H37" t="str">
            <v>Sezione F.xls</v>
          </cell>
        </row>
        <row r="38">
          <cell r="D38" t="str">
            <v>Rif.F</v>
          </cell>
          <cell r="H38" t="str">
            <v>Sezione F.xls</v>
          </cell>
        </row>
        <row r="39">
          <cell r="D39" t="str">
            <v>Rif.G</v>
          </cell>
          <cell r="H39" t="str">
            <v>Sezione G.xls</v>
          </cell>
        </row>
        <row r="40">
          <cell r="D40" t="str">
            <v>Rif.G100</v>
          </cell>
          <cell r="H40" t="str">
            <v>Sezione G.xls</v>
          </cell>
          <cell r="I40" t="str">
            <v>H.1</v>
          </cell>
        </row>
        <row r="42">
          <cell r="D42" t="str">
            <v>Rif.H</v>
          </cell>
          <cell r="H42" t="str">
            <v>Sezione H.xls</v>
          </cell>
        </row>
        <row r="43">
          <cell r="D43" t="str">
            <v>Rif.H100</v>
          </cell>
          <cell r="H43" t="str">
            <v>Sezione H.xls</v>
          </cell>
          <cell r="I43" t="str">
            <v>I.1.1</v>
          </cell>
        </row>
        <row r="44">
          <cell r="D44" t="str">
            <v>Rif.H150</v>
          </cell>
          <cell r="H44" t="str">
            <v>Sezione H.xls</v>
          </cell>
          <cell r="I44" t="str">
            <v>I.1.2</v>
          </cell>
        </row>
        <row r="45">
          <cell r="D45" t="str">
            <v>Rif.H225</v>
          </cell>
          <cell r="H45" t="str">
            <v>Sezione H.xls</v>
          </cell>
          <cell r="I45" t="str">
            <v>H.2.2</v>
          </cell>
        </row>
        <row r="46">
          <cell r="D46" t="str">
            <v>Rif.H250</v>
          </cell>
          <cell r="H46" t="str">
            <v>Sezione H.xls</v>
          </cell>
          <cell r="I46" t="str">
            <v>H.2.3</v>
          </cell>
        </row>
        <row r="47">
          <cell r="D47" t="str">
            <v>Rif.H275</v>
          </cell>
          <cell r="H47" t="str">
            <v>Sezione H.xls</v>
          </cell>
          <cell r="I47" t="str">
            <v>H.2.4</v>
          </cell>
        </row>
        <row r="49">
          <cell r="D49" t="str">
            <v>Rif.H300</v>
          </cell>
          <cell r="H49" t="str">
            <v>Sezione H.xls</v>
          </cell>
          <cell r="I49" t="str">
            <v>I.3.1</v>
          </cell>
        </row>
        <row r="50">
          <cell r="D50" t="str">
            <v>Rif.H350</v>
          </cell>
          <cell r="H50" t="str">
            <v>Sezione H.xls</v>
          </cell>
          <cell r="I50" t="str">
            <v>I.3.2</v>
          </cell>
        </row>
        <row r="51">
          <cell r="D51" t="str">
            <v>Rif.H400</v>
          </cell>
          <cell r="H51" t="str">
            <v>Sezione H.xls</v>
          </cell>
          <cell r="I51" t="str">
            <v>I.4.1</v>
          </cell>
        </row>
        <row r="52">
          <cell r="D52" t="str">
            <v>Rif.H450</v>
          </cell>
          <cell r="H52" t="str">
            <v>Sezione H.xls</v>
          </cell>
          <cell r="I52" t="str">
            <v>I.4.2</v>
          </cell>
        </row>
        <row r="53">
          <cell r="D53" t="str">
            <v>Rif.H600</v>
          </cell>
          <cell r="H53" t="str">
            <v>Sezione H.xls</v>
          </cell>
          <cell r="I53" t="str">
            <v>I.6.1</v>
          </cell>
        </row>
        <row r="54">
          <cell r="D54" t="str">
            <v>Rif.H650</v>
          </cell>
          <cell r="H54" t="str">
            <v>Sezione H.xls</v>
          </cell>
          <cell r="I54" t="str">
            <v>I.6.2</v>
          </cell>
        </row>
        <row r="55">
          <cell r="D55" t="str">
            <v>Rif.I</v>
          </cell>
          <cell r="H55" t="str">
            <v>Sezione I.xls</v>
          </cell>
        </row>
        <row r="56">
          <cell r="D56" t="str">
            <v>Rif.M100</v>
          </cell>
          <cell r="H56" t="str">
            <v>Sezione I.xls</v>
          </cell>
          <cell r="I56">
            <v>0</v>
          </cell>
        </row>
        <row r="57">
          <cell r="D57" t="str">
            <v>Rif.L</v>
          </cell>
          <cell r="H57" t="str">
            <v>Indice.xls</v>
          </cell>
        </row>
        <row r="58">
          <cell r="D58" t="str">
            <v>Rif.L100</v>
          </cell>
          <cell r="H58" t="str">
            <v>Indice.xls</v>
          </cell>
          <cell r="I58" t="str">
            <v>L.1</v>
          </cell>
        </row>
        <row r="59">
          <cell r="C59" t="str">
            <v>L.1</v>
          </cell>
          <cell r="D59" t="str">
            <v>Rif.L200</v>
          </cell>
          <cell r="H59" t="str">
            <v>Indice.xls</v>
          </cell>
          <cell r="I59" t="str">
            <v>L.1</v>
          </cell>
        </row>
        <row r="60">
          <cell r="C60" t="str">
            <v>L.1</v>
          </cell>
          <cell r="D60" t="str">
            <v>Rif.L300</v>
          </cell>
          <cell r="H60" t="str">
            <v>Indice.xls</v>
          </cell>
          <cell r="I60" t="str">
            <v>L.1</v>
          </cell>
        </row>
        <row r="61">
          <cell r="C61" t="str">
            <v>L.1</v>
          </cell>
          <cell r="D61" t="str">
            <v>Rif.L400</v>
          </cell>
          <cell r="H61" t="str">
            <v>Indice.xls</v>
          </cell>
          <cell r="I61" t="str">
            <v>L.1</v>
          </cell>
        </row>
        <row r="62">
          <cell r="C62" t="str">
            <v>L.1</v>
          </cell>
          <cell r="D62" t="str">
            <v>Rif.L500</v>
          </cell>
          <cell r="H62" t="str">
            <v>Indice.xls</v>
          </cell>
          <cell r="I62" t="str">
            <v>L.1</v>
          </cell>
        </row>
        <row r="63">
          <cell r="C63" t="str">
            <v>L.1</v>
          </cell>
          <cell r="D63" t="str">
            <v>Rif.L600</v>
          </cell>
          <cell r="H63" t="str">
            <v>Indice.xls</v>
          </cell>
          <cell r="I63" t="str">
            <v>L.1</v>
          </cell>
        </row>
        <row r="64">
          <cell r="C64" t="str">
            <v>L.1</v>
          </cell>
          <cell r="D64" t="str">
            <v>Rif.L700</v>
          </cell>
          <cell r="H64" t="str">
            <v>Indice.xls</v>
          </cell>
          <cell r="I64" t="str">
            <v>L.1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v spot list"/>
      <sheetName val="Kategoriler"/>
      <sheetName val="BİMAŞ"/>
      <sheetName val="SHOW"/>
      <sheetName val="STAR"/>
      <sheetName val="TGRT"/>
      <sheetName val="NUMBER ONE"/>
      <sheetName val="GENC TV"/>
      <sheetName val="CNNTURK"/>
      <sheetName val="NTV"/>
      <sheetName val="KANAL E"/>
      <sheetName val="KISS TV"/>
      <sheetName val="BEST TV"/>
      <sheetName val="GERÇEK ÖZET"/>
      <sheetName val="Index"/>
      <sheetName val="NUMBER_ONE"/>
      <sheetName val="GENC_TV"/>
      <sheetName val="KANAL_E"/>
      <sheetName val="KISS_TV"/>
      <sheetName val="BEST_TV"/>
      <sheetName val="GERÇEK_ÖZET"/>
      <sheetName val="tv_spot_list"/>
      <sheetName val="DATA"/>
      <sheetName val="HL"/>
      <sheetName val="NUMBER_ONE1"/>
      <sheetName val="GENC_TV1"/>
      <sheetName val="KANAL_E1"/>
      <sheetName val="KISS_TV1"/>
      <sheetName val="BEST_TV1"/>
      <sheetName val="GERÇEK_ÖZET1"/>
      <sheetName val="tv_spot_list1"/>
      <sheetName val="PepsiFortuneTeller12ndwaveJune2"/>
      <sheetName val="NUMBER_ONE2"/>
      <sheetName val="GENC_TV2"/>
      <sheetName val="KANAL_E2"/>
      <sheetName val="KISS_TV2"/>
      <sheetName val="BEST_TV2"/>
      <sheetName val="GERÇEK_ÖZET2"/>
      <sheetName val="tv_spot_list2"/>
      <sheetName val="CampaignData"/>
      <sheetName val="PlanData"/>
      <sheetName val="ExchangeRates"/>
      <sheetName val="ManualDiscounts"/>
      <sheetName val="NetPrices"/>
      <sheetName val="PlanSheet"/>
      <sheetName val="NUMBER_ONE3"/>
      <sheetName val="GENC_TV3"/>
      <sheetName val="KANAL_E3"/>
      <sheetName val="KISS_TV3"/>
      <sheetName val="BEST_TV3"/>
      <sheetName val="GERÇEK_ÖZET3"/>
      <sheetName val="tv_spot_list3"/>
      <sheetName val=""/>
      <sheetName val="International"/>
      <sheetName val="NUMBER_ONE4"/>
      <sheetName val="GENC_TV4"/>
      <sheetName val="KANAL_E4"/>
      <sheetName val="KISS_TV4"/>
      <sheetName val="BEST_TV4"/>
      <sheetName val="GERÇEK_ÖZET4"/>
      <sheetName val="tv_spot_list4"/>
      <sheetName val="1 flight"/>
      <sheetName val="Channelvorgabe"/>
      <sheetName val="FINALPHP"/>
      <sheetName val="Ekim"/>
      <sheetName val="FORM"/>
      <sheetName val="Copies"/>
      <sheetName val="SpotList (2)"/>
      <sheetName val="Exchange"/>
      <sheetName val="Payments"/>
      <sheetName val="Stations"/>
      <sheetName val="Prices"/>
      <sheetName val="NUMBER_ONE5"/>
      <sheetName val="GENC_TV5"/>
      <sheetName val="KANAL_E5"/>
      <sheetName val="KISS_TV5"/>
      <sheetName val="BEST_TV5"/>
      <sheetName val="GERÇEK_ÖZET5"/>
      <sheetName val="tv_spot_list5"/>
      <sheetName val="1_flight"/>
      <sheetName val="Sayfa4"/>
    </sheetNames>
    <sheetDataSet>
      <sheetData sheetId="0" refreshError="1"/>
      <sheetData sheetId="1" refreshError="1"/>
      <sheetData sheetId="2">
        <row r="347">
          <cell r="A347" t="str">
            <v>OPI</v>
          </cell>
        </row>
      </sheetData>
      <sheetData sheetId="3">
        <row r="347">
          <cell r="A347" t="str">
            <v>OPI</v>
          </cell>
        </row>
      </sheetData>
      <sheetData sheetId="4">
        <row r="347">
          <cell r="A347" t="str">
            <v>OPI</v>
          </cell>
        </row>
      </sheetData>
      <sheetData sheetId="5">
        <row r="347">
          <cell r="A347" t="str">
            <v>OPI</v>
          </cell>
        </row>
      </sheetData>
      <sheetData sheetId="6">
        <row r="347">
          <cell r="A347" t="str">
            <v>OPI</v>
          </cell>
        </row>
      </sheetData>
      <sheetData sheetId="7">
        <row r="347">
          <cell r="A347" t="str">
            <v>OPI</v>
          </cell>
        </row>
      </sheetData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>
        <row r="347">
          <cell r="A347" t="str">
            <v>OPI</v>
          </cell>
        </row>
      </sheetData>
      <sheetData sheetId="73">
        <row r="347">
          <cell r="A347" t="str">
            <v>OPI</v>
          </cell>
        </row>
      </sheetData>
      <sheetData sheetId="74"/>
      <sheetData sheetId="75"/>
      <sheetData sheetId="76"/>
      <sheetData sheetId="77"/>
      <sheetData sheetId="78"/>
      <sheetData sheetId="79"/>
      <sheetData sheetId="8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R Paramter"/>
    </sheetNames>
    <sheetDataSet>
      <sheetData sheetId="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INPUT"/>
      <sheetName val="Protokol"/>
      <sheetName val="Ek-1 Working Capital"/>
      <sheetName val="Ek-2 Seg&amp;Monthly"/>
      <sheetName val="Ek-3 Sh&amp;Demo"/>
      <sheetName val="BDM&amp;DM"/>
      <sheetName val="Showroom"/>
      <sheetName val="Demo"/>
      <sheetName val="FORECAST"/>
      <sheetName val="SPARK"/>
      <sheetName val="Aveo HB"/>
      <sheetName val="Aveo Sedan"/>
      <sheetName val="Lacetti HB"/>
      <sheetName val="Lacetti NB"/>
      <sheetName val="Lacetti SW"/>
      <sheetName val="Epica"/>
      <sheetName val="Rezzo"/>
      <sheetName val="Captiva"/>
      <sheetName val="extra"/>
      <sheetName val="TOTAL"/>
      <sheetName val="for Kemal Abi"/>
      <sheetName val="tv spot list"/>
    </sheetNames>
    <sheetDataSet>
      <sheetData sheetId="0" refreshError="1">
        <row r="3">
          <cell r="A3" t="str">
            <v>TR7011</v>
          </cell>
          <cell r="B3" t="str">
            <v>R4</v>
          </cell>
          <cell r="C3" t="str">
            <v>MESİN</v>
          </cell>
          <cell r="E3">
            <v>1</v>
          </cell>
          <cell r="F3" t="str">
            <v>MESİN / ADANA</v>
          </cell>
          <cell r="G3" t="str">
            <v>ADANA</v>
          </cell>
          <cell r="H3" t="str">
            <v>MESİN / ADANA</v>
          </cell>
          <cell r="I3">
            <v>2.8000000000000001E-2</v>
          </cell>
          <cell r="M3" t="str">
            <v>&gt; 200</v>
          </cell>
          <cell r="N3">
            <v>6.0782454805471522</v>
          </cell>
          <cell r="O3" t="str">
            <v>2A</v>
          </cell>
          <cell r="P3" t="str">
            <v>Mehmet Yenice</v>
          </cell>
          <cell r="Q3" t="str">
            <v>Mesin Servis Hizmetleri Ltd. Sti.</v>
          </cell>
          <cell r="R3" t="str">
            <v>Ceyhan Yolu 6. km. Yüreğir Adana</v>
          </cell>
        </row>
        <row r="4">
          <cell r="A4" t="str">
            <v>TR7061</v>
          </cell>
          <cell r="B4" t="str">
            <v>R2</v>
          </cell>
          <cell r="C4" t="str">
            <v>REİS/ANKARA</v>
          </cell>
          <cell r="E4">
            <v>1</v>
          </cell>
          <cell r="F4" t="str">
            <v>REİS / ANKARA</v>
          </cell>
          <cell r="G4" t="str">
            <v>ANKARA</v>
          </cell>
          <cell r="H4" t="str">
            <v>REİS/ANKARA / ANKARA</v>
          </cell>
          <cell r="I4">
            <v>7.1999999999999995E-2</v>
          </cell>
          <cell r="M4" t="str">
            <v>&gt; 400</v>
          </cell>
          <cell r="N4">
            <v>4.7956291789496328</v>
          </cell>
          <cell r="O4" t="str">
            <v>3A</v>
          </cell>
          <cell r="P4" t="str">
            <v>Rayhan Haykır</v>
          </cell>
          <cell r="Q4" t="str">
            <v>Reis Otomotiv Tic. ve San. A.Ş.</v>
          </cell>
          <cell r="R4" t="str">
            <v>Eskişehir Yolu 7.Km Halk Bankası Genel Md. Önü No: 100/A Söğütözü Ankara</v>
          </cell>
        </row>
        <row r="5">
          <cell r="A5" t="str">
            <v>TR7062</v>
          </cell>
          <cell r="B5" t="str">
            <v>R2</v>
          </cell>
          <cell r="C5" t="str">
            <v>OPİS</v>
          </cell>
          <cell r="E5">
            <v>1</v>
          </cell>
          <cell r="F5" t="str">
            <v>OPIS / ANKARA</v>
          </cell>
          <cell r="G5" t="str">
            <v>ALTINDAĞ_ANKARA</v>
          </cell>
          <cell r="H5" t="str">
            <v>OPİS / ALTINDAĞ_ANKARA</v>
          </cell>
          <cell r="I5">
            <v>0.06</v>
          </cell>
          <cell r="M5" t="str">
            <v>&gt; 400</v>
          </cell>
          <cell r="N5">
            <v>3.7352100655159566</v>
          </cell>
          <cell r="O5" t="str">
            <v>3A</v>
          </cell>
          <cell r="P5" t="str">
            <v>Uğur Erdoğan</v>
          </cell>
          <cell r="Q5" t="str">
            <v>Opis Oto Pazarlama ve işletme San. A.Ş.</v>
          </cell>
          <cell r="R5" t="str">
            <v>İskitler Cd.Seçim Sokak No: 4 İskitler Ankara</v>
          </cell>
        </row>
        <row r="6">
          <cell r="A6" t="str">
            <v>TR7071</v>
          </cell>
          <cell r="B6" t="str">
            <v>R3</v>
          </cell>
          <cell r="C6" t="str">
            <v>HEDEF</v>
          </cell>
          <cell r="E6">
            <v>1</v>
          </cell>
          <cell r="F6" t="str">
            <v>HEDEF / ANTALYA</v>
          </cell>
          <cell r="G6" t="str">
            <v>ANTALYA</v>
          </cell>
          <cell r="H6" t="str">
            <v>HEDEF / ANTALYA</v>
          </cell>
          <cell r="I6">
            <v>3.9E-2</v>
          </cell>
          <cell r="M6" t="str">
            <v>&gt; 400</v>
          </cell>
          <cell r="N6">
            <v>3.4583702505590921</v>
          </cell>
          <cell r="O6" t="str">
            <v>3A</v>
          </cell>
          <cell r="P6" t="str">
            <v>Enver Özmüftüoğlu</v>
          </cell>
          <cell r="Q6" t="str">
            <v>Hedef Otomativ San. Ve Tic. A.Ş.</v>
          </cell>
          <cell r="R6" t="str">
            <v xml:space="preserve">Opel Plaza Havaalanı Yolu üzeri Antalya </v>
          </cell>
        </row>
        <row r="7">
          <cell r="A7" t="str">
            <v>TR7091</v>
          </cell>
          <cell r="B7" t="str">
            <v>R3</v>
          </cell>
          <cell r="C7" t="str">
            <v>KOPEL</v>
          </cell>
          <cell r="E7">
            <v>2</v>
          </cell>
          <cell r="F7" t="str">
            <v>KOPEL / AYDIN</v>
          </cell>
          <cell r="G7" t="str">
            <v>AYDIN</v>
          </cell>
          <cell r="H7" t="str">
            <v>KOPEL / AYDIN</v>
          </cell>
          <cell r="I7">
            <v>1.7999999999999999E-2</v>
          </cell>
          <cell r="M7" t="str">
            <v>&lt; 200</v>
          </cell>
          <cell r="N7">
            <v>4.2</v>
          </cell>
          <cell r="O7" t="str">
            <v>1B</v>
          </cell>
          <cell r="P7" t="str">
            <v>Ümit Dirilen</v>
          </cell>
          <cell r="Q7" t="str">
            <v>Kopel Oto. Ser. Hiz. Ve Tic. Ltd. Şti.</v>
          </cell>
          <cell r="R7" t="str">
            <v>Muğla Karayolu üzeri 3.km. Aydın</v>
          </cell>
        </row>
        <row r="8">
          <cell r="A8" t="str">
            <v>TR7101</v>
          </cell>
          <cell r="B8" t="str">
            <v>R3</v>
          </cell>
          <cell r="C8" t="str">
            <v>TINAZ</v>
          </cell>
          <cell r="E8">
            <v>1</v>
          </cell>
          <cell r="F8" t="str">
            <v>TINAZ / BALIKESİR</v>
          </cell>
          <cell r="G8" t="str">
            <v>BALIKESİR</v>
          </cell>
          <cell r="H8" t="str">
            <v>TINAZ / BALIKESİR</v>
          </cell>
          <cell r="I8">
            <v>1.6E-2</v>
          </cell>
          <cell r="M8" t="str">
            <v>&lt; 200</v>
          </cell>
          <cell r="N8">
            <v>3.5816688710913032</v>
          </cell>
          <cell r="O8" t="str">
            <v>1A</v>
          </cell>
          <cell r="P8" t="str">
            <v>Selim Bayrak</v>
          </cell>
          <cell r="Q8" t="str">
            <v>Tınaz Oto. Tic. ve San. A.Ş.</v>
          </cell>
          <cell r="R8" t="str">
            <v>Çayırhisar Mevkii Ordu Donatım Okulu Karşısı Balıkesir</v>
          </cell>
        </row>
        <row r="9">
          <cell r="A9" t="str">
            <v>TR7161</v>
          </cell>
          <cell r="B9" t="str">
            <v>R3</v>
          </cell>
          <cell r="C9" t="str">
            <v>NESKAR</v>
          </cell>
          <cell r="E9">
            <v>1</v>
          </cell>
          <cell r="F9" t="str">
            <v>NESKAR / BURSA</v>
          </cell>
          <cell r="G9" t="str">
            <v>BURSA</v>
          </cell>
          <cell r="H9" t="str">
            <v>NESKAR / BURSA</v>
          </cell>
          <cell r="I9">
            <v>2.4E-2</v>
          </cell>
          <cell r="M9" t="str">
            <v>&gt; 200</v>
          </cell>
          <cell r="N9">
            <v>4.2919706836410958</v>
          </cell>
          <cell r="O9" t="str">
            <v>2A</v>
          </cell>
          <cell r="P9" t="str">
            <v>Bülent Ağaoğlu</v>
          </cell>
          <cell r="Q9" t="str">
            <v>Neskar Otomotiv San. Ve Tic. A.Ş.</v>
          </cell>
          <cell r="R9" t="str">
            <v>Yeni Yalova yolu. 12.km. Osmangazi / BURSA</v>
          </cell>
        </row>
        <row r="10">
          <cell r="A10" t="str">
            <v>TR7162</v>
          </cell>
          <cell r="B10" t="str">
            <v>R3</v>
          </cell>
          <cell r="C10" t="str">
            <v>YÜCE HÜNKAR</v>
          </cell>
          <cell r="E10">
            <v>1</v>
          </cell>
          <cell r="F10" t="str">
            <v>YÜCE HÜNKAR / BURSA</v>
          </cell>
          <cell r="G10" t="str">
            <v>BURSA</v>
          </cell>
          <cell r="H10" t="str">
            <v>YÜCE HÜNKAR / BURSA</v>
          </cell>
          <cell r="I10">
            <v>2.4E-2</v>
          </cell>
          <cell r="M10" t="str">
            <v>&gt; 200</v>
          </cell>
          <cell r="N10">
            <v>5.7514379416161194</v>
          </cell>
          <cell r="O10" t="str">
            <v>2A</v>
          </cell>
          <cell r="P10" t="str">
            <v>Ersin Önder</v>
          </cell>
          <cell r="Q10" t="str">
            <v>Yüce Hünkar Oto San. Ve Tic. Ltd. Şti.</v>
          </cell>
          <cell r="R10" t="str">
            <v xml:space="preserve">İzmir Yolu Cad. Ertuğrul Mah. No 366 Nilüfer Bursa </v>
          </cell>
        </row>
        <row r="11">
          <cell r="A11" t="str">
            <v>TR7171</v>
          </cell>
          <cell r="B11" t="str">
            <v>R3</v>
          </cell>
          <cell r="C11" t="str">
            <v>EKŞİ</v>
          </cell>
          <cell r="E11">
            <v>1</v>
          </cell>
          <cell r="F11" t="str">
            <v>EKSI / ÇANAKKALE</v>
          </cell>
          <cell r="G11" t="str">
            <v>ÇANAKKALE</v>
          </cell>
          <cell r="H11" t="str">
            <v>EKŞİ / ÇANAKKALE</v>
          </cell>
          <cell r="I11">
            <v>6.0000000000000001E-3</v>
          </cell>
          <cell r="M11" t="str">
            <v>&lt; 200</v>
          </cell>
          <cell r="N11">
            <v>1.8426057598850241</v>
          </cell>
          <cell r="O11" t="str">
            <v>1A</v>
          </cell>
          <cell r="P11" t="str">
            <v>Yakup Ekşi</v>
          </cell>
          <cell r="Q11" t="str">
            <v>Ekşi Kardeşler Oto. Tic. Ltd. Şti.</v>
          </cell>
          <cell r="R11" t="str">
            <v>İzmir yolu10. Km. Çanakkale</v>
          </cell>
        </row>
        <row r="12">
          <cell r="A12" t="str">
            <v>TR7211</v>
          </cell>
          <cell r="B12" t="str">
            <v>R4</v>
          </cell>
          <cell r="C12" t="str">
            <v>CANLAR</v>
          </cell>
          <cell r="E12">
            <v>1</v>
          </cell>
          <cell r="F12" t="str">
            <v>CANLAR / DIYARBAKIR</v>
          </cell>
          <cell r="G12" t="str">
            <v>DİYARBAKIR</v>
          </cell>
          <cell r="H12" t="str">
            <v>CANLAR / DİYARBAKIR</v>
          </cell>
          <cell r="I12">
            <v>1.0999999999999999E-2</v>
          </cell>
          <cell r="M12" t="str">
            <v>&lt; 200</v>
          </cell>
          <cell r="N12">
            <v>3.3758598094730878</v>
          </cell>
          <cell r="O12" t="str">
            <v>1A</v>
          </cell>
          <cell r="P12" t="str">
            <v>Mücahit Can</v>
          </cell>
          <cell r="Q12" t="str">
            <v>Canlar Otomotiv İnş. San. Ve Tic. A.Ş.</v>
          </cell>
          <cell r="R12" t="str">
            <v>Şanlıurfa Yolu üzeri 3.km Diyarbakır</v>
          </cell>
        </row>
        <row r="13">
          <cell r="A13" t="str">
            <v>TR7231</v>
          </cell>
          <cell r="B13" t="str">
            <v>R4</v>
          </cell>
          <cell r="C13" t="str">
            <v>KARALAR</v>
          </cell>
          <cell r="E13">
            <v>1</v>
          </cell>
          <cell r="F13" t="str">
            <v>KARALAR / ELAZIG</v>
          </cell>
          <cell r="G13" t="str">
            <v>ELAZIĞ</v>
          </cell>
          <cell r="H13" t="str">
            <v>KARALAR / ELAZIĞ</v>
          </cell>
          <cell r="I13">
            <v>7.0000000000000001E-3</v>
          </cell>
          <cell r="M13" t="str">
            <v>&lt; 200</v>
          </cell>
          <cell r="N13">
            <v>3.4210571863023116</v>
          </cell>
          <cell r="O13" t="str">
            <v>1A</v>
          </cell>
          <cell r="P13" t="str">
            <v>Necla Kara</v>
          </cell>
          <cell r="Q13" t="str">
            <v>Karalar Otomativ San. Ve Tic. Ltd. Şti.</v>
          </cell>
          <cell r="R13" t="str">
            <v>Abdullahpaşa Mah. Malatya Yolu Üzeri Hanpınar Karşısı No:95 Elazığ</v>
          </cell>
        </row>
        <row r="14">
          <cell r="A14" t="str">
            <v>TR7251</v>
          </cell>
          <cell r="B14" t="str">
            <v>R2</v>
          </cell>
          <cell r="C14" t="str">
            <v>ERDEMİR</v>
          </cell>
          <cell r="E14">
            <v>1</v>
          </cell>
          <cell r="F14" t="str">
            <v>ERDEMIR / ERZURUM</v>
          </cell>
          <cell r="G14" t="str">
            <v>ERZURUM</v>
          </cell>
          <cell r="H14" t="str">
            <v>ERDEMİR / ERZURUM</v>
          </cell>
          <cell r="I14">
            <v>1.2E-2</v>
          </cell>
          <cell r="M14" t="str">
            <v>&lt; 200</v>
          </cell>
          <cell r="N14">
            <v>5.853371568196037</v>
          </cell>
          <cell r="O14" t="str">
            <v>1A</v>
          </cell>
          <cell r="P14" t="str">
            <v>Yüksel Erdemir</v>
          </cell>
          <cell r="Q14" t="str">
            <v>Erdemir San. ve Tic. Ltd. Şti.</v>
          </cell>
          <cell r="R14" t="str">
            <v>Sanayi Çıkışı Tortum Yolu Üzeri Doğan Petrol Yanı / Erzurum</v>
          </cell>
        </row>
        <row r="15">
          <cell r="A15" t="str">
            <v>TR7261</v>
          </cell>
          <cell r="B15" t="str">
            <v>R3</v>
          </cell>
          <cell r="C15" t="str">
            <v>ALPATA</v>
          </cell>
          <cell r="E15">
            <v>1</v>
          </cell>
          <cell r="F15" t="str">
            <v>ALPATA / ESKİŞEHİR</v>
          </cell>
          <cell r="G15" t="str">
            <v>ESKİŞEHİR</v>
          </cell>
          <cell r="H15" t="str">
            <v>ALPATA / ESKİŞEHİR</v>
          </cell>
          <cell r="I15">
            <v>1.4E-2</v>
          </cell>
          <cell r="M15" t="str">
            <v>&lt; 200</v>
          </cell>
          <cell r="N15">
            <v>4.0454992731784385</v>
          </cell>
          <cell r="O15" t="str">
            <v>1A</v>
          </cell>
          <cell r="P15" t="str">
            <v>Ramis Tunca</v>
          </cell>
          <cell r="Q15" t="str">
            <v>Alpata Oto San. ve Paz. A.Ş.</v>
          </cell>
          <cell r="R15" t="str">
            <v>Ankara yolu üzeri 8.km Arçelik yanı Eskişehir</v>
          </cell>
        </row>
        <row r="16">
          <cell r="A16" t="str">
            <v>TR7271</v>
          </cell>
          <cell r="B16" t="str">
            <v>R4</v>
          </cell>
          <cell r="C16" t="str">
            <v>TEYMUR</v>
          </cell>
          <cell r="E16">
            <v>1</v>
          </cell>
          <cell r="F16" t="str">
            <v>TEYMUR / GAZİANTEP</v>
          </cell>
          <cell r="G16" t="str">
            <v>GAZİANTEP</v>
          </cell>
          <cell r="H16" t="str">
            <v>TEYMUR / GAZİANTEP</v>
          </cell>
          <cell r="I16">
            <v>1.7999999999999999E-2</v>
          </cell>
          <cell r="M16" t="str">
            <v>&lt; 200</v>
          </cell>
          <cell r="N16">
            <v>3.6766053234387392</v>
          </cell>
          <cell r="O16" t="str">
            <v>1A</v>
          </cell>
          <cell r="P16" t="str">
            <v>Bülent Teymur</v>
          </cell>
          <cell r="Q16" t="str">
            <v>Teymur Otomativ Endüstüri A.Ş.</v>
          </cell>
          <cell r="R16" t="str">
            <v>Aydınlar Mahallesi 18 nolu Cadde No:9 Şehitkamil/ Gaziantep</v>
          </cell>
        </row>
        <row r="17">
          <cell r="A17" t="str">
            <v>TR7311</v>
          </cell>
          <cell r="B17" t="str">
            <v>R4</v>
          </cell>
          <cell r="C17" t="str">
            <v>ANIL</v>
          </cell>
          <cell r="E17">
            <v>2</v>
          </cell>
          <cell r="F17" t="str">
            <v>ANIL / İSKENDERUN</v>
          </cell>
          <cell r="G17" t="str">
            <v>HATAY</v>
          </cell>
          <cell r="H17" t="str">
            <v>ANIL / HATAY</v>
          </cell>
          <cell r="I17">
            <v>1.7999999999999999E-2</v>
          </cell>
          <cell r="M17" t="str">
            <v>&lt; 200</v>
          </cell>
          <cell r="N17">
            <v>3.1999762533585385</v>
          </cell>
          <cell r="O17" t="str">
            <v>1B</v>
          </cell>
          <cell r="P17" t="str">
            <v>Şekip Abacı</v>
          </cell>
          <cell r="Q17" t="str">
            <v>Anıl Otomotiv Tic. Ve Paz. Ltd. Şti.</v>
          </cell>
          <cell r="R17" t="str">
            <v>Prof. Muammer Aksoy Cad. No:82 İskenderun</v>
          </cell>
        </row>
        <row r="18">
          <cell r="A18" t="str">
            <v>TR7331</v>
          </cell>
          <cell r="B18" t="str">
            <v>R4</v>
          </cell>
          <cell r="C18" t="str">
            <v>GEDİZLER</v>
          </cell>
          <cell r="E18">
            <v>1</v>
          </cell>
          <cell r="F18" t="str">
            <v>GEDIZLER / MERSİN</v>
          </cell>
          <cell r="G18" t="str">
            <v>MERSİN</v>
          </cell>
          <cell r="H18" t="str">
            <v>GEDİZLER / MERSİN</v>
          </cell>
          <cell r="I18">
            <v>1.9E-2</v>
          </cell>
          <cell r="M18" t="str">
            <v>&lt; 200</v>
          </cell>
          <cell r="N18">
            <v>3.2789925044595924</v>
          </cell>
          <cell r="O18" t="str">
            <v>1A</v>
          </cell>
          <cell r="P18" t="str">
            <v>Aykut Kılıç</v>
          </cell>
          <cell r="Q18" t="str">
            <v>Gedizler Otomotiv Tic. ve San. A.Ş.</v>
          </cell>
          <cell r="R18" t="str">
            <v>Gazi Mustafa Kemal Bulvarı No:534 /Mezitli Mersin</v>
          </cell>
        </row>
        <row r="19">
          <cell r="A19" t="str">
            <v>TR7341</v>
          </cell>
          <cell r="B19" t="str">
            <v>R1</v>
          </cell>
          <cell r="C19" t="str">
            <v>GEDİZLER</v>
          </cell>
          <cell r="E19">
            <v>2</v>
          </cell>
          <cell r="F19" t="str">
            <v>GEDIZLER / KOZYATAGI</v>
          </cell>
          <cell r="G19" t="str">
            <v>ÇEKMEKÖY_İSTANBUL</v>
          </cell>
          <cell r="H19" t="str">
            <v>GEDİZLER / ÇEKMEKÖY_İSTANBUL</v>
          </cell>
          <cell r="I19">
            <v>7.1999999999999995E-2</v>
          </cell>
          <cell r="M19" t="str">
            <v>&gt; 400</v>
          </cell>
          <cell r="N19">
            <v>5.0264155564888213</v>
          </cell>
          <cell r="O19" t="str">
            <v>3B</v>
          </cell>
          <cell r="P19" t="str">
            <v>Mehmet Tolunay</v>
          </cell>
          <cell r="Q19" t="str">
            <v>Gedizler Mot Araçlar Tic. Ltd. Şti.</v>
          </cell>
          <cell r="R19" t="str">
            <v>Merkez mah. Yeni Şile Otobanı yanı No:1 çekmeköy- Ümraniye İstanbul</v>
          </cell>
        </row>
        <row r="20">
          <cell r="A20" t="str">
            <v>TR7342</v>
          </cell>
          <cell r="B20" t="str">
            <v>R1</v>
          </cell>
          <cell r="C20" t="str">
            <v>GERÇEK</v>
          </cell>
          <cell r="E20">
            <v>2</v>
          </cell>
          <cell r="F20" t="str">
            <v>GERÇEK / BEŞİKTAŞ</v>
          </cell>
          <cell r="G20" t="str">
            <v>BEŞİKTAŞ_İSTANBUL</v>
          </cell>
          <cell r="H20" t="str">
            <v>GERÇEK / BEŞİKTAŞ_İSTANBUL</v>
          </cell>
          <cell r="I20">
            <v>7.1999999999999995E-2</v>
          </cell>
          <cell r="M20" t="str">
            <v>&gt; 400</v>
          </cell>
          <cell r="N20">
            <v>3.632792856295926</v>
          </cell>
          <cell r="O20" t="str">
            <v>3B</v>
          </cell>
          <cell r="P20" t="str">
            <v>Serkan Sucu</v>
          </cell>
          <cell r="Q20" t="str">
            <v>Gerçek Otomobilcilik San. Ve Tic. A.Ş.</v>
          </cell>
          <cell r="R20" t="str">
            <v>Kadırgalar cad. Küçükçiftlik Karşısı Dolmabahçe/ İstanbul</v>
          </cell>
        </row>
        <row r="21">
          <cell r="A21" t="str">
            <v>TR7343</v>
          </cell>
          <cell r="B21" t="str">
            <v>R1</v>
          </cell>
          <cell r="C21" t="str">
            <v>BALKAN</v>
          </cell>
          <cell r="E21">
            <v>1</v>
          </cell>
          <cell r="F21" t="str">
            <v>BALKAN / BAKIRKOY</v>
          </cell>
          <cell r="G21" t="str">
            <v>BAKIRKÖY_İSTANBUL</v>
          </cell>
          <cell r="H21" t="str">
            <v>BALKAN / BAKIRKÖY_İSTANBUL</v>
          </cell>
          <cell r="I21">
            <v>4.9000000000000002E-2</v>
          </cell>
          <cell r="M21" t="str">
            <v>&gt; 400</v>
          </cell>
          <cell r="N21">
            <v>3.9233482581598653</v>
          </cell>
          <cell r="O21" t="str">
            <v>3A</v>
          </cell>
          <cell r="P21" t="str">
            <v>Çetin Balkan</v>
          </cell>
          <cell r="Q21" t="str">
            <v>Balkan Mot.Araçlar Paz.San. ve Tic.</v>
          </cell>
          <cell r="R21" t="str">
            <v>10. yıl cad. No 1 Abdi İpekçi Spor Kompleksi Sırası  Santral Mensucat  lisesi Yanı Zeytinburnu /İstanbul</v>
          </cell>
        </row>
        <row r="22">
          <cell r="A22" t="str">
            <v>TR7344</v>
          </cell>
          <cell r="B22" t="str">
            <v>R1</v>
          </cell>
          <cell r="C22" t="str">
            <v>ODAK</v>
          </cell>
          <cell r="E22">
            <v>2</v>
          </cell>
          <cell r="F22" t="str">
            <v>ODAK / TOPKAPI</v>
          </cell>
          <cell r="G22" t="str">
            <v>TOPKAPI_İSTANBUL</v>
          </cell>
          <cell r="H22" t="str">
            <v>ODAK / TOPKAPI_İSTANBUL</v>
          </cell>
          <cell r="I22">
            <v>7.1999999999999995E-2</v>
          </cell>
          <cell r="M22" t="str">
            <v>&gt; 400</v>
          </cell>
          <cell r="N22">
            <v>7.140676250451003E-2</v>
          </cell>
          <cell r="O22" t="str">
            <v>3B</v>
          </cell>
          <cell r="P22" t="str">
            <v>Cihan Dinçer</v>
          </cell>
          <cell r="Q22" t="str">
            <v>Odak Pazarlama İhr.İth. Mum. A.Ş.</v>
          </cell>
          <cell r="R22" t="str">
            <v>Merkezefendi Mah.Takkeci Meydan Sokak Albayrak İş Mrk. No:1 Topkapı İstanbul</v>
          </cell>
        </row>
        <row r="23">
          <cell r="A23" t="str">
            <v>TR7346</v>
          </cell>
          <cell r="B23" t="str">
            <v>R1</v>
          </cell>
          <cell r="C23" t="str">
            <v>MARTUR</v>
          </cell>
          <cell r="E23">
            <v>1</v>
          </cell>
          <cell r="F23" t="str">
            <v>MARTUR / EYUP</v>
          </cell>
          <cell r="G23" t="str">
            <v>EYÜP</v>
          </cell>
          <cell r="H23" t="str">
            <v>MARTUR / EYÜP</v>
          </cell>
          <cell r="I23">
            <v>4.9000000000000002E-2</v>
          </cell>
          <cell r="M23" t="str">
            <v>&gt; 400</v>
          </cell>
          <cell r="N23">
            <v>5.4452092949978361</v>
          </cell>
          <cell r="O23" t="str">
            <v>3A</v>
          </cell>
          <cell r="P23" t="str">
            <v>Yıldıray Erdoğdu</v>
          </cell>
          <cell r="Q23" t="str">
            <v>Martur Otomotiv San. Tic. Ltd. Şti.</v>
          </cell>
          <cell r="R23" t="str">
            <v>Silahtarağa cad. No:163 /1Eyüp SSK yanı Eyüp/İstanbul</v>
          </cell>
        </row>
        <row r="24">
          <cell r="A24" t="str">
            <v>TR7348</v>
          </cell>
          <cell r="B24" t="str">
            <v>R1</v>
          </cell>
          <cell r="C24" t="str">
            <v>DİKİCİ</v>
          </cell>
          <cell r="E24">
            <v>1</v>
          </cell>
          <cell r="F24" t="str">
            <v>DİKİCİ / BÜYÜKÇEKMECE</v>
          </cell>
          <cell r="G24" t="str">
            <v>BÜYÜKÇEKMECE_İSTANBUL</v>
          </cell>
          <cell r="H24" t="str">
            <v>DİKİCİ / BÜYÜKÇEKMECE_İSTANBUL</v>
          </cell>
          <cell r="I24">
            <v>4.9000000000000002E-2</v>
          </cell>
          <cell r="M24" t="str">
            <v>&gt; 400</v>
          </cell>
          <cell r="N24">
            <v>3.3600408476196639</v>
          </cell>
          <cell r="O24" t="str">
            <v>3A</v>
          </cell>
          <cell r="P24" t="str">
            <v>Hakan Dikici</v>
          </cell>
          <cell r="Q24" t="str">
            <v>Dikici Oto Ticaret ve San.A.Ş.</v>
          </cell>
          <cell r="R24" t="str">
            <v>Beylikdüzü Mevkii E-5 Karayolu Üzeri Beko Fabrikası Karşısı Büyükçekmece İstanbul</v>
          </cell>
        </row>
        <row r="25">
          <cell r="A25" t="str">
            <v>TR7351</v>
          </cell>
          <cell r="B25" t="str">
            <v>R3</v>
          </cell>
          <cell r="C25" t="str">
            <v>EGEM</v>
          </cell>
          <cell r="E25">
            <v>1</v>
          </cell>
          <cell r="F25" t="str">
            <v>EGEM / IZMIR</v>
          </cell>
          <cell r="G25" t="str">
            <v>BORNOVA_İZMİR</v>
          </cell>
          <cell r="H25" t="str">
            <v>EGEM / BORNOVA_İZMİR</v>
          </cell>
          <cell r="I25">
            <v>6.6000000000000003E-2</v>
          </cell>
          <cell r="M25" t="str">
            <v>&gt; 400</v>
          </cell>
          <cell r="N25">
            <v>3.4162100234492043</v>
          </cell>
          <cell r="O25" t="str">
            <v>3A</v>
          </cell>
          <cell r="P25" t="str">
            <v>Emin Taylan</v>
          </cell>
          <cell r="Q25" t="str">
            <v>Egem Otomativ San. ve Tic. A.Ş.</v>
          </cell>
          <cell r="R25" t="str">
            <v>Ankara Asfaltı No:22 B Blok Çınarlı İzmir</v>
          </cell>
        </row>
        <row r="26">
          <cell r="A26" t="str">
            <v>TR7381</v>
          </cell>
          <cell r="B26" t="str">
            <v>R4</v>
          </cell>
          <cell r="C26" t="str">
            <v>DEMİREL</v>
          </cell>
          <cell r="E26">
            <v>1</v>
          </cell>
          <cell r="F26" t="str">
            <v>DEMIREL / KAYSERİ</v>
          </cell>
          <cell r="G26" t="str">
            <v>KAYSERİ</v>
          </cell>
          <cell r="H26" t="str">
            <v>DEMİREL / KAYSERİ</v>
          </cell>
          <cell r="I26">
            <v>1.6E-2</v>
          </cell>
          <cell r="M26" t="str">
            <v>&lt; 200</v>
          </cell>
          <cell r="N26">
            <v>4.5689270395785631</v>
          </cell>
          <cell r="O26" t="str">
            <v>1A</v>
          </cell>
          <cell r="P26" t="str">
            <v>Osman Demirel</v>
          </cell>
          <cell r="Q26" t="str">
            <v>Demirel Otomativ San. Ve Tic. A.Ş.</v>
          </cell>
          <cell r="R26" t="str">
            <v>Osman Kavuncu Bulvarı No:384 Kayseri</v>
          </cell>
        </row>
        <row r="27">
          <cell r="A27" t="str">
            <v>TR7411</v>
          </cell>
          <cell r="B27" t="str">
            <v>R1</v>
          </cell>
          <cell r="C27" t="str">
            <v>EKCAN</v>
          </cell>
          <cell r="E27">
            <v>1</v>
          </cell>
          <cell r="F27" t="str">
            <v>EKCAN / İZMİT</v>
          </cell>
          <cell r="G27" t="str">
            <v>KOCAELİ</v>
          </cell>
          <cell r="H27" t="str">
            <v>EKCAN / KOCAELİ</v>
          </cell>
          <cell r="I27">
            <v>1.7000000000000001E-2</v>
          </cell>
          <cell r="M27" t="str">
            <v>&lt; 200</v>
          </cell>
          <cell r="N27">
            <v>4.2230244695222181</v>
          </cell>
          <cell r="O27" t="str">
            <v>1A</v>
          </cell>
          <cell r="P27" t="str">
            <v>Tahsin Ekşi</v>
          </cell>
          <cell r="Q27" t="str">
            <v>Ekcan İnşaat ve Otomotiv San.Tic.Ltd.Şti.</v>
          </cell>
          <cell r="R27" t="str">
            <v>D-100 Karayolu Üzeri, Yahya Kaptan Işıkları Karşısı, Kullar / İzmit</v>
          </cell>
        </row>
        <row r="28">
          <cell r="A28" t="str">
            <v>TR7421</v>
          </cell>
          <cell r="B28" t="str">
            <v>R3</v>
          </cell>
          <cell r="C28" t="str">
            <v>ÖZKAYMAK</v>
          </cell>
          <cell r="E28">
            <v>1</v>
          </cell>
          <cell r="F28" t="str">
            <v>ÖZKAYMAK / KONYA</v>
          </cell>
          <cell r="G28" t="str">
            <v>KONYA</v>
          </cell>
          <cell r="H28" t="str">
            <v>ÖZKAYMAK / KONYA</v>
          </cell>
          <cell r="I28">
            <v>1.4999999999999999E-2</v>
          </cell>
          <cell r="M28" t="str">
            <v>&lt; 200</v>
          </cell>
          <cell r="N28">
            <v>3.7977385646403587</v>
          </cell>
          <cell r="O28" t="str">
            <v>1A</v>
          </cell>
          <cell r="P28" t="str">
            <v>Dilek Özkaymak Cin</v>
          </cell>
          <cell r="Q28" t="str">
            <v>Özkaymak Turizm ve Tic. A.Ş.</v>
          </cell>
          <cell r="R28" t="str">
            <v xml:space="preserve">İstanbul yolu 1. Organize San.No:216 Konya </v>
          </cell>
        </row>
        <row r="29">
          <cell r="A29" t="str">
            <v>TR7441</v>
          </cell>
          <cell r="B29" t="str">
            <v>R4</v>
          </cell>
          <cell r="C29" t="str">
            <v>KAVUKLAR</v>
          </cell>
          <cell r="E29">
            <v>1</v>
          </cell>
          <cell r="F29" t="str">
            <v>KAVUKLAR / MALATYA</v>
          </cell>
          <cell r="G29" t="str">
            <v>MALATYA</v>
          </cell>
          <cell r="H29" t="str">
            <v>KAVUKLAR / MALATYA</v>
          </cell>
          <cell r="I29">
            <v>8.9999999999999993E-3</v>
          </cell>
          <cell r="M29" t="str">
            <v>&lt; 200</v>
          </cell>
          <cell r="N29">
            <v>3.3601027804503079</v>
          </cell>
          <cell r="O29" t="str">
            <v>1A</v>
          </cell>
          <cell r="P29" t="str">
            <v>İlhan Kavuk</v>
          </cell>
          <cell r="Q29" t="str">
            <v>Kavuklar Otomotiv Petrol İnş. Tic. Ve San. Ltd. Şti.</v>
          </cell>
          <cell r="R29" t="str">
            <v>Çevre yolu, Kömür Tevzi önü Malatya</v>
          </cell>
        </row>
        <row r="30">
          <cell r="A30" t="str">
            <v>TR7461</v>
          </cell>
          <cell r="B30" t="str">
            <v>R4</v>
          </cell>
          <cell r="C30" t="str">
            <v>SARPEL</v>
          </cell>
          <cell r="E30">
            <v>1</v>
          </cell>
          <cell r="F30" t="str">
            <v>SARPEL / K.MARAŞ</v>
          </cell>
          <cell r="G30" t="str">
            <v>K.MARAŞ</v>
          </cell>
          <cell r="H30" t="str">
            <v>SARPEL / K.MARAŞ</v>
          </cell>
          <cell r="I30">
            <v>8.0000000000000002E-3</v>
          </cell>
          <cell r="M30" t="str">
            <v>&lt; 200</v>
          </cell>
          <cell r="N30">
            <v>2.0051963955920957</v>
          </cell>
          <cell r="O30" t="str">
            <v>1A</v>
          </cell>
          <cell r="P30" t="str">
            <v>Burak Dertli</v>
          </cell>
          <cell r="Q30" t="str">
            <v>Sarpel Otom. İlet. Hiz. Tic. ve San. Ltd. Şti.</v>
          </cell>
          <cell r="R30" t="str">
            <v>Yenişehir Mah. Adana Yolu üzeri 3.km / K.Maraş</v>
          </cell>
        </row>
        <row r="31">
          <cell r="A31" t="str">
            <v>TR7521</v>
          </cell>
          <cell r="B31" t="str">
            <v>R2</v>
          </cell>
          <cell r="C31" t="str">
            <v>ATEŞ</v>
          </cell>
          <cell r="E31">
            <v>2</v>
          </cell>
          <cell r="F31" t="str">
            <v>ATEŞ / ORDU</v>
          </cell>
          <cell r="G31" t="str">
            <v>ORDU</v>
          </cell>
          <cell r="H31" t="str">
            <v>ATEŞ / ORDU</v>
          </cell>
          <cell r="I31">
            <v>0.01</v>
          </cell>
          <cell r="M31" t="str">
            <v>&lt; 200</v>
          </cell>
          <cell r="N31">
            <v>3.8850418801250548</v>
          </cell>
          <cell r="O31" t="str">
            <v>1B</v>
          </cell>
          <cell r="P31" t="str">
            <v>Engin Ateş</v>
          </cell>
          <cell r="Q31" t="str">
            <v xml:space="preserve">Ateş Otomativ Nakliye San. ve Tic. Ltd. Şti. </v>
          </cell>
          <cell r="R31" t="str">
            <v>Karapınar Mah.Atatürk Bul. No:186 Ordu</v>
          </cell>
        </row>
        <row r="32">
          <cell r="A32" t="str">
            <v>TR7541</v>
          </cell>
          <cell r="B32" t="str">
            <v>R2</v>
          </cell>
          <cell r="C32" t="str">
            <v>EKİN</v>
          </cell>
          <cell r="E32">
            <v>1</v>
          </cell>
          <cell r="F32" t="str">
            <v>EKIN / ADAPAZARI</v>
          </cell>
          <cell r="G32" t="str">
            <v>SAKARYA</v>
          </cell>
          <cell r="H32" t="str">
            <v>EKİN / SAKARYA</v>
          </cell>
          <cell r="I32">
            <v>0.01</v>
          </cell>
          <cell r="M32" t="str">
            <v>&lt; 200</v>
          </cell>
          <cell r="N32">
            <v>2.8006450721728124</v>
          </cell>
          <cell r="O32" t="str">
            <v>1A</v>
          </cell>
          <cell r="P32" t="str">
            <v>Orhan Ekici</v>
          </cell>
          <cell r="Q32" t="str">
            <v>Ekin Oto Tic. Ltd. Şti.</v>
          </cell>
          <cell r="R32" t="str">
            <v xml:space="preserve">Dörtyol Mevkii D-100 Karayolu Kenarı Adapazarı </v>
          </cell>
        </row>
        <row r="33">
          <cell r="A33" t="str">
            <v>TR7551</v>
          </cell>
          <cell r="B33" t="str">
            <v>R2</v>
          </cell>
          <cell r="C33" t="str">
            <v>REİS</v>
          </cell>
          <cell r="E33">
            <v>2</v>
          </cell>
          <cell r="F33" t="str">
            <v>REIS / SAMSUN</v>
          </cell>
          <cell r="G33" t="str">
            <v>SAMSUN</v>
          </cell>
          <cell r="H33" t="str">
            <v>REİS / SAMSUN</v>
          </cell>
          <cell r="I33">
            <v>1.7000000000000001E-2</v>
          </cell>
          <cell r="M33" t="str">
            <v>&lt; 200</v>
          </cell>
          <cell r="N33">
            <v>5.1470810438688943</v>
          </cell>
          <cell r="O33" t="str">
            <v>1B</v>
          </cell>
          <cell r="P33" t="str">
            <v>Senih Yazıcı</v>
          </cell>
          <cell r="Q33" t="str">
            <v>Reis Motorlu Araçlar Tütün Ürünleri Dağıtım Paz.Tic.San.Ltd.Şti.</v>
          </cell>
          <cell r="R33" t="str">
            <v xml:space="preserve">Ordu Karayolu üzeri 2.km. Petrol Ofisi Karşısı / Samsun </v>
          </cell>
        </row>
        <row r="34">
          <cell r="A34" t="str">
            <v>TR7581</v>
          </cell>
          <cell r="B34" t="str">
            <v>R2</v>
          </cell>
          <cell r="C34" t="str">
            <v>TAŞTANLAR</v>
          </cell>
          <cell r="E34">
            <v>1</v>
          </cell>
          <cell r="F34" t="str">
            <v>TASTANLAR / SIVAS</v>
          </cell>
          <cell r="G34" t="str">
            <v>SİVAS</v>
          </cell>
          <cell r="H34" t="str">
            <v>TAŞTANLAR / SİVAS</v>
          </cell>
          <cell r="I34">
            <v>6.0000000000000001E-3</v>
          </cell>
          <cell r="M34" t="str">
            <v>&lt; 200</v>
          </cell>
          <cell r="N34">
            <v>1.8864196463157479</v>
          </cell>
          <cell r="O34" t="str">
            <v>1A</v>
          </cell>
          <cell r="P34" t="str">
            <v>Fehmi Taştan</v>
          </cell>
          <cell r="Q34" t="str">
            <v>Taştanlar Mot. Araç. Tic. San. Ltd. Şti.</v>
          </cell>
          <cell r="R34" t="str">
            <v>Erzurum Karayolu 7. km Organize Sanayi Sivas</v>
          </cell>
        </row>
        <row r="35">
          <cell r="A35" t="str">
            <v>TR7591</v>
          </cell>
          <cell r="B35" t="str">
            <v>R1</v>
          </cell>
          <cell r="C35" t="str">
            <v>İNAN</v>
          </cell>
          <cell r="E35">
            <v>2</v>
          </cell>
          <cell r="F35" t="str">
            <v>INAN / ÇORLU</v>
          </cell>
          <cell r="G35" t="str">
            <v>TEKİRDAĞ</v>
          </cell>
          <cell r="H35" t="str">
            <v>İNAN / TEKİRDAĞ</v>
          </cell>
          <cell r="I35">
            <v>2.3E-2</v>
          </cell>
          <cell r="M35" t="str">
            <v>&lt; 200</v>
          </cell>
          <cell r="N35">
            <v>4.026290768855306</v>
          </cell>
          <cell r="O35" t="str">
            <v>1B</v>
          </cell>
          <cell r="P35" t="str">
            <v>Celal İnan</v>
          </cell>
          <cell r="Q35" t="str">
            <v>İnan Sağlık ve Turizm Tic. Ltd. Şti.</v>
          </cell>
          <cell r="R35" t="str">
            <v>E-5 Karayolu Istanbul Kısmı Yeni Sanayi Sit. Karşısı No 263 Çorlu-Tekirdağ</v>
          </cell>
        </row>
        <row r="36">
          <cell r="A36" t="str">
            <v>TR7601</v>
          </cell>
          <cell r="B36" t="str">
            <v>R2</v>
          </cell>
          <cell r="C36" t="str">
            <v>İCE</v>
          </cell>
          <cell r="E36">
            <v>1</v>
          </cell>
          <cell r="F36" t="str">
            <v>ICE / TOKAT</v>
          </cell>
          <cell r="G36" t="str">
            <v>TOKAT</v>
          </cell>
          <cell r="H36" t="str">
            <v>İCE / TOKAT</v>
          </cell>
          <cell r="I36">
            <v>6.0000000000000001E-3</v>
          </cell>
          <cell r="M36" t="str">
            <v>&lt; 200</v>
          </cell>
          <cell r="N36">
            <v>2.9405227711105586</v>
          </cell>
          <cell r="O36" t="str">
            <v>1A</v>
          </cell>
          <cell r="P36" t="str">
            <v>Cengiz L. Güruf</v>
          </cell>
          <cell r="Q36" t="str">
            <v>İce Araç. Tic. San. Ltd. Şti.</v>
          </cell>
          <cell r="R36" t="str">
            <v>Uzunburun Mevkii Erzincan  1. Km Tokat</v>
          </cell>
        </row>
        <row r="37">
          <cell r="A37" t="str">
            <v>TR7611</v>
          </cell>
          <cell r="B37" t="str">
            <v>R2</v>
          </cell>
          <cell r="C37" t="str">
            <v>VARDALLAR</v>
          </cell>
          <cell r="E37">
            <v>1</v>
          </cell>
          <cell r="F37" t="str">
            <v>VARDALLAR / TRABZON</v>
          </cell>
          <cell r="G37" t="str">
            <v>TRABZON</v>
          </cell>
          <cell r="H37" t="str">
            <v>VARDALLAR / TRABZON</v>
          </cell>
          <cell r="I37">
            <v>1.2E-2</v>
          </cell>
          <cell r="M37" t="str">
            <v>&lt; 200</v>
          </cell>
          <cell r="N37">
            <v>5.8582633668722908</v>
          </cell>
          <cell r="O37" t="str">
            <v>1A</v>
          </cell>
          <cell r="P37" t="str">
            <v>Kırhan Vardaloğlu</v>
          </cell>
          <cell r="Q37" t="str">
            <v>Vardallar Oto San. ve Tic. Ltd. Şti</v>
          </cell>
          <cell r="R37" t="str">
            <v xml:space="preserve">Devlet Yolu Cad. No:111 Değirmender Trabzon </v>
          </cell>
        </row>
        <row r="38">
          <cell r="A38" t="str">
            <v>TR7631</v>
          </cell>
          <cell r="B38" t="str">
            <v>R4</v>
          </cell>
          <cell r="C38" t="str">
            <v>GAPEL</v>
          </cell>
          <cell r="E38">
            <v>1</v>
          </cell>
          <cell r="F38" t="str">
            <v>GAPEL / URFA</v>
          </cell>
          <cell r="G38" t="str">
            <v>ŞANLIURFA</v>
          </cell>
          <cell r="H38" t="str">
            <v>GAPEL / ŞANLIURFA</v>
          </cell>
          <cell r="I38">
            <v>6.0000000000000001E-3</v>
          </cell>
          <cell r="M38" t="str">
            <v>&lt; 200</v>
          </cell>
          <cell r="N38">
            <v>2.1227249843790799</v>
          </cell>
          <cell r="O38" t="str">
            <v>1A</v>
          </cell>
          <cell r="P38" t="str">
            <v>Erhan İlhan</v>
          </cell>
          <cell r="Q38" t="str">
            <v>Gapel Otomativ San. Ltd. Şti.</v>
          </cell>
          <cell r="R38" t="str">
            <v>Akçakale Yolu Üzeri /4.km Urfa</v>
          </cell>
        </row>
        <row r="39">
          <cell r="A39" t="str">
            <v>TR7651</v>
          </cell>
          <cell r="B39" t="str">
            <v>R2</v>
          </cell>
          <cell r="C39" t="str">
            <v>DOĞU</v>
          </cell>
          <cell r="E39">
            <v>1</v>
          </cell>
          <cell r="F39" t="str">
            <v>DOĞU / VAN</v>
          </cell>
          <cell r="G39" t="str">
            <v>VAN</v>
          </cell>
          <cell r="H39" t="str">
            <v>DOĞU / VAN</v>
          </cell>
          <cell r="I39">
            <v>8.9999999999999993E-3</v>
          </cell>
          <cell r="M39" t="str">
            <v>&lt; 200</v>
          </cell>
          <cell r="N39">
            <v>1.7956873565560871</v>
          </cell>
          <cell r="O39" t="str">
            <v>1A</v>
          </cell>
          <cell r="P39" t="str">
            <v>Zahir Kandaşoğlu</v>
          </cell>
          <cell r="Q39" t="str">
            <v>Doğu Otomotiv Tic Ltd. Şti.</v>
          </cell>
          <cell r="R39" t="str">
            <v>İpek Yolüzeri Kurşunluoğlu Petrol Yanı Van</v>
          </cell>
        </row>
        <row r="40">
          <cell r="A40" t="str">
            <v>TR7671</v>
          </cell>
          <cell r="B40" t="str">
            <v>R2</v>
          </cell>
          <cell r="C40" t="str">
            <v>TÜMAR</v>
          </cell>
          <cell r="E40">
            <v>1</v>
          </cell>
          <cell r="F40" t="str">
            <v>TÜMAR / ZONGULDAK</v>
          </cell>
          <cell r="G40" t="str">
            <v>ZONGULDAK</v>
          </cell>
          <cell r="H40" t="str">
            <v>TÜMAR / ZONGULDAK</v>
          </cell>
          <cell r="I40">
            <v>0.01</v>
          </cell>
          <cell r="M40" t="str">
            <v>&lt; 200</v>
          </cell>
          <cell r="N40">
            <v>4.8003468036738566</v>
          </cell>
          <cell r="O40" t="str">
            <v>1A</v>
          </cell>
          <cell r="P40" t="str">
            <v>Nurettin Tüylüoğlu</v>
          </cell>
          <cell r="Q40" t="str">
            <v>Tümar Oto San. Ve Tic. Ltd. Şti.</v>
          </cell>
          <cell r="R40" t="str">
            <v>Gülüç Sahil Bulvarı Çengelburnu  Kdz. Ereğli Zonguldak</v>
          </cell>
        </row>
        <row r="41">
          <cell r="A41" t="str">
            <v>TR7991</v>
          </cell>
          <cell r="B41" t="str">
            <v>R3</v>
          </cell>
          <cell r="C41" t="str">
            <v>TOROS</v>
          </cell>
          <cell r="E41">
            <v>1</v>
          </cell>
          <cell r="F41" t="str">
            <v>TOROS / KIBRIS</v>
          </cell>
          <cell r="G41" t="str">
            <v>KIBRIS</v>
          </cell>
          <cell r="H41" t="str">
            <v>TOROS / KIBRIS</v>
          </cell>
          <cell r="I41">
            <v>1.0999999999999999E-2</v>
          </cell>
          <cell r="M41" t="str">
            <v>&lt; 200</v>
          </cell>
          <cell r="N41">
            <v>2.1355949472180096</v>
          </cell>
          <cell r="O41" t="str">
            <v>1A</v>
          </cell>
          <cell r="P41" t="str">
            <v>Vedat Bülbüloğlu</v>
          </cell>
          <cell r="Q41" t="str">
            <v>Toros Otomotiv Limited</v>
          </cell>
          <cell r="R41" t="str">
            <v>Opel Plaza, Dr. Fazıl Küçük Bulvarı. Gönyeli Çemberi / Lefkoşa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mhuriyet  Gazetesi- Yeni Ölçü"/>
    </sheetNames>
    <definedNames>
      <definedName name="Choices_Wrapper"/>
      <definedName name="rin"/>
      <definedName name="USA_Today"/>
    </definedNames>
    <sheetDataSet>
      <sheetData sheetId="0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  <sheetName val="BİMAŞ"/>
      <sheetName val="SHOW"/>
      <sheetName val="STAR"/>
      <sheetName val="TGRT"/>
      <sheetName val="NUMBER ONE"/>
      <sheetName val="GENC TV"/>
      <sheetName val="CNNTURK"/>
      <sheetName val="NTV"/>
      <sheetName val="KANAL E"/>
      <sheetName val="KISS TV"/>
      <sheetName val="BEST TV"/>
      <sheetName val="GERÇEK ÖZET"/>
      <sheetName val="Index"/>
      <sheetName val="tv spot list"/>
      <sheetName val="NUMBER_ONE"/>
      <sheetName val="GENC_TV"/>
      <sheetName val="KANAL_E"/>
      <sheetName val="KISS_TV"/>
      <sheetName val="BEST_TV"/>
      <sheetName val="GERÇEK_ÖZET"/>
      <sheetName val="tv_spot_list"/>
      <sheetName val="DATA"/>
      <sheetName val="HL"/>
      <sheetName val="NUMBER_ONE1"/>
      <sheetName val="GENC_TV1"/>
      <sheetName val="KANAL_E1"/>
      <sheetName val="KISS_TV1"/>
      <sheetName val="BEST_TV1"/>
      <sheetName val="GERÇEK_ÖZET1"/>
      <sheetName val="tv_spot_list1"/>
      <sheetName val="PepsiFortuneTeller12ndwaveJune2"/>
      <sheetName val="NUMBER_ONE2"/>
      <sheetName val="GENC_TV2"/>
      <sheetName val="KANAL_E2"/>
      <sheetName val="KISS_TV2"/>
      <sheetName val="BEST_TV2"/>
      <sheetName val="GERÇEK_ÖZET2"/>
      <sheetName val="tv_spot_list2"/>
      <sheetName val="CampaignData"/>
      <sheetName val="PlanData"/>
      <sheetName val="ExchangeRates"/>
      <sheetName val="ManualDiscounts"/>
      <sheetName val="NetPrices"/>
      <sheetName val="PlanSheet"/>
      <sheetName val="NUMBER_ONE3"/>
      <sheetName val="GENC_TV3"/>
      <sheetName val="KANAL_E3"/>
      <sheetName val="KISS_TV3"/>
      <sheetName val="BEST_TV3"/>
      <sheetName val="GERÇEK_ÖZET3"/>
      <sheetName val="tv_spot_list3"/>
      <sheetName val=""/>
      <sheetName val="International"/>
      <sheetName val="NUMBER_ONE4"/>
      <sheetName val="GENC_TV4"/>
      <sheetName val="KANAL_E4"/>
      <sheetName val="KISS_TV4"/>
      <sheetName val="BEST_TV4"/>
      <sheetName val="GERÇEK_ÖZET4"/>
      <sheetName val="tv_spot_list4"/>
      <sheetName val="1 flight"/>
      <sheetName val="Channelvorgabe"/>
      <sheetName val="FINALPHP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</sheetNames>
    <sheetDataSet>
      <sheetData sheetId="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glio1"/>
      <sheetName val="CARS"/>
      <sheetName val="MONAT"/>
      <sheetName val="CH_REP"/>
      <sheetName val="ZO_REP"/>
      <sheetName val="Cartel1"/>
      <sheetName val="Data Chart"/>
      <sheetName val="Sheet3"/>
      <sheetName val="MASTER FIAT"/>
      <sheetName val="Kategoriler"/>
      <sheetName val="#RIF"/>
      <sheetName val="Form-E1"/>
      <sheetName val="Vendite"/>
      <sheetName val="Dealer"/>
      <sheetName val="Hasar Hattı"/>
      <sheetName val="TUBORG"/>
      <sheetName val="Materyaller"/>
      <sheetName val="Fiyat"/>
      <sheetName val="Alim Sekli"/>
      <sheetName val="Copies"/>
      <sheetName val="SpotList (2)"/>
      <sheetName val="Exchange"/>
      <sheetName val="Payments"/>
      <sheetName val="Stations"/>
      <sheetName val="Prices"/>
      <sheetName val="rendelés melléklet"/>
      <sheetName val="DATA"/>
      <sheetName val="CampaignData"/>
      <sheetName val="PlanData"/>
      <sheetName val="ExchangeRates"/>
      <sheetName val="ManualDiscounts"/>
      <sheetName val="NetPrices"/>
      <sheetName val="PlanSheet"/>
      <sheetName val="Network"/>
      <sheetName val="buyingmethod"/>
      <sheetName val="creativetype"/>
      <sheetName val="Format"/>
      <sheetName val="Media Type"/>
      <sheetName val="Kayna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ntry"/>
      <sheetName val="Language"/>
      <sheetName val="Si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Ps"/>
    </sheetNames>
    <sheetDataSet>
      <sheetData sheetId="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ndelés melléklet"/>
      <sheetName val=" Megrendelés"/>
      <sheetName val="TERV"/>
      <sheetName val="augusztus"/>
      <sheetName val="september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ntv-fiyat"/>
      <sheetName val="Materyaller"/>
      <sheetName val="Fiyat"/>
      <sheetName val="Alim Sekli"/>
      <sheetName val="Kaynak"/>
      <sheetName val="rendelés_melléklet"/>
      <sheetName val="_Megrendelés"/>
      <sheetName val="Alim_Sekli"/>
      <sheetName val="rendelés_melléklet1"/>
      <sheetName val="_Megrendelés1"/>
      <sheetName val="TOPLAM KANAL KIRILIMI-GRP'S (2)"/>
      <sheetName val="goldradio3flc"/>
      <sheetName val="Kategoriler"/>
      <sheetName val="Country"/>
      <sheetName val="Language"/>
      <sheetName val="Site"/>
      <sheetName val="Copies"/>
      <sheetName val="Exchange"/>
      <sheetName val="Payments"/>
      <sheetName val="Stations"/>
      <sheetName val="Prices"/>
      <sheetName val="Sheet2"/>
      <sheetName val="SpotList (2)"/>
      <sheetName val="Hasar Hatt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glio1"/>
      <sheetName val="CARS"/>
      <sheetName val="MONAT"/>
      <sheetName val="CH_REP"/>
      <sheetName val="ZO_REP"/>
      <sheetName val="Cartel1"/>
      <sheetName val="Data Chart"/>
      <sheetName val="Sheet3"/>
      <sheetName val="MASTER FIAT"/>
      <sheetName val="Materyaller"/>
      <sheetName val="Fiyat"/>
      <sheetName val="Alim Sekli"/>
      <sheetName val="Copies"/>
      <sheetName val="SpotList (2)"/>
      <sheetName val="Exchange"/>
      <sheetName val="Payments"/>
      <sheetName val="Stations"/>
      <sheetName val="Prices"/>
      <sheetName val="rendelés melléklet"/>
      <sheetName val="#RIF"/>
      <sheetName val="Form-E1"/>
      <sheetName val="Vendite"/>
      <sheetName val="Dealer"/>
      <sheetName val="Kategoriler"/>
      <sheetName val="Hasar Hattı"/>
      <sheetName val="TUBORG"/>
      <sheetName val="CampaignData"/>
      <sheetName val="PlanData"/>
      <sheetName val="ExchangeRates"/>
      <sheetName val="ManualDiscounts"/>
      <sheetName val="NetPrices"/>
      <sheetName val="Plan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  <sheetName val="Programlar"/>
      <sheetName val="ATV"/>
      <sheetName val="KAND "/>
      <sheetName val="STAR"/>
      <sheetName val="SHOW"/>
      <sheetName val="TGRT"/>
      <sheetName val="NTV"/>
      <sheetName val="BRAVO"/>
      <sheetName val="PRİMA"/>
      <sheetName val="YILBAŞI"/>
      <sheetName val="Gerç.Karışık"/>
      <sheetName val="Gerç.Pivot"/>
      <sheetName val="Gerç.Özet"/>
      <sheetName val="Karışık"/>
      <sheetName val="Pivot"/>
      <sheetName val="Öz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Şubat Gerçekleşen"/>
    </sheetNames>
    <sheetDataSet>
      <sheetData sheetId="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v spot list"/>
      <sheetName val="RADYO"/>
      <sheetName val="BİLGİLER"/>
      <sheetName val="TARIFE"/>
      <sheetName val="FIYAT"/>
      <sheetName val="post"/>
      <sheetName val="pre1"/>
      <sheetName val="PİVOT"/>
      <sheetName val="PİVOTALL"/>
      <sheetName val="Rating"/>
      <sheetName val="iptal"/>
      <sheetName val="grptakip"/>
      <sheetName val="Foglio1"/>
      <sheetName val="GAZETE"/>
      <sheetName val="Kategoriler"/>
      <sheetName val="VENDAS"/>
      <sheetName val="Data 2000"/>
      <sheetName val="Standardorte"/>
      <sheetName val="Telemonitor"/>
      <sheetName val="Köprü"/>
      <sheetName val="OZET-ON"/>
      <sheetName val="Copies"/>
      <sheetName val="SpotList (2)"/>
      <sheetName val="Exchange"/>
      <sheetName val="Payments"/>
      <sheetName val="Stations"/>
      <sheetName val="Prices"/>
    </sheetNames>
    <sheetDataSet>
      <sheetData sheetId="0" refreshError="1">
        <row r="14">
          <cell r="T14" t="str">
            <v>Late Night</v>
          </cell>
        </row>
        <row r="15">
          <cell r="T15" t="str">
            <v>Late Night</v>
          </cell>
        </row>
        <row r="16">
          <cell r="T16" t="str">
            <v>Lunch</v>
          </cell>
        </row>
        <row r="17">
          <cell r="T17" t="str">
            <v>Lunch</v>
          </cell>
        </row>
        <row r="18">
          <cell r="T18" t="str">
            <v>Morning</v>
          </cell>
        </row>
        <row r="19">
          <cell r="T19" t="str">
            <v>Lunch</v>
          </cell>
        </row>
        <row r="20">
          <cell r="T20" t="str">
            <v>Late Night</v>
          </cell>
        </row>
        <row r="21">
          <cell r="T21" t="str">
            <v>Lunch</v>
          </cell>
        </row>
        <row r="22">
          <cell r="T22" t="str">
            <v>Late Night</v>
          </cell>
        </row>
        <row r="23">
          <cell r="T23" t="str">
            <v>Late Night</v>
          </cell>
        </row>
        <row r="24">
          <cell r="T24" t="str">
            <v>Afternoon</v>
          </cell>
        </row>
        <row r="25">
          <cell r="T25" t="str">
            <v>Lunch</v>
          </cell>
        </row>
        <row r="26">
          <cell r="T26" t="str">
            <v>Morning</v>
          </cell>
        </row>
        <row r="27">
          <cell r="T27" t="str">
            <v>Afternoon</v>
          </cell>
        </row>
        <row r="28">
          <cell r="T28" t="str">
            <v>Morning</v>
          </cell>
        </row>
        <row r="29">
          <cell r="T29" t="str">
            <v>Late Night</v>
          </cell>
        </row>
        <row r="30">
          <cell r="T30" t="str">
            <v>Late Night</v>
          </cell>
        </row>
        <row r="31">
          <cell r="T31" t="str">
            <v>Lunch</v>
          </cell>
        </row>
        <row r="32">
          <cell r="T32" t="str">
            <v>Late Night</v>
          </cell>
        </row>
        <row r="33">
          <cell r="T33" t="str">
            <v>Late Night</v>
          </cell>
        </row>
        <row r="34">
          <cell r="T34" t="str">
            <v>Late Night</v>
          </cell>
        </row>
        <row r="35">
          <cell r="T35" t="str">
            <v>Afternoon</v>
          </cell>
        </row>
        <row r="36">
          <cell r="T36" t="str">
            <v>Lunch</v>
          </cell>
        </row>
        <row r="37">
          <cell r="T37" t="str">
            <v>Afternoon</v>
          </cell>
        </row>
        <row r="38">
          <cell r="T38" t="str">
            <v>Afternoon</v>
          </cell>
        </row>
        <row r="39">
          <cell r="T39" t="str">
            <v>Early Prime</v>
          </cell>
        </row>
        <row r="40">
          <cell r="T40" t="str">
            <v>Lunch</v>
          </cell>
        </row>
        <row r="41">
          <cell r="T41" t="str">
            <v>Prime</v>
          </cell>
        </row>
        <row r="42">
          <cell r="T42" t="str">
            <v>Prime</v>
          </cell>
        </row>
        <row r="43">
          <cell r="T43" t="str">
            <v>Afternoon</v>
          </cell>
        </row>
        <row r="44">
          <cell r="T44" t="str">
            <v>Prime</v>
          </cell>
        </row>
        <row r="45">
          <cell r="T45" t="str">
            <v>Late Night</v>
          </cell>
        </row>
        <row r="46">
          <cell r="T46" t="str">
            <v>Morning</v>
          </cell>
        </row>
        <row r="47">
          <cell r="T47" t="str">
            <v>Afternoon</v>
          </cell>
        </row>
        <row r="48">
          <cell r="T48" t="str">
            <v>Prime</v>
          </cell>
        </row>
        <row r="49">
          <cell r="T49" t="str">
            <v>Afternoon</v>
          </cell>
        </row>
        <row r="50">
          <cell r="T50" t="str">
            <v>Late Night</v>
          </cell>
        </row>
        <row r="51">
          <cell r="T51" t="str">
            <v>Morning</v>
          </cell>
        </row>
        <row r="52">
          <cell r="T52" t="str">
            <v>Afternoon</v>
          </cell>
        </row>
        <row r="53">
          <cell r="T53" t="str">
            <v>Morning</v>
          </cell>
        </row>
        <row r="54">
          <cell r="T54" t="str">
            <v>Late Night</v>
          </cell>
        </row>
        <row r="55">
          <cell r="T55" t="str">
            <v>Early Prime</v>
          </cell>
        </row>
        <row r="56">
          <cell r="T56" t="str">
            <v>Lunch</v>
          </cell>
        </row>
        <row r="57">
          <cell r="T57" t="str">
            <v>Morning</v>
          </cell>
        </row>
        <row r="58">
          <cell r="T58" t="str">
            <v>Late Night</v>
          </cell>
        </row>
        <row r="59">
          <cell r="T59" t="str">
            <v>Afternoon</v>
          </cell>
        </row>
        <row r="60">
          <cell r="T60" t="str">
            <v>Lunch</v>
          </cell>
        </row>
        <row r="61">
          <cell r="T61" t="str">
            <v>Lunch</v>
          </cell>
        </row>
        <row r="62">
          <cell r="T62" t="str">
            <v>Afternoon</v>
          </cell>
        </row>
        <row r="63">
          <cell r="T63" t="str">
            <v>Afternoon</v>
          </cell>
        </row>
        <row r="64">
          <cell r="T64" t="str">
            <v>Morning</v>
          </cell>
        </row>
        <row r="65">
          <cell r="T65" t="str">
            <v>Late Night</v>
          </cell>
        </row>
        <row r="66">
          <cell r="T66" t="str">
            <v>Afternoon</v>
          </cell>
        </row>
        <row r="67">
          <cell r="T67" t="str">
            <v>Afternoon</v>
          </cell>
        </row>
        <row r="68">
          <cell r="T68" t="str">
            <v>Late Night</v>
          </cell>
        </row>
        <row r="69">
          <cell r="T69" t="str">
            <v>Afternoon</v>
          </cell>
        </row>
        <row r="70">
          <cell r="T70" t="str">
            <v>Prime</v>
          </cell>
        </row>
        <row r="71">
          <cell r="T71" t="str">
            <v>Late Night</v>
          </cell>
        </row>
        <row r="72">
          <cell r="T72" t="str">
            <v>Afternoon</v>
          </cell>
        </row>
        <row r="73">
          <cell r="T73" t="str">
            <v>Prime</v>
          </cell>
        </row>
        <row r="74">
          <cell r="T74" t="str">
            <v>Prime</v>
          </cell>
        </row>
        <row r="75">
          <cell r="T75" t="str">
            <v>Prime</v>
          </cell>
        </row>
        <row r="76">
          <cell r="T76" t="str">
            <v>Late Night</v>
          </cell>
        </row>
        <row r="77">
          <cell r="T77" t="str">
            <v>Prime</v>
          </cell>
        </row>
        <row r="78">
          <cell r="T78" t="str">
            <v>Afternoon</v>
          </cell>
        </row>
        <row r="79">
          <cell r="T79" t="str">
            <v>Prime</v>
          </cell>
        </row>
        <row r="80">
          <cell r="T80" t="str">
            <v>Late Night</v>
          </cell>
        </row>
        <row r="81">
          <cell r="T81" t="str">
            <v>Afternoon</v>
          </cell>
        </row>
        <row r="82">
          <cell r="T82" t="str">
            <v>Afternoon</v>
          </cell>
        </row>
        <row r="83">
          <cell r="T83" t="str">
            <v>Late Night</v>
          </cell>
        </row>
        <row r="84">
          <cell r="T84" t="str">
            <v>Afternoon</v>
          </cell>
        </row>
        <row r="85">
          <cell r="T85" t="str">
            <v>Late Night</v>
          </cell>
        </row>
        <row r="86">
          <cell r="T86" t="str">
            <v>Late Night</v>
          </cell>
        </row>
        <row r="87">
          <cell r="T87" t="str">
            <v>Lunch</v>
          </cell>
        </row>
        <row r="88">
          <cell r="T88" t="str">
            <v>Lunch</v>
          </cell>
        </row>
        <row r="89">
          <cell r="T89" t="str">
            <v>Afternoon</v>
          </cell>
        </row>
        <row r="90">
          <cell r="T90" t="str">
            <v>Lunch</v>
          </cell>
        </row>
        <row r="91">
          <cell r="T91" t="str">
            <v>Late Night</v>
          </cell>
        </row>
        <row r="92">
          <cell r="T92" t="str">
            <v>Morning</v>
          </cell>
        </row>
        <row r="93">
          <cell r="T93" t="str">
            <v>Morning</v>
          </cell>
        </row>
        <row r="94">
          <cell r="T94" t="str">
            <v>Morning</v>
          </cell>
        </row>
        <row r="95">
          <cell r="T95" t="str">
            <v>Lunch</v>
          </cell>
        </row>
        <row r="96">
          <cell r="T96" t="str">
            <v>Lunch</v>
          </cell>
        </row>
        <row r="97">
          <cell r="T97" t="str">
            <v>Prime</v>
          </cell>
        </row>
        <row r="98">
          <cell r="T98" t="str">
            <v>Late Night</v>
          </cell>
        </row>
        <row r="99">
          <cell r="T99" t="str">
            <v>Prime</v>
          </cell>
        </row>
        <row r="100">
          <cell r="T100" t="str">
            <v>Afternoon</v>
          </cell>
        </row>
        <row r="101">
          <cell r="T101" t="str">
            <v>Early Prime</v>
          </cell>
        </row>
        <row r="102">
          <cell r="T102" t="str">
            <v>Afternoon</v>
          </cell>
        </row>
        <row r="103">
          <cell r="T103" t="str">
            <v>Prime</v>
          </cell>
        </row>
        <row r="104">
          <cell r="T104" t="str">
            <v>Early Prime</v>
          </cell>
        </row>
        <row r="105">
          <cell r="T105" t="str">
            <v>Morning</v>
          </cell>
        </row>
        <row r="106">
          <cell r="T106" t="str">
            <v>Lunch</v>
          </cell>
        </row>
        <row r="107">
          <cell r="T107" t="str">
            <v>Prime</v>
          </cell>
        </row>
        <row r="108">
          <cell r="T108" t="str">
            <v>Prime</v>
          </cell>
        </row>
        <row r="109">
          <cell r="T109" t="str">
            <v>Lunch</v>
          </cell>
        </row>
        <row r="110">
          <cell r="T110" t="str">
            <v>Morning</v>
          </cell>
        </row>
        <row r="111">
          <cell r="T111" t="str">
            <v>Late Night</v>
          </cell>
        </row>
        <row r="112">
          <cell r="T112" t="str">
            <v>Morning</v>
          </cell>
        </row>
        <row r="113">
          <cell r="T113" t="str">
            <v>Late Night</v>
          </cell>
        </row>
        <row r="114">
          <cell r="T114" t="str">
            <v>Late Night</v>
          </cell>
        </row>
        <row r="115">
          <cell r="T115" t="str">
            <v>Late Night</v>
          </cell>
        </row>
        <row r="116">
          <cell r="T116" t="str">
            <v>Early Prime</v>
          </cell>
        </row>
        <row r="117">
          <cell r="T117" t="str">
            <v>Morning</v>
          </cell>
        </row>
        <row r="118">
          <cell r="T118" t="str">
            <v>Prime</v>
          </cell>
        </row>
        <row r="119">
          <cell r="T119" t="str">
            <v>Late Night</v>
          </cell>
        </row>
        <row r="120">
          <cell r="T120" t="str">
            <v>Afternoon</v>
          </cell>
        </row>
        <row r="121">
          <cell r="T121" t="str">
            <v>Prime</v>
          </cell>
        </row>
        <row r="122">
          <cell r="T122" t="str">
            <v>Afternoon</v>
          </cell>
        </row>
        <row r="123">
          <cell r="T123" t="str">
            <v>Prime</v>
          </cell>
        </row>
        <row r="124">
          <cell r="T124" t="str">
            <v>Prime</v>
          </cell>
        </row>
        <row r="125">
          <cell r="T125" t="str">
            <v>Prime</v>
          </cell>
        </row>
        <row r="126">
          <cell r="T126" t="str">
            <v>Prime</v>
          </cell>
        </row>
        <row r="127">
          <cell r="T127" t="str">
            <v>Prime</v>
          </cell>
        </row>
        <row r="128">
          <cell r="T128" t="str">
            <v>Afternoon</v>
          </cell>
        </row>
        <row r="129">
          <cell r="T129" t="str">
            <v>Prime</v>
          </cell>
        </row>
        <row r="130">
          <cell r="T130" t="str">
            <v>Morning</v>
          </cell>
        </row>
        <row r="131">
          <cell r="T131" t="str">
            <v>Prime</v>
          </cell>
        </row>
        <row r="132">
          <cell r="T132" t="str">
            <v>Prime</v>
          </cell>
        </row>
        <row r="133">
          <cell r="T133" t="str">
            <v>Morning</v>
          </cell>
        </row>
        <row r="134">
          <cell r="T134" t="str">
            <v>Prime</v>
          </cell>
        </row>
        <row r="135">
          <cell r="T135" t="str">
            <v>Lunch</v>
          </cell>
        </row>
        <row r="136">
          <cell r="T136" t="str">
            <v>Late Night</v>
          </cell>
        </row>
        <row r="137">
          <cell r="T137" t="str">
            <v>Prime</v>
          </cell>
        </row>
        <row r="138">
          <cell r="T138" t="str">
            <v>Prime</v>
          </cell>
        </row>
        <row r="139">
          <cell r="T139" t="str">
            <v>Lunch</v>
          </cell>
        </row>
        <row r="140">
          <cell r="T140" t="str">
            <v>Prime</v>
          </cell>
        </row>
        <row r="141">
          <cell r="T141" t="str">
            <v>Late Night</v>
          </cell>
        </row>
        <row r="142">
          <cell r="T142" t="str">
            <v>Prime</v>
          </cell>
        </row>
        <row r="143">
          <cell r="T143" t="str">
            <v>Prime</v>
          </cell>
        </row>
        <row r="144">
          <cell r="T144" t="str">
            <v>Prime</v>
          </cell>
        </row>
        <row r="145">
          <cell r="T145" t="str">
            <v>Lunch</v>
          </cell>
        </row>
        <row r="146">
          <cell r="T146" t="str">
            <v>Prime</v>
          </cell>
        </row>
        <row r="147">
          <cell r="T147" t="str">
            <v>Prime</v>
          </cell>
        </row>
        <row r="148">
          <cell r="T148" t="str">
            <v>Late Night</v>
          </cell>
        </row>
        <row r="149">
          <cell r="T149" t="str">
            <v>Late Night</v>
          </cell>
        </row>
        <row r="150">
          <cell r="T150" t="str">
            <v>Prime</v>
          </cell>
        </row>
        <row r="151">
          <cell r="T151" t="str">
            <v>Prime</v>
          </cell>
        </row>
        <row r="152">
          <cell r="T152" t="str">
            <v>Prime</v>
          </cell>
        </row>
        <row r="153">
          <cell r="T153" t="str">
            <v>Early Prime</v>
          </cell>
        </row>
        <row r="154">
          <cell r="T154" t="str">
            <v>Prime</v>
          </cell>
        </row>
        <row r="155">
          <cell r="T155" t="str">
            <v>Late Night</v>
          </cell>
        </row>
        <row r="156">
          <cell r="T156" t="str">
            <v>Prime</v>
          </cell>
        </row>
        <row r="157">
          <cell r="T157" t="str">
            <v>Prime</v>
          </cell>
        </row>
        <row r="158">
          <cell r="T158" t="str">
            <v>Prime</v>
          </cell>
        </row>
        <row r="159">
          <cell r="T159" t="str">
            <v>Prime</v>
          </cell>
        </row>
        <row r="160">
          <cell r="T160" t="str">
            <v>Late Night</v>
          </cell>
        </row>
        <row r="161">
          <cell r="T161" t="str">
            <v>Prime</v>
          </cell>
        </row>
        <row r="162">
          <cell r="T162" t="str">
            <v>Prime</v>
          </cell>
        </row>
        <row r="163">
          <cell r="T163" t="str">
            <v>Morning</v>
          </cell>
        </row>
        <row r="164">
          <cell r="T164" t="str">
            <v>Prime</v>
          </cell>
        </row>
        <row r="165">
          <cell r="T165" t="str">
            <v>Prime</v>
          </cell>
        </row>
        <row r="166">
          <cell r="T166" t="str">
            <v>Afternoon</v>
          </cell>
        </row>
        <row r="167">
          <cell r="T167" t="str">
            <v>Prime</v>
          </cell>
        </row>
        <row r="168">
          <cell r="T168" t="str">
            <v>Prime</v>
          </cell>
        </row>
        <row r="169">
          <cell r="T169" t="str">
            <v>Prime</v>
          </cell>
        </row>
        <row r="170">
          <cell r="T170" t="str">
            <v>Lunch</v>
          </cell>
        </row>
        <row r="171">
          <cell r="T171" t="str">
            <v>Late Night</v>
          </cell>
        </row>
        <row r="172">
          <cell r="T172" t="str">
            <v>Morning</v>
          </cell>
        </row>
        <row r="173">
          <cell r="T173" t="str">
            <v>Prime</v>
          </cell>
        </row>
        <row r="174">
          <cell r="T174" t="str">
            <v>Prime</v>
          </cell>
        </row>
        <row r="175">
          <cell r="T175" t="str">
            <v>Prime</v>
          </cell>
        </row>
        <row r="176">
          <cell r="T176" t="str">
            <v>Late Night</v>
          </cell>
        </row>
        <row r="177">
          <cell r="T177" t="str">
            <v>Prime</v>
          </cell>
        </row>
        <row r="178">
          <cell r="T178" t="str">
            <v>Prime</v>
          </cell>
        </row>
        <row r="179">
          <cell r="T179" t="str">
            <v>Late Night</v>
          </cell>
        </row>
        <row r="180">
          <cell r="T180" t="str">
            <v>Prime</v>
          </cell>
        </row>
        <row r="181">
          <cell r="T181" t="str">
            <v>Prime</v>
          </cell>
        </row>
        <row r="182">
          <cell r="T182" t="str">
            <v>Prime</v>
          </cell>
        </row>
        <row r="183">
          <cell r="T183" t="str">
            <v>Prime</v>
          </cell>
        </row>
        <row r="184">
          <cell r="T184" t="str">
            <v>Late Night</v>
          </cell>
        </row>
        <row r="185">
          <cell r="T185" t="str">
            <v>Morning</v>
          </cell>
        </row>
        <row r="186">
          <cell r="T186" t="str">
            <v>Morning</v>
          </cell>
        </row>
        <row r="187">
          <cell r="T187" t="str">
            <v>Prime</v>
          </cell>
        </row>
        <row r="188">
          <cell r="T188" t="str">
            <v>Prime</v>
          </cell>
        </row>
        <row r="189">
          <cell r="T189" t="str">
            <v>Late Night</v>
          </cell>
        </row>
        <row r="190">
          <cell r="T190" t="str">
            <v>Prime</v>
          </cell>
        </row>
        <row r="191">
          <cell r="T191" t="str">
            <v>Late Night</v>
          </cell>
        </row>
        <row r="192">
          <cell r="T192" t="str">
            <v>Lunch</v>
          </cell>
        </row>
        <row r="193">
          <cell r="T193" t="str">
            <v>Prime</v>
          </cell>
        </row>
        <row r="194">
          <cell r="T194" t="str">
            <v>Prime</v>
          </cell>
        </row>
        <row r="195">
          <cell r="T195" t="str">
            <v>Prime</v>
          </cell>
        </row>
        <row r="196">
          <cell r="T196" t="str">
            <v>Early Prime</v>
          </cell>
        </row>
        <row r="197">
          <cell r="T197" t="str">
            <v>Late Night</v>
          </cell>
        </row>
        <row r="198">
          <cell r="T198" t="str">
            <v>Prime</v>
          </cell>
        </row>
        <row r="199">
          <cell r="T199" t="str">
            <v>Prime</v>
          </cell>
        </row>
        <row r="200">
          <cell r="T200" t="str">
            <v>Prime</v>
          </cell>
        </row>
        <row r="201">
          <cell r="T201" t="str">
            <v>Prime</v>
          </cell>
        </row>
        <row r="202">
          <cell r="T202" t="str">
            <v>Prime</v>
          </cell>
        </row>
        <row r="203">
          <cell r="T203" t="str">
            <v>Prime</v>
          </cell>
        </row>
        <row r="204">
          <cell r="T204" t="str">
            <v>Lunch</v>
          </cell>
        </row>
        <row r="205">
          <cell r="T205" t="str">
            <v>Prime</v>
          </cell>
        </row>
        <row r="206">
          <cell r="T206" t="str">
            <v>Prime</v>
          </cell>
        </row>
        <row r="207">
          <cell r="T207" t="str">
            <v>Prime</v>
          </cell>
        </row>
        <row r="208">
          <cell r="T208" t="str">
            <v>Prime</v>
          </cell>
        </row>
        <row r="209">
          <cell r="T209" t="str">
            <v>Prime</v>
          </cell>
        </row>
        <row r="210">
          <cell r="T210" t="str">
            <v>Prime</v>
          </cell>
        </row>
        <row r="211">
          <cell r="T211" t="str">
            <v>Early Prime</v>
          </cell>
        </row>
        <row r="212">
          <cell r="T212" t="str">
            <v>Prime</v>
          </cell>
        </row>
        <row r="213">
          <cell r="T213" t="str">
            <v>Prime</v>
          </cell>
        </row>
        <row r="214">
          <cell r="T214" t="str">
            <v>Prime</v>
          </cell>
        </row>
        <row r="215">
          <cell r="T215" t="str">
            <v>Prime</v>
          </cell>
        </row>
        <row r="216">
          <cell r="T216" t="str">
            <v>Prime</v>
          </cell>
        </row>
        <row r="217">
          <cell r="T217" t="str">
            <v>Prime</v>
          </cell>
        </row>
        <row r="218">
          <cell r="T218" t="str">
            <v>Prime</v>
          </cell>
        </row>
        <row r="219">
          <cell r="T219" t="str">
            <v>Prime</v>
          </cell>
        </row>
        <row r="220">
          <cell r="T220" t="str">
            <v>Prime</v>
          </cell>
        </row>
        <row r="221">
          <cell r="T221" t="str">
            <v>Prime</v>
          </cell>
        </row>
        <row r="222">
          <cell r="T222" t="str">
            <v>Prime</v>
          </cell>
        </row>
        <row r="223">
          <cell r="T223" t="str">
            <v>Prime</v>
          </cell>
        </row>
        <row r="224">
          <cell r="T224" t="str">
            <v>Late Night</v>
          </cell>
        </row>
        <row r="225">
          <cell r="T225" t="str">
            <v>Prime</v>
          </cell>
        </row>
        <row r="226">
          <cell r="T226" t="str">
            <v>Late Night</v>
          </cell>
        </row>
        <row r="227">
          <cell r="T227" t="str">
            <v>Prime</v>
          </cell>
        </row>
        <row r="228">
          <cell r="T228" t="str">
            <v>Prime</v>
          </cell>
        </row>
        <row r="229">
          <cell r="T229" t="str">
            <v>Prime</v>
          </cell>
        </row>
        <row r="230">
          <cell r="T230" t="str">
            <v>Afternoon</v>
          </cell>
        </row>
        <row r="231">
          <cell r="T231" t="str">
            <v>Afternoon</v>
          </cell>
        </row>
        <row r="232">
          <cell r="T232" t="str">
            <v>Prime</v>
          </cell>
        </row>
        <row r="233">
          <cell r="T233" t="str">
            <v>Prime</v>
          </cell>
        </row>
        <row r="234">
          <cell r="T234" t="str">
            <v>Prime</v>
          </cell>
        </row>
        <row r="235">
          <cell r="T235" t="str">
            <v>Prime</v>
          </cell>
        </row>
        <row r="236">
          <cell r="T236" t="str">
            <v>Prime</v>
          </cell>
        </row>
        <row r="237">
          <cell r="T237" t="str">
            <v>Prime</v>
          </cell>
        </row>
        <row r="238">
          <cell r="T238" t="str">
            <v>Prime</v>
          </cell>
        </row>
        <row r="239">
          <cell r="T239" t="str">
            <v>Late Night</v>
          </cell>
        </row>
        <row r="240">
          <cell r="T240" t="str">
            <v>Prime</v>
          </cell>
        </row>
        <row r="241">
          <cell r="T241" t="str">
            <v>Late Night</v>
          </cell>
        </row>
        <row r="242">
          <cell r="T242" t="str">
            <v>Prime</v>
          </cell>
        </row>
        <row r="243">
          <cell r="T243" t="str">
            <v>Morning</v>
          </cell>
        </row>
        <row r="244">
          <cell r="T244" t="str">
            <v>Prime</v>
          </cell>
        </row>
        <row r="245">
          <cell r="T245" t="str">
            <v>Morning</v>
          </cell>
        </row>
        <row r="246">
          <cell r="T246" t="str">
            <v>Late Night</v>
          </cell>
        </row>
        <row r="247">
          <cell r="T247" t="str">
            <v>Morning</v>
          </cell>
        </row>
        <row r="248">
          <cell r="T248" t="str">
            <v>Prime</v>
          </cell>
        </row>
        <row r="249">
          <cell r="T249" t="str">
            <v>Morning</v>
          </cell>
        </row>
        <row r="250">
          <cell r="T250" t="str">
            <v>Prime</v>
          </cell>
        </row>
        <row r="251">
          <cell r="T251" t="str">
            <v>Late Night</v>
          </cell>
        </row>
        <row r="252">
          <cell r="T252" t="str">
            <v>Morning</v>
          </cell>
        </row>
        <row r="253">
          <cell r="T253" t="str">
            <v>Prime</v>
          </cell>
        </row>
        <row r="254">
          <cell r="T254" t="str">
            <v>Lunch</v>
          </cell>
        </row>
        <row r="255">
          <cell r="T255" t="str">
            <v>Prime</v>
          </cell>
        </row>
        <row r="256">
          <cell r="T256" t="str">
            <v>Morning</v>
          </cell>
        </row>
        <row r="257">
          <cell r="T257" t="str">
            <v>Morning</v>
          </cell>
        </row>
        <row r="258">
          <cell r="T258" t="str">
            <v>Prime</v>
          </cell>
        </row>
        <row r="259">
          <cell r="T259" t="str">
            <v>Prime</v>
          </cell>
        </row>
        <row r="260">
          <cell r="T260" t="str">
            <v>Prime</v>
          </cell>
        </row>
        <row r="261">
          <cell r="T261" t="str">
            <v>Prime</v>
          </cell>
        </row>
        <row r="262">
          <cell r="T262" t="str">
            <v>Prime</v>
          </cell>
        </row>
        <row r="263">
          <cell r="T263" t="str">
            <v>Prime</v>
          </cell>
        </row>
        <row r="264">
          <cell r="T264" t="str">
            <v>Morning</v>
          </cell>
        </row>
        <row r="265">
          <cell r="T265" t="str">
            <v>Prime</v>
          </cell>
        </row>
        <row r="266">
          <cell r="T266" t="str">
            <v>Morning</v>
          </cell>
        </row>
        <row r="267">
          <cell r="T267" t="str">
            <v>Late Night</v>
          </cell>
        </row>
        <row r="268">
          <cell r="T268" t="str">
            <v>Lunch</v>
          </cell>
        </row>
        <row r="269">
          <cell r="T269" t="str">
            <v>Late Night</v>
          </cell>
        </row>
        <row r="270">
          <cell r="T270" t="str">
            <v>Late Night</v>
          </cell>
        </row>
        <row r="271">
          <cell r="T271" t="str">
            <v>Late Night</v>
          </cell>
        </row>
        <row r="272">
          <cell r="T272" t="str">
            <v>Prime</v>
          </cell>
        </row>
        <row r="273">
          <cell r="T273" t="str">
            <v>Prime</v>
          </cell>
        </row>
        <row r="274">
          <cell r="T274" t="str">
            <v>Morning</v>
          </cell>
        </row>
        <row r="275">
          <cell r="T275" t="str">
            <v>Prime</v>
          </cell>
        </row>
        <row r="276">
          <cell r="T276" t="str">
            <v>Prime</v>
          </cell>
        </row>
        <row r="277">
          <cell r="T277" t="str">
            <v>Late Night</v>
          </cell>
        </row>
        <row r="278">
          <cell r="T278" t="str">
            <v>Prime</v>
          </cell>
        </row>
        <row r="279">
          <cell r="T279" t="str">
            <v>Afternoon</v>
          </cell>
        </row>
        <row r="280">
          <cell r="T280" t="str">
            <v>Prime</v>
          </cell>
        </row>
        <row r="281">
          <cell r="T281" t="str">
            <v>Prime</v>
          </cell>
        </row>
        <row r="282">
          <cell r="T282" t="str">
            <v>Prime</v>
          </cell>
        </row>
        <row r="283">
          <cell r="T283" t="str">
            <v>Morning</v>
          </cell>
        </row>
        <row r="284">
          <cell r="T284" t="str">
            <v>Afternoon</v>
          </cell>
        </row>
        <row r="285">
          <cell r="T285" t="str">
            <v>Morning</v>
          </cell>
        </row>
        <row r="286">
          <cell r="T286" t="str">
            <v>Late Night</v>
          </cell>
        </row>
        <row r="287">
          <cell r="T287" t="str">
            <v>Prime</v>
          </cell>
        </row>
        <row r="288">
          <cell r="T288" t="str">
            <v>Late Night</v>
          </cell>
        </row>
        <row r="289">
          <cell r="T289" t="str">
            <v>Prime</v>
          </cell>
        </row>
        <row r="290">
          <cell r="T290" t="str">
            <v>Late Night</v>
          </cell>
        </row>
        <row r="291">
          <cell r="T291" t="str">
            <v>Morning</v>
          </cell>
        </row>
        <row r="292">
          <cell r="T292" t="str">
            <v>Late Night</v>
          </cell>
        </row>
        <row r="293">
          <cell r="T293" t="str">
            <v>Prime</v>
          </cell>
        </row>
        <row r="294">
          <cell r="T294" t="str">
            <v>Prime</v>
          </cell>
        </row>
        <row r="295">
          <cell r="T295" t="str">
            <v>Early Prime</v>
          </cell>
        </row>
        <row r="296">
          <cell r="T296" t="str">
            <v>Early Prime</v>
          </cell>
        </row>
        <row r="297">
          <cell r="T297" t="str">
            <v>Prime</v>
          </cell>
        </row>
        <row r="298">
          <cell r="T298" t="str">
            <v>Prime</v>
          </cell>
        </row>
        <row r="299">
          <cell r="T299" t="str">
            <v>Afternoon</v>
          </cell>
        </row>
        <row r="300">
          <cell r="T300" t="str">
            <v>Early Prime</v>
          </cell>
        </row>
        <row r="301">
          <cell r="T301" t="str">
            <v>Prime</v>
          </cell>
        </row>
        <row r="302">
          <cell r="T302" t="str">
            <v>Morning</v>
          </cell>
        </row>
        <row r="303">
          <cell r="T303" t="str">
            <v>Late Night</v>
          </cell>
        </row>
        <row r="304">
          <cell r="T304" t="str">
            <v>Late Night</v>
          </cell>
        </row>
        <row r="305">
          <cell r="T305" t="str">
            <v>Prime</v>
          </cell>
        </row>
        <row r="306">
          <cell r="T306" t="str">
            <v>Prime</v>
          </cell>
        </row>
        <row r="307">
          <cell r="T307" t="str">
            <v>Afternoon</v>
          </cell>
        </row>
        <row r="308">
          <cell r="T308" t="str">
            <v>Morning</v>
          </cell>
        </row>
        <row r="309">
          <cell r="T309" t="str">
            <v>Prime</v>
          </cell>
        </row>
        <row r="310">
          <cell r="T310" t="str">
            <v>Morning</v>
          </cell>
        </row>
        <row r="311">
          <cell r="T311" t="str">
            <v>Late Night</v>
          </cell>
        </row>
        <row r="312">
          <cell r="T312" t="str">
            <v>Prime</v>
          </cell>
        </row>
        <row r="313">
          <cell r="T313" t="str">
            <v>Lunch</v>
          </cell>
        </row>
        <row r="314">
          <cell r="T314" t="str">
            <v>Late Night</v>
          </cell>
        </row>
        <row r="315">
          <cell r="T315" t="str">
            <v>Late Night</v>
          </cell>
        </row>
        <row r="316">
          <cell r="T316" t="str">
            <v>Morning</v>
          </cell>
        </row>
        <row r="317">
          <cell r="T317" t="str">
            <v>Prime</v>
          </cell>
        </row>
        <row r="318">
          <cell r="T318" t="str">
            <v>Late Night</v>
          </cell>
        </row>
        <row r="319">
          <cell r="T319" t="str">
            <v>Prime</v>
          </cell>
        </row>
        <row r="320">
          <cell r="T320" t="str">
            <v>Prime</v>
          </cell>
        </row>
        <row r="321">
          <cell r="T321" t="str">
            <v>Lunch</v>
          </cell>
        </row>
        <row r="322">
          <cell r="T322" t="str">
            <v>Prime</v>
          </cell>
        </row>
        <row r="323">
          <cell r="T323" t="str">
            <v>Prime</v>
          </cell>
        </row>
        <row r="324">
          <cell r="T324" t="str">
            <v>Early Prime</v>
          </cell>
        </row>
        <row r="325">
          <cell r="T325" t="str">
            <v>Prime</v>
          </cell>
        </row>
        <row r="326">
          <cell r="T326" t="str">
            <v>Afternoon</v>
          </cell>
        </row>
        <row r="327">
          <cell r="T327" t="str">
            <v>Prime</v>
          </cell>
        </row>
        <row r="328">
          <cell r="T328" t="str">
            <v>Prime</v>
          </cell>
        </row>
        <row r="329">
          <cell r="T329" t="str">
            <v>Late Night</v>
          </cell>
        </row>
        <row r="330">
          <cell r="T330" t="str">
            <v>Prime</v>
          </cell>
        </row>
        <row r="331">
          <cell r="T331" t="str">
            <v>Prime</v>
          </cell>
        </row>
        <row r="332">
          <cell r="T332" t="str">
            <v>Prime</v>
          </cell>
        </row>
        <row r="333">
          <cell r="T333" t="str">
            <v>Morning</v>
          </cell>
        </row>
        <row r="334">
          <cell r="T334" t="str">
            <v>Prime</v>
          </cell>
        </row>
        <row r="335">
          <cell r="T335" t="str">
            <v>Prime</v>
          </cell>
        </row>
        <row r="336">
          <cell r="T336" t="str">
            <v>Prime</v>
          </cell>
        </row>
        <row r="337">
          <cell r="T337" t="str">
            <v>Prime</v>
          </cell>
        </row>
        <row r="338">
          <cell r="T338" t="str">
            <v>Prime</v>
          </cell>
        </row>
        <row r="339">
          <cell r="T339" t="str">
            <v>Morning</v>
          </cell>
        </row>
        <row r="340">
          <cell r="T340" t="str">
            <v>Early Prime</v>
          </cell>
        </row>
        <row r="341">
          <cell r="T341" t="str">
            <v>Early Prime</v>
          </cell>
        </row>
        <row r="342">
          <cell r="T342" t="str">
            <v>Late Night</v>
          </cell>
        </row>
        <row r="343">
          <cell r="T343" t="str">
            <v>Prime</v>
          </cell>
        </row>
        <row r="344">
          <cell r="T344" t="str">
            <v>Prime</v>
          </cell>
        </row>
        <row r="345">
          <cell r="T345" t="str">
            <v>Late Night</v>
          </cell>
        </row>
        <row r="346">
          <cell r="T346" t="str">
            <v>Prime</v>
          </cell>
        </row>
        <row r="347">
          <cell r="T347" t="str">
            <v>Prime</v>
          </cell>
        </row>
        <row r="348">
          <cell r="T348" t="str">
            <v>Prime</v>
          </cell>
        </row>
        <row r="349">
          <cell r="T349" t="str">
            <v>Prime</v>
          </cell>
        </row>
        <row r="350">
          <cell r="T350" t="str">
            <v>Morning</v>
          </cell>
        </row>
        <row r="351">
          <cell r="T351" t="str">
            <v>Late Night</v>
          </cell>
        </row>
        <row r="352">
          <cell r="T352" t="str">
            <v>Morning</v>
          </cell>
        </row>
        <row r="353">
          <cell r="T353" t="str">
            <v>Prime</v>
          </cell>
        </row>
        <row r="354">
          <cell r="T354" t="str">
            <v>Prime</v>
          </cell>
        </row>
        <row r="355">
          <cell r="T355" t="str">
            <v>Late Night</v>
          </cell>
        </row>
        <row r="356">
          <cell r="T356" t="str">
            <v>Late Night</v>
          </cell>
        </row>
        <row r="357">
          <cell r="T357" t="str">
            <v>Prime</v>
          </cell>
        </row>
        <row r="358">
          <cell r="T358" t="str">
            <v>Prime</v>
          </cell>
        </row>
        <row r="359">
          <cell r="T359" t="str">
            <v>Prime</v>
          </cell>
        </row>
        <row r="360">
          <cell r="T360" t="str">
            <v>Late Night</v>
          </cell>
        </row>
        <row r="361">
          <cell r="T361" t="str">
            <v>Late Night</v>
          </cell>
        </row>
        <row r="362">
          <cell r="T362" t="str">
            <v>Lunch</v>
          </cell>
        </row>
        <row r="363">
          <cell r="T363" t="str">
            <v>Lunch</v>
          </cell>
        </row>
        <row r="364">
          <cell r="T364" t="str">
            <v>Morning</v>
          </cell>
        </row>
        <row r="365">
          <cell r="T365" t="str">
            <v>Lunch</v>
          </cell>
        </row>
        <row r="366">
          <cell r="T366" t="str">
            <v>Late Night</v>
          </cell>
        </row>
        <row r="367">
          <cell r="T367" t="str">
            <v>Lunch</v>
          </cell>
        </row>
        <row r="368">
          <cell r="T368" t="str">
            <v>Late Night</v>
          </cell>
        </row>
        <row r="369">
          <cell r="T369" t="str">
            <v>Late Night</v>
          </cell>
        </row>
        <row r="370">
          <cell r="T370" t="str">
            <v>Afternoon</v>
          </cell>
        </row>
        <row r="371">
          <cell r="T371" t="str">
            <v>Lunch</v>
          </cell>
        </row>
        <row r="372">
          <cell r="T372" t="str">
            <v>Morning</v>
          </cell>
        </row>
        <row r="373">
          <cell r="T373" t="str">
            <v>Afternoon</v>
          </cell>
        </row>
        <row r="374">
          <cell r="T374" t="str">
            <v>Morning</v>
          </cell>
        </row>
        <row r="375">
          <cell r="T375" t="str">
            <v>Late Night</v>
          </cell>
        </row>
        <row r="376">
          <cell r="T376" t="str">
            <v>Late Night</v>
          </cell>
        </row>
        <row r="377">
          <cell r="T377" t="str">
            <v>Lunch</v>
          </cell>
        </row>
        <row r="378">
          <cell r="T378" t="str">
            <v>Late Night</v>
          </cell>
        </row>
        <row r="379">
          <cell r="T379" t="str">
            <v>Late Night</v>
          </cell>
        </row>
        <row r="380">
          <cell r="T380" t="str">
            <v>Late Night</v>
          </cell>
        </row>
        <row r="381">
          <cell r="T381" t="str">
            <v>Afternoon</v>
          </cell>
        </row>
        <row r="382">
          <cell r="T382" t="str">
            <v>Lunch</v>
          </cell>
        </row>
        <row r="383">
          <cell r="T383" t="str">
            <v>Afternoon</v>
          </cell>
        </row>
        <row r="384">
          <cell r="T384" t="str">
            <v>Afternoon</v>
          </cell>
        </row>
        <row r="385">
          <cell r="T385" t="str">
            <v>Early Prime</v>
          </cell>
        </row>
        <row r="386">
          <cell r="T386" t="str">
            <v>Lunch</v>
          </cell>
        </row>
        <row r="387">
          <cell r="T387" t="str">
            <v>Prime</v>
          </cell>
        </row>
        <row r="388">
          <cell r="T388" t="str">
            <v>Prime</v>
          </cell>
        </row>
        <row r="389">
          <cell r="T389" t="str">
            <v>Afternoon</v>
          </cell>
        </row>
        <row r="390">
          <cell r="T390" t="str">
            <v>Prime</v>
          </cell>
        </row>
        <row r="391">
          <cell r="T391" t="str">
            <v>Late Night</v>
          </cell>
        </row>
        <row r="392">
          <cell r="T392" t="str">
            <v>Morning</v>
          </cell>
        </row>
        <row r="393">
          <cell r="T393" t="str">
            <v>Afternoon</v>
          </cell>
        </row>
        <row r="394">
          <cell r="T394" t="str">
            <v>Prime</v>
          </cell>
        </row>
        <row r="395">
          <cell r="T395" t="str">
            <v>Afternoon</v>
          </cell>
        </row>
        <row r="396">
          <cell r="T396" t="str">
            <v>Late Night</v>
          </cell>
        </row>
        <row r="397">
          <cell r="T397" t="str">
            <v>Morning</v>
          </cell>
        </row>
        <row r="398">
          <cell r="T398" t="str">
            <v>Afternoon</v>
          </cell>
        </row>
        <row r="399">
          <cell r="T399" t="str">
            <v>Morning</v>
          </cell>
        </row>
        <row r="400">
          <cell r="T400" t="str">
            <v>Late Night</v>
          </cell>
        </row>
        <row r="401">
          <cell r="T401" t="str">
            <v>Early Prime</v>
          </cell>
        </row>
        <row r="402">
          <cell r="T402" t="str">
            <v>Lunch</v>
          </cell>
        </row>
        <row r="403">
          <cell r="T403" t="str">
            <v>Morning</v>
          </cell>
        </row>
        <row r="404">
          <cell r="T404" t="str">
            <v>Late Night</v>
          </cell>
        </row>
        <row r="405">
          <cell r="T405" t="str">
            <v>Afternoon</v>
          </cell>
        </row>
        <row r="406">
          <cell r="T406" t="str">
            <v>Lunch</v>
          </cell>
        </row>
        <row r="407">
          <cell r="T407" t="str">
            <v>Lunch</v>
          </cell>
        </row>
        <row r="408">
          <cell r="T408" t="str">
            <v>Afternoon</v>
          </cell>
        </row>
        <row r="409">
          <cell r="T409" t="str">
            <v>Afternoon</v>
          </cell>
        </row>
        <row r="410">
          <cell r="T410" t="str">
            <v>Morning</v>
          </cell>
        </row>
        <row r="411">
          <cell r="T411" t="str">
            <v>Late Night</v>
          </cell>
        </row>
        <row r="412">
          <cell r="T412" t="str">
            <v>Afternoon</v>
          </cell>
        </row>
        <row r="413">
          <cell r="T413" t="str">
            <v>Afternoon</v>
          </cell>
        </row>
        <row r="414">
          <cell r="T414" t="str">
            <v>Late Night</v>
          </cell>
        </row>
        <row r="415">
          <cell r="T415" t="str">
            <v>Afternoon</v>
          </cell>
        </row>
        <row r="416">
          <cell r="T416" t="str">
            <v>Prime</v>
          </cell>
        </row>
        <row r="417">
          <cell r="T417" t="str">
            <v>Late Night</v>
          </cell>
        </row>
        <row r="418">
          <cell r="T418" t="str">
            <v>Afternoon</v>
          </cell>
        </row>
        <row r="419">
          <cell r="T419" t="str">
            <v>Prime</v>
          </cell>
        </row>
        <row r="420">
          <cell r="T420" t="str">
            <v>Prime</v>
          </cell>
        </row>
        <row r="421">
          <cell r="T421" t="str">
            <v>Prime</v>
          </cell>
        </row>
        <row r="422">
          <cell r="T422" t="str">
            <v>Late Night</v>
          </cell>
        </row>
        <row r="423">
          <cell r="T423" t="str">
            <v>Prime</v>
          </cell>
        </row>
        <row r="424">
          <cell r="T424" t="str">
            <v>Afternoon</v>
          </cell>
        </row>
        <row r="425">
          <cell r="T425" t="str">
            <v>Prime</v>
          </cell>
        </row>
        <row r="426">
          <cell r="T426" t="str">
            <v>Late Night</v>
          </cell>
        </row>
        <row r="427">
          <cell r="T427" t="str">
            <v>Afternoon</v>
          </cell>
        </row>
        <row r="428">
          <cell r="T428" t="str">
            <v>Afternoon</v>
          </cell>
        </row>
        <row r="429">
          <cell r="T429" t="str">
            <v>Late Night</v>
          </cell>
        </row>
        <row r="430">
          <cell r="T430" t="str">
            <v>Afternoon</v>
          </cell>
        </row>
        <row r="431">
          <cell r="T431" t="str">
            <v>Late Night</v>
          </cell>
        </row>
        <row r="432">
          <cell r="T432" t="str">
            <v>Late Night</v>
          </cell>
        </row>
        <row r="433">
          <cell r="T433" t="str">
            <v>Lunch</v>
          </cell>
        </row>
        <row r="434">
          <cell r="T434" t="str">
            <v>Lunch</v>
          </cell>
        </row>
        <row r="435">
          <cell r="T435" t="str">
            <v>Afternoon</v>
          </cell>
        </row>
        <row r="436">
          <cell r="T436" t="str">
            <v>Lunch</v>
          </cell>
        </row>
        <row r="437">
          <cell r="T437" t="str">
            <v>Late Night</v>
          </cell>
        </row>
        <row r="438">
          <cell r="T438" t="str">
            <v>Morning</v>
          </cell>
        </row>
        <row r="439">
          <cell r="T439" t="str">
            <v>Morning</v>
          </cell>
        </row>
        <row r="440">
          <cell r="T440" t="str">
            <v>Morning</v>
          </cell>
        </row>
        <row r="441">
          <cell r="T441" t="str">
            <v>Lunch</v>
          </cell>
        </row>
        <row r="442">
          <cell r="T442" t="str">
            <v>Lunch</v>
          </cell>
        </row>
        <row r="443">
          <cell r="T443" t="str">
            <v>Prime</v>
          </cell>
        </row>
        <row r="444">
          <cell r="T444" t="str">
            <v>Late Night</v>
          </cell>
        </row>
        <row r="445">
          <cell r="T445" t="str">
            <v>Prime</v>
          </cell>
        </row>
        <row r="446">
          <cell r="T446" t="str">
            <v>Afternoon</v>
          </cell>
        </row>
        <row r="447">
          <cell r="T447" t="str">
            <v>Early Prime</v>
          </cell>
        </row>
        <row r="448">
          <cell r="T448" t="str">
            <v>Afternoon</v>
          </cell>
        </row>
        <row r="449">
          <cell r="T449" t="str">
            <v>Prime</v>
          </cell>
        </row>
        <row r="450">
          <cell r="T450" t="str">
            <v>Early Prime</v>
          </cell>
        </row>
        <row r="451">
          <cell r="T451" t="str">
            <v>Morning</v>
          </cell>
        </row>
        <row r="452">
          <cell r="T452" t="str">
            <v>Lunch</v>
          </cell>
        </row>
        <row r="453">
          <cell r="T453" t="str">
            <v>Prime</v>
          </cell>
        </row>
        <row r="454">
          <cell r="T454" t="str">
            <v>Prime</v>
          </cell>
        </row>
        <row r="455">
          <cell r="T455" t="str">
            <v>Lunch</v>
          </cell>
        </row>
        <row r="456">
          <cell r="T456" t="str">
            <v>Morning</v>
          </cell>
        </row>
        <row r="457">
          <cell r="T457" t="str">
            <v>Late Night</v>
          </cell>
        </row>
        <row r="458">
          <cell r="T458" t="str">
            <v>Morning</v>
          </cell>
        </row>
        <row r="459">
          <cell r="T459" t="str">
            <v>Late Night</v>
          </cell>
        </row>
        <row r="460">
          <cell r="T460" t="str">
            <v>Late Night</v>
          </cell>
        </row>
        <row r="461">
          <cell r="T461" t="str">
            <v>Late Night</v>
          </cell>
        </row>
        <row r="462">
          <cell r="T462" t="str">
            <v>Early Prime</v>
          </cell>
        </row>
        <row r="463">
          <cell r="T463" t="str">
            <v>Morning</v>
          </cell>
        </row>
        <row r="464">
          <cell r="T464" t="str">
            <v>Prime</v>
          </cell>
        </row>
        <row r="465">
          <cell r="T465" t="str">
            <v>Late Night</v>
          </cell>
        </row>
        <row r="466">
          <cell r="T466" t="str">
            <v>Afternoon</v>
          </cell>
        </row>
        <row r="467">
          <cell r="T467" t="str">
            <v>Prime</v>
          </cell>
        </row>
        <row r="468">
          <cell r="T468" t="str">
            <v>Afternoon</v>
          </cell>
        </row>
        <row r="469">
          <cell r="T469" t="str">
            <v>Prime</v>
          </cell>
        </row>
        <row r="470">
          <cell r="T470" t="str">
            <v>Prime</v>
          </cell>
        </row>
        <row r="471">
          <cell r="T471" t="str">
            <v>Prime</v>
          </cell>
        </row>
        <row r="472">
          <cell r="T472" t="str">
            <v>Prime</v>
          </cell>
        </row>
        <row r="473">
          <cell r="T473" t="str">
            <v>Prime</v>
          </cell>
        </row>
        <row r="474">
          <cell r="T474" t="str">
            <v>Afternoon</v>
          </cell>
        </row>
        <row r="475">
          <cell r="T475" t="str">
            <v>Prime</v>
          </cell>
        </row>
        <row r="476">
          <cell r="T476" t="str">
            <v>Morning</v>
          </cell>
        </row>
        <row r="477">
          <cell r="T477" t="str">
            <v>Prime</v>
          </cell>
        </row>
        <row r="478">
          <cell r="T478" t="str">
            <v>Prime</v>
          </cell>
        </row>
        <row r="479">
          <cell r="T479" t="str">
            <v>Morning</v>
          </cell>
        </row>
        <row r="480">
          <cell r="T480" t="str">
            <v>Prime</v>
          </cell>
        </row>
        <row r="481">
          <cell r="T481" t="str">
            <v>Lunch</v>
          </cell>
        </row>
        <row r="482">
          <cell r="T482" t="str">
            <v>Late Night</v>
          </cell>
        </row>
        <row r="483">
          <cell r="T483" t="str">
            <v>Prime</v>
          </cell>
        </row>
        <row r="484">
          <cell r="T484" t="str">
            <v>Prime</v>
          </cell>
        </row>
        <row r="485">
          <cell r="T485" t="str">
            <v>Lunch</v>
          </cell>
        </row>
        <row r="486">
          <cell r="T486" t="str">
            <v>Prime</v>
          </cell>
        </row>
        <row r="487">
          <cell r="T487" t="str">
            <v>Late Night</v>
          </cell>
        </row>
        <row r="488">
          <cell r="T488" t="str">
            <v>Prime</v>
          </cell>
        </row>
        <row r="489">
          <cell r="T489" t="str">
            <v>Prime</v>
          </cell>
        </row>
        <row r="490">
          <cell r="T490" t="str">
            <v>Prime</v>
          </cell>
        </row>
        <row r="491">
          <cell r="T491" t="str">
            <v>Lunch</v>
          </cell>
        </row>
        <row r="492">
          <cell r="T492" t="str">
            <v>Prime</v>
          </cell>
        </row>
        <row r="493">
          <cell r="T493" t="str">
            <v>Prime</v>
          </cell>
        </row>
        <row r="494">
          <cell r="T494" t="str">
            <v>Late Night</v>
          </cell>
        </row>
        <row r="495">
          <cell r="T495" t="str">
            <v>Late Night</v>
          </cell>
        </row>
        <row r="496">
          <cell r="T496" t="str">
            <v>Prime</v>
          </cell>
        </row>
        <row r="497">
          <cell r="T497" t="str">
            <v>Prime</v>
          </cell>
        </row>
        <row r="498">
          <cell r="T498" t="str">
            <v>Prime</v>
          </cell>
        </row>
        <row r="499">
          <cell r="T499" t="str">
            <v>Early Prime</v>
          </cell>
        </row>
        <row r="500">
          <cell r="T500" t="str">
            <v>Prime</v>
          </cell>
        </row>
        <row r="501">
          <cell r="T501" t="str">
            <v>Late Night</v>
          </cell>
        </row>
        <row r="502">
          <cell r="T502" t="str">
            <v>Prime</v>
          </cell>
        </row>
        <row r="503">
          <cell r="T503" t="str">
            <v>Prime</v>
          </cell>
        </row>
        <row r="504">
          <cell r="T504" t="str">
            <v>Prime</v>
          </cell>
        </row>
        <row r="505">
          <cell r="T505" t="str">
            <v>Prime</v>
          </cell>
        </row>
        <row r="506">
          <cell r="T506" t="str">
            <v>Late Night</v>
          </cell>
        </row>
        <row r="507">
          <cell r="T507" t="str">
            <v>Prime</v>
          </cell>
        </row>
        <row r="508">
          <cell r="T508" t="str">
            <v>Prime</v>
          </cell>
        </row>
        <row r="509">
          <cell r="T509" t="str">
            <v>Morning</v>
          </cell>
        </row>
        <row r="510">
          <cell r="T510" t="str">
            <v>Prime</v>
          </cell>
        </row>
        <row r="511">
          <cell r="T511" t="str">
            <v>Prime</v>
          </cell>
        </row>
        <row r="512">
          <cell r="T512" t="str">
            <v>Afternoon</v>
          </cell>
        </row>
        <row r="513">
          <cell r="T513" t="str">
            <v>Prime</v>
          </cell>
        </row>
        <row r="514">
          <cell r="T514" t="str">
            <v>Prime</v>
          </cell>
        </row>
        <row r="515">
          <cell r="T515" t="str">
            <v>Prime</v>
          </cell>
        </row>
        <row r="516">
          <cell r="T516" t="str">
            <v>Lunch</v>
          </cell>
        </row>
        <row r="517">
          <cell r="T517" t="str">
            <v>Late Night</v>
          </cell>
        </row>
        <row r="518">
          <cell r="T518" t="str">
            <v>Morning</v>
          </cell>
        </row>
        <row r="519">
          <cell r="T519" t="str">
            <v>Prime</v>
          </cell>
        </row>
        <row r="520">
          <cell r="T520" t="str">
            <v>Prime</v>
          </cell>
        </row>
        <row r="521">
          <cell r="T521" t="str">
            <v>Prime</v>
          </cell>
        </row>
        <row r="522">
          <cell r="T522" t="str">
            <v>Late Night</v>
          </cell>
        </row>
        <row r="523">
          <cell r="T523" t="str">
            <v>Prime</v>
          </cell>
        </row>
        <row r="524">
          <cell r="T524" t="str">
            <v>Prime</v>
          </cell>
        </row>
        <row r="525">
          <cell r="T525" t="str">
            <v>Late Night</v>
          </cell>
        </row>
        <row r="526">
          <cell r="T526" t="str">
            <v>Prime</v>
          </cell>
        </row>
        <row r="527">
          <cell r="T527" t="str">
            <v>Prime</v>
          </cell>
        </row>
        <row r="528">
          <cell r="T528" t="str">
            <v>Prime</v>
          </cell>
        </row>
        <row r="529">
          <cell r="T529" t="str">
            <v>Prime</v>
          </cell>
        </row>
        <row r="530">
          <cell r="T530" t="str">
            <v>Late Night</v>
          </cell>
        </row>
        <row r="531">
          <cell r="T531" t="str">
            <v>Morning</v>
          </cell>
        </row>
        <row r="532">
          <cell r="T532" t="str">
            <v>Morning</v>
          </cell>
        </row>
        <row r="533">
          <cell r="T533" t="str">
            <v>Prime</v>
          </cell>
        </row>
        <row r="534">
          <cell r="T534" t="str">
            <v>Prime</v>
          </cell>
        </row>
        <row r="535">
          <cell r="T535" t="str">
            <v>Late Night</v>
          </cell>
        </row>
        <row r="536">
          <cell r="T536" t="str">
            <v>Prime</v>
          </cell>
        </row>
        <row r="537">
          <cell r="T537" t="str">
            <v>Late Night</v>
          </cell>
        </row>
        <row r="538">
          <cell r="T538" t="str">
            <v>Lunch</v>
          </cell>
        </row>
        <row r="539">
          <cell r="T539" t="str">
            <v>Prime</v>
          </cell>
        </row>
        <row r="540">
          <cell r="T540" t="str">
            <v>Prime</v>
          </cell>
        </row>
        <row r="541">
          <cell r="T541" t="str">
            <v>Prime</v>
          </cell>
        </row>
        <row r="542">
          <cell r="T542" t="str">
            <v>Early Prime</v>
          </cell>
        </row>
        <row r="543">
          <cell r="T543" t="str">
            <v>Late Night</v>
          </cell>
        </row>
        <row r="544">
          <cell r="T544" t="str">
            <v>Prime</v>
          </cell>
        </row>
        <row r="545">
          <cell r="T545" t="str">
            <v>Prime</v>
          </cell>
        </row>
        <row r="546">
          <cell r="T546" t="str">
            <v>Prime</v>
          </cell>
        </row>
        <row r="547">
          <cell r="T547" t="str">
            <v>Prime</v>
          </cell>
        </row>
        <row r="548">
          <cell r="T548" t="str">
            <v>Prime</v>
          </cell>
        </row>
        <row r="549">
          <cell r="T549" t="str">
            <v>Prime</v>
          </cell>
        </row>
        <row r="550">
          <cell r="T550" t="str">
            <v>Lunch</v>
          </cell>
        </row>
        <row r="551">
          <cell r="T551" t="str">
            <v>Prime</v>
          </cell>
        </row>
        <row r="552">
          <cell r="T552" t="str">
            <v>Prime</v>
          </cell>
        </row>
        <row r="553">
          <cell r="T553" t="str">
            <v>Prime</v>
          </cell>
        </row>
        <row r="554">
          <cell r="T554" t="str">
            <v>Prime</v>
          </cell>
        </row>
        <row r="555">
          <cell r="T555" t="str">
            <v>Prime</v>
          </cell>
        </row>
        <row r="556">
          <cell r="T556" t="str">
            <v>Prime</v>
          </cell>
        </row>
        <row r="557">
          <cell r="T557" t="str">
            <v>Early Prime</v>
          </cell>
        </row>
        <row r="558">
          <cell r="T558" t="str">
            <v>Prime</v>
          </cell>
        </row>
        <row r="559">
          <cell r="T559" t="str">
            <v>Prime</v>
          </cell>
        </row>
        <row r="560">
          <cell r="T560" t="str">
            <v>Prime</v>
          </cell>
        </row>
        <row r="561">
          <cell r="T561" t="str">
            <v>Prime</v>
          </cell>
        </row>
        <row r="562">
          <cell r="T562" t="str">
            <v>Prime</v>
          </cell>
        </row>
        <row r="563">
          <cell r="T563" t="str">
            <v>Prime</v>
          </cell>
        </row>
        <row r="564">
          <cell r="T564" t="str">
            <v>Prime</v>
          </cell>
        </row>
        <row r="565">
          <cell r="T565" t="str">
            <v>Prime</v>
          </cell>
        </row>
        <row r="566">
          <cell r="T566" t="str">
            <v>Prime</v>
          </cell>
        </row>
        <row r="567">
          <cell r="T567" t="str">
            <v>Prime</v>
          </cell>
        </row>
        <row r="568">
          <cell r="T568" t="str">
            <v>Prime</v>
          </cell>
        </row>
        <row r="569">
          <cell r="T569" t="str">
            <v>Prime</v>
          </cell>
        </row>
        <row r="570">
          <cell r="T570" t="str">
            <v>Late Night</v>
          </cell>
        </row>
        <row r="571">
          <cell r="T571" t="str">
            <v>Prime</v>
          </cell>
        </row>
        <row r="572">
          <cell r="T572" t="str">
            <v>Late Night</v>
          </cell>
        </row>
        <row r="573">
          <cell r="T573" t="str">
            <v>Prime</v>
          </cell>
        </row>
        <row r="574">
          <cell r="T574" t="str">
            <v>Prime</v>
          </cell>
        </row>
        <row r="575">
          <cell r="T575" t="str">
            <v>Prime</v>
          </cell>
        </row>
        <row r="576">
          <cell r="T576" t="str">
            <v>Afternoon</v>
          </cell>
        </row>
        <row r="577">
          <cell r="T577" t="str">
            <v>Afternoon</v>
          </cell>
        </row>
        <row r="578">
          <cell r="T578" t="str">
            <v>Prime</v>
          </cell>
        </row>
        <row r="579">
          <cell r="T579" t="str">
            <v>Prime</v>
          </cell>
        </row>
        <row r="580">
          <cell r="T580" t="str">
            <v>Prime</v>
          </cell>
        </row>
        <row r="581">
          <cell r="T581" t="str">
            <v>Prime</v>
          </cell>
        </row>
        <row r="582">
          <cell r="T582" t="str">
            <v>Prime</v>
          </cell>
        </row>
        <row r="583">
          <cell r="T583" t="str">
            <v>Prime</v>
          </cell>
        </row>
        <row r="584">
          <cell r="T584" t="str">
            <v>Prime</v>
          </cell>
        </row>
        <row r="585">
          <cell r="T585" t="str">
            <v>Late Night</v>
          </cell>
        </row>
        <row r="586">
          <cell r="T586" t="str">
            <v>Prime</v>
          </cell>
        </row>
        <row r="587">
          <cell r="T587" t="str">
            <v>Late Night</v>
          </cell>
        </row>
        <row r="588">
          <cell r="T588" t="str">
            <v>Prime</v>
          </cell>
        </row>
        <row r="589">
          <cell r="T589" t="str">
            <v>Morning</v>
          </cell>
        </row>
        <row r="590">
          <cell r="T590" t="str">
            <v>Prime</v>
          </cell>
        </row>
        <row r="591">
          <cell r="T591" t="str">
            <v>Morning</v>
          </cell>
        </row>
        <row r="592">
          <cell r="T592" t="str">
            <v>Late Night</v>
          </cell>
        </row>
        <row r="593">
          <cell r="T593" t="str">
            <v>Morning</v>
          </cell>
        </row>
        <row r="594">
          <cell r="T594" t="str">
            <v>Prime</v>
          </cell>
        </row>
        <row r="595">
          <cell r="T595" t="str">
            <v>Morning</v>
          </cell>
        </row>
        <row r="596">
          <cell r="T596" t="str">
            <v>Prime</v>
          </cell>
        </row>
        <row r="597">
          <cell r="T597" t="str">
            <v>Late Night</v>
          </cell>
        </row>
        <row r="598">
          <cell r="T598" t="str">
            <v>Morning</v>
          </cell>
        </row>
        <row r="599">
          <cell r="T599" t="str">
            <v>Prime</v>
          </cell>
        </row>
        <row r="600">
          <cell r="T600" t="str">
            <v>Lunch</v>
          </cell>
        </row>
        <row r="601">
          <cell r="T601" t="str">
            <v>Prime</v>
          </cell>
        </row>
        <row r="602">
          <cell r="T602" t="str">
            <v>Morning</v>
          </cell>
        </row>
        <row r="603">
          <cell r="T603" t="str">
            <v>Morning</v>
          </cell>
        </row>
        <row r="604">
          <cell r="T604" t="str">
            <v>Prime</v>
          </cell>
        </row>
        <row r="605">
          <cell r="T605" t="str">
            <v>Prime</v>
          </cell>
        </row>
        <row r="606">
          <cell r="T606" t="str">
            <v>Prime</v>
          </cell>
        </row>
        <row r="607">
          <cell r="T607" t="str">
            <v>Prime</v>
          </cell>
        </row>
        <row r="608">
          <cell r="T608" t="str">
            <v>Prime</v>
          </cell>
        </row>
        <row r="609">
          <cell r="T609" t="str">
            <v>Prime</v>
          </cell>
        </row>
        <row r="610">
          <cell r="T610" t="str">
            <v>Morning</v>
          </cell>
        </row>
        <row r="611">
          <cell r="T611" t="str">
            <v>Prime</v>
          </cell>
        </row>
        <row r="612">
          <cell r="T612" t="str">
            <v>Morning</v>
          </cell>
        </row>
        <row r="613">
          <cell r="T613" t="str">
            <v>Late Night</v>
          </cell>
        </row>
        <row r="614">
          <cell r="T614" t="str">
            <v>Lunch</v>
          </cell>
        </row>
        <row r="615">
          <cell r="T615" t="str">
            <v>Late Night</v>
          </cell>
        </row>
        <row r="616">
          <cell r="T616" t="str">
            <v>Late Night</v>
          </cell>
        </row>
        <row r="617">
          <cell r="T617" t="str">
            <v>Late Night</v>
          </cell>
        </row>
        <row r="618">
          <cell r="T618" t="str">
            <v>Prime</v>
          </cell>
        </row>
        <row r="619">
          <cell r="T619" t="str">
            <v>Prime</v>
          </cell>
        </row>
        <row r="620">
          <cell r="T620" t="str">
            <v>Morning</v>
          </cell>
        </row>
        <row r="621">
          <cell r="T621" t="str">
            <v>Prime</v>
          </cell>
        </row>
        <row r="622">
          <cell r="T622" t="str">
            <v>Prime</v>
          </cell>
        </row>
        <row r="623">
          <cell r="T623" t="str">
            <v>Late Night</v>
          </cell>
        </row>
        <row r="624">
          <cell r="T624" t="str">
            <v>Prime</v>
          </cell>
        </row>
        <row r="625">
          <cell r="T625" t="str">
            <v>Afternoon</v>
          </cell>
        </row>
        <row r="626">
          <cell r="T626" t="str">
            <v>Prime</v>
          </cell>
        </row>
        <row r="627">
          <cell r="T627" t="str">
            <v>Prime</v>
          </cell>
        </row>
        <row r="628">
          <cell r="T628" t="str">
            <v>Prime</v>
          </cell>
        </row>
        <row r="629">
          <cell r="T629" t="str">
            <v>Morning</v>
          </cell>
        </row>
        <row r="630">
          <cell r="T630" t="str">
            <v>Afternoon</v>
          </cell>
        </row>
        <row r="631">
          <cell r="T631" t="str">
            <v>Morning</v>
          </cell>
        </row>
        <row r="632">
          <cell r="T632" t="str">
            <v>Late Night</v>
          </cell>
        </row>
        <row r="633">
          <cell r="T633" t="str">
            <v>Prime</v>
          </cell>
        </row>
        <row r="634">
          <cell r="T634" t="str">
            <v>Late Night</v>
          </cell>
        </row>
        <row r="635">
          <cell r="T635" t="str">
            <v>Prime</v>
          </cell>
        </row>
        <row r="636">
          <cell r="T636" t="str">
            <v>Late Night</v>
          </cell>
        </row>
        <row r="637">
          <cell r="T637" t="str">
            <v>Morning</v>
          </cell>
        </row>
        <row r="638">
          <cell r="T638" t="str">
            <v>Late Night</v>
          </cell>
        </row>
        <row r="639">
          <cell r="T639" t="str">
            <v>Prime</v>
          </cell>
        </row>
        <row r="640">
          <cell r="T640" t="str">
            <v>Prime</v>
          </cell>
        </row>
        <row r="641">
          <cell r="T641" t="str">
            <v>Early Prime</v>
          </cell>
        </row>
        <row r="642">
          <cell r="T642" t="str">
            <v>Early Prime</v>
          </cell>
        </row>
        <row r="643">
          <cell r="T643" t="str">
            <v>Prime</v>
          </cell>
        </row>
        <row r="644">
          <cell r="T644" t="str">
            <v>Prime</v>
          </cell>
        </row>
        <row r="645">
          <cell r="T645" t="str">
            <v>Afternoon</v>
          </cell>
        </row>
        <row r="646">
          <cell r="T646" t="str">
            <v>Early Prime</v>
          </cell>
        </row>
        <row r="647">
          <cell r="T647" t="str">
            <v>Prime</v>
          </cell>
        </row>
        <row r="648">
          <cell r="T648" t="str">
            <v>Morning</v>
          </cell>
        </row>
        <row r="649">
          <cell r="T649" t="str">
            <v>Late Night</v>
          </cell>
        </row>
        <row r="650">
          <cell r="T650" t="str">
            <v>Late Night</v>
          </cell>
        </row>
        <row r="651">
          <cell r="T651" t="str">
            <v>Prime</v>
          </cell>
        </row>
        <row r="652">
          <cell r="T652" t="str">
            <v>Prime</v>
          </cell>
        </row>
        <row r="653">
          <cell r="T653" t="str">
            <v>Afternoon</v>
          </cell>
        </row>
        <row r="654">
          <cell r="T654" t="str">
            <v>Morning</v>
          </cell>
        </row>
        <row r="655">
          <cell r="T655" t="str">
            <v>Prime</v>
          </cell>
        </row>
        <row r="656">
          <cell r="T656" t="str">
            <v>Morning</v>
          </cell>
        </row>
        <row r="657">
          <cell r="T657" t="str">
            <v>Late Night</v>
          </cell>
        </row>
        <row r="658">
          <cell r="T658" t="str">
            <v>Prime</v>
          </cell>
        </row>
        <row r="659">
          <cell r="T659" t="str">
            <v>Lunch</v>
          </cell>
        </row>
        <row r="660">
          <cell r="T660" t="str">
            <v>Late Night</v>
          </cell>
        </row>
        <row r="661">
          <cell r="T661" t="str">
            <v>Late Night</v>
          </cell>
        </row>
        <row r="662">
          <cell r="T662" t="str">
            <v>Morning</v>
          </cell>
        </row>
        <row r="663">
          <cell r="T663" t="str">
            <v>Prime</v>
          </cell>
        </row>
        <row r="664">
          <cell r="T664" t="str">
            <v>Late Night</v>
          </cell>
        </row>
        <row r="665">
          <cell r="T665" t="str">
            <v>Prime</v>
          </cell>
        </row>
        <row r="666">
          <cell r="T666" t="str">
            <v>Prime</v>
          </cell>
        </row>
        <row r="667">
          <cell r="T667" t="str">
            <v>Lunch</v>
          </cell>
        </row>
        <row r="668">
          <cell r="T668" t="str">
            <v>Prime</v>
          </cell>
        </row>
        <row r="669">
          <cell r="T669" t="str">
            <v>Prime</v>
          </cell>
        </row>
        <row r="670">
          <cell r="T670" t="str">
            <v>Early Prime</v>
          </cell>
        </row>
        <row r="671">
          <cell r="T671" t="str">
            <v>Prime</v>
          </cell>
        </row>
        <row r="672">
          <cell r="T672" t="str">
            <v>Afternoon</v>
          </cell>
        </row>
        <row r="673">
          <cell r="T673" t="str">
            <v>Prime</v>
          </cell>
        </row>
        <row r="674">
          <cell r="T674" t="str">
            <v>Prime</v>
          </cell>
        </row>
        <row r="675">
          <cell r="T675" t="str">
            <v>Late Night</v>
          </cell>
        </row>
        <row r="676">
          <cell r="T676" t="str">
            <v>Prime</v>
          </cell>
        </row>
        <row r="677">
          <cell r="T677" t="str">
            <v>Prime</v>
          </cell>
        </row>
        <row r="678">
          <cell r="T678" t="str">
            <v>Prime</v>
          </cell>
        </row>
        <row r="679">
          <cell r="T679" t="str">
            <v>Morning</v>
          </cell>
        </row>
        <row r="680">
          <cell r="T680" t="str">
            <v>Prime</v>
          </cell>
        </row>
        <row r="681">
          <cell r="T681" t="str">
            <v>Prime</v>
          </cell>
        </row>
        <row r="682">
          <cell r="T682" t="str">
            <v>Prime</v>
          </cell>
        </row>
        <row r="683">
          <cell r="T683" t="str">
            <v>Prime</v>
          </cell>
        </row>
        <row r="684">
          <cell r="T684" t="str">
            <v>Prime</v>
          </cell>
        </row>
        <row r="685">
          <cell r="T685" t="str">
            <v>Morning</v>
          </cell>
        </row>
        <row r="686">
          <cell r="T686" t="str">
            <v>Early Prime</v>
          </cell>
        </row>
        <row r="687">
          <cell r="T687" t="str">
            <v>Early Prime</v>
          </cell>
        </row>
        <row r="688">
          <cell r="T688" t="str">
            <v>Late Night</v>
          </cell>
        </row>
        <row r="689">
          <cell r="T689" t="str">
            <v>Prime</v>
          </cell>
        </row>
        <row r="690">
          <cell r="T690" t="str">
            <v>Prime</v>
          </cell>
        </row>
        <row r="691">
          <cell r="T691" t="str">
            <v>Late Night</v>
          </cell>
        </row>
        <row r="692">
          <cell r="T692" t="str">
            <v>Prime</v>
          </cell>
        </row>
        <row r="693">
          <cell r="T693" t="str">
            <v>Prime</v>
          </cell>
        </row>
        <row r="694">
          <cell r="T694" t="str">
            <v>Prime</v>
          </cell>
        </row>
        <row r="695">
          <cell r="T695" t="str">
            <v>Prime</v>
          </cell>
        </row>
        <row r="696">
          <cell r="T696" t="str">
            <v>Morning</v>
          </cell>
        </row>
        <row r="697">
          <cell r="T697" t="str">
            <v>Late Night</v>
          </cell>
        </row>
        <row r="698">
          <cell r="T698" t="str">
            <v>Morning</v>
          </cell>
        </row>
        <row r="699">
          <cell r="T699" t="str">
            <v>Prime</v>
          </cell>
        </row>
        <row r="700">
          <cell r="T700" t="str">
            <v>Prime</v>
          </cell>
        </row>
        <row r="701">
          <cell r="T701" t="str">
            <v>Late Night</v>
          </cell>
        </row>
        <row r="702">
          <cell r="T702" t="str">
            <v>Late Night</v>
          </cell>
        </row>
        <row r="703">
          <cell r="T703" t="str">
            <v>Prime</v>
          </cell>
        </row>
        <row r="704">
          <cell r="T704" t="str">
            <v>Prime</v>
          </cell>
        </row>
        <row r="705">
          <cell r="T705" t="str">
            <v>Prime</v>
          </cell>
        </row>
        <row r="706">
          <cell r="T706" t="str">
            <v>Late Night</v>
          </cell>
        </row>
        <row r="707">
          <cell r="T707" t="str">
            <v>Late Night</v>
          </cell>
        </row>
        <row r="708">
          <cell r="T708" t="str">
            <v>Lunch</v>
          </cell>
        </row>
        <row r="709">
          <cell r="T709" t="str">
            <v>Lunch</v>
          </cell>
        </row>
        <row r="710">
          <cell r="T710" t="str">
            <v>Morning</v>
          </cell>
        </row>
        <row r="711">
          <cell r="T711" t="str">
            <v>Lunch</v>
          </cell>
        </row>
        <row r="712">
          <cell r="T712" t="str">
            <v>Late Night</v>
          </cell>
        </row>
        <row r="713">
          <cell r="T713" t="str">
            <v>Lunch</v>
          </cell>
        </row>
        <row r="714">
          <cell r="T714" t="str">
            <v>Late Night</v>
          </cell>
        </row>
        <row r="715">
          <cell r="T715" t="str">
            <v>Late Night</v>
          </cell>
        </row>
        <row r="716">
          <cell r="T716" t="str">
            <v>Afternoon</v>
          </cell>
        </row>
        <row r="717">
          <cell r="T717" t="str">
            <v>Lunch</v>
          </cell>
        </row>
        <row r="718">
          <cell r="T718" t="str">
            <v>Morning</v>
          </cell>
        </row>
        <row r="719">
          <cell r="T719" t="str">
            <v>Afternoon</v>
          </cell>
        </row>
        <row r="720">
          <cell r="T720" t="str">
            <v>Morning</v>
          </cell>
        </row>
        <row r="721">
          <cell r="T721" t="str">
            <v>Late Night</v>
          </cell>
        </row>
        <row r="722">
          <cell r="T722" t="str">
            <v>Late Night</v>
          </cell>
        </row>
        <row r="723">
          <cell r="T723" t="str">
            <v>Lunch</v>
          </cell>
        </row>
        <row r="724">
          <cell r="T724" t="str">
            <v>Late Night</v>
          </cell>
        </row>
        <row r="725">
          <cell r="T725" t="str">
            <v>Late Night</v>
          </cell>
        </row>
        <row r="726">
          <cell r="T726" t="str">
            <v>Late Night</v>
          </cell>
        </row>
        <row r="727">
          <cell r="T727" t="str">
            <v>Afternoon</v>
          </cell>
        </row>
        <row r="728">
          <cell r="T728" t="str">
            <v>Lunch</v>
          </cell>
        </row>
        <row r="729">
          <cell r="T729" t="str">
            <v>Afternoon</v>
          </cell>
        </row>
        <row r="730">
          <cell r="T730" t="str">
            <v>Afternoon</v>
          </cell>
        </row>
        <row r="731">
          <cell r="T731" t="str">
            <v>Early Prime</v>
          </cell>
        </row>
        <row r="732">
          <cell r="T732" t="str">
            <v>Lunch</v>
          </cell>
        </row>
        <row r="733">
          <cell r="T733" t="str">
            <v>Prime</v>
          </cell>
        </row>
        <row r="734">
          <cell r="T734" t="str">
            <v>Prime</v>
          </cell>
        </row>
        <row r="735">
          <cell r="T735" t="str">
            <v>Afternoon</v>
          </cell>
        </row>
        <row r="736">
          <cell r="T736" t="str">
            <v>Prime</v>
          </cell>
        </row>
        <row r="737">
          <cell r="T737" t="str">
            <v>Late Night</v>
          </cell>
        </row>
        <row r="738">
          <cell r="T738" t="str">
            <v>Morning</v>
          </cell>
        </row>
        <row r="739">
          <cell r="T739" t="str">
            <v>Afternoon</v>
          </cell>
        </row>
        <row r="740">
          <cell r="T740" t="str">
            <v>Prime</v>
          </cell>
        </row>
        <row r="741">
          <cell r="T741" t="str">
            <v>Afternoon</v>
          </cell>
        </row>
        <row r="742">
          <cell r="T742" t="str">
            <v>Late Night</v>
          </cell>
        </row>
        <row r="743">
          <cell r="T743" t="str">
            <v>Morning</v>
          </cell>
        </row>
        <row r="744">
          <cell r="T744" t="str">
            <v>Afternoon</v>
          </cell>
        </row>
        <row r="745">
          <cell r="T745" t="str">
            <v>Morning</v>
          </cell>
        </row>
        <row r="746">
          <cell r="T746" t="str">
            <v>Late Night</v>
          </cell>
        </row>
        <row r="747">
          <cell r="T747" t="str">
            <v>Early Prime</v>
          </cell>
        </row>
        <row r="748">
          <cell r="T748" t="str">
            <v>Lunch</v>
          </cell>
        </row>
        <row r="749">
          <cell r="T749" t="str">
            <v>Morning</v>
          </cell>
        </row>
        <row r="750">
          <cell r="T750" t="str">
            <v>Late Night</v>
          </cell>
        </row>
        <row r="751">
          <cell r="T751" t="str">
            <v>Afternoon</v>
          </cell>
        </row>
        <row r="752">
          <cell r="T752" t="str">
            <v>Lunch</v>
          </cell>
        </row>
        <row r="753">
          <cell r="T753" t="str">
            <v>Lunch</v>
          </cell>
        </row>
        <row r="754">
          <cell r="T754" t="str">
            <v>Afternoon</v>
          </cell>
        </row>
        <row r="755">
          <cell r="T755" t="str">
            <v>Afternoon</v>
          </cell>
        </row>
        <row r="756">
          <cell r="T756" t="str">
            <v>Morning</v>
          </cell>
        </row>
        <row r="757">
          <cell r="T757" t="str">
            <v>Late Night</v>
          </cell>
        </row>
        <row r="758">
          <cell r="T758" t="str">
            <v>Afternoon</v>
          </cell>
        </row>
        <row r="759">
          <cell r="T759" t="str">
            <v>Afternoon</v>
          </cell>
        </row>
        <row r="760">
          <cell r="T760" t="str">
            <v>Late Night</v>
          </cell>
        </row>
        <row r="761">
          <cell r="T761" t="str">
            <v>Afternoon</v>
          </cell>
        </row>
        <row r="762">
          <cell r="T762" t="str">
            <v>Prime</v>
          </cell>
        </row>
        <row r="763">
          <cell r="T763" t="str">
            <v>Late Night</v>
          </cell>
        </row>
        <row r="764">
          <cell r="T764" t="str">
            <v>Afternoon</v>
          </cell>
        </row>
        <row r="765">
          <cell r="T765" t="str">
            <v>Prime</v>
          </cell>
        </row>
        <row r="766">
          <cell r="T766" t="str">
            <v>Prime</v>
          </cell>
        </row>
        <row r="767">
          <cell r="T767" t="str">
            <v>Prime</v>
          </cell>
        </row>
        <row r="768">
          <cell r="T768" t="str">
            <v>Late Night</v>
          </cell>
        </row>
        <row r="769">
          <cell r="T769" t="str">
            <v>Prime</v>
          </cell>
        </row>
        <row r="770">
          <cell r="T770" t="str">
            <v>Afternoon</v>
          </cell>
        </row>
        <row r="771">
          <cell r="T771" t="str">
            <v>Prime</v>
          </cell>
        </row>
        <row r="772">
          <cell r="T772" t="str">
            <v>Late Night</v>
          </cell>
        </row>
        <row r="773">
          <cell r="T773" t="str">
            <v>Afternoon</v>
          </cell>
        </row>
        <row r="774">
          <cell r="T774" t="str">
            <v>Afternoon</v>
          </cell>
        </row>
        <row r="775">
          <cell r="T775" t="str">
            <v>Late Night</v>
          </cell>
        </row>
        <row r="776">
          <cell r="T776" t="str">
            <v>Afternoon</v>
          </cell>
        </row>
        <row r="777">
          <cell r="T777" t="str">
            <v>Late Night</v>
          </cell>
        </row>
        <row r="778">
          <cell r="T778" t="str">
            <v>Late Night</v>
          </cell>
        </row>
        <row r="779">
          <cell r="T779" t="str">
            <v>Lunch</v>
          </cell>
        </row>
        <row r="780">
          <cell r="T780" t="str">
            <v>Lunch</v>
          </cell>
        </row>
        <row r="781">
          <cell r="T781" t="str">
            <v>Afternoon</v>
          </cell>
        </row>
        <row r="782">
          <cell r="T782" t="str">
            <v>Lunch</v>
          </cell>
        </row>
        <row r="783">
          <cell r="T783" t="str">
            <v>Late Night</v>
          </cell>
        </row>
        <row r="784">
          <cell r="T784" t="str">
            <v>Morning</v>
          </cell>
        </row>
        <row r="785">
          <cell r="T785" t="str">
            <v>Morning</v>
          </cell>
        </row>
        <row r="786">
          <cell r="T786" t="str">
            <v>Morning</v>
          </cell>
        </row>
        <row r="787">
          <cell r="T787" t="str">
            <v>Lunch</v>
          </cell>
        </row>
        <row r="788">
          <cell r="T788" t="str">
            <v>Lunch</v>
          </cell>
        </row>
        <row r="789">
          <cell r="T789" t="str">
            <v>Prime</v>
          </cell>
        </row>
        <row r="790">
          <cell r="T790" t="str">
            <v>Late Night</v>
          </cell>
        </row>
        <row r="791">
          <cell r="T791" t="str">
            <v>Prime</v>
          </cell>
        </row>
        <row r="792">
          <cell r="T792" t="str">
            <v>Afternoon</v>
          </cell>
        </row>
        <row r="793">
          <cell r="T793" t="str">
            <v>Early Prime</v>
          </cell>
        </row>
        <row r="794">
          <cell r="T794" t="str">
            <v>Afternoon</v>
          </cell>
        </row>
        <row r="795">
          <cell r="T795" t="str">
            <v>Prime</v>
          </cell>
        </row>
        <row r="796">
          <cell r="T796" t="str">
            <v>Early Prime</v>
          </cell>
        </row>
        <row r="797">
          <cell r="T797" t="str">
            <v>Morning</v>
          </cell>
        </row>
        <row r="798">
          <cell r="T798" t="str">
            <v>Lunch</v>
          </cell>
        </row>
        <row r="799">
          <cell r="T799" t="str">
            <v>Prime</v>
          </cell>
        </row>
        <row r="800">
          <cell r="T800" t="str">
            <v>Prime</v>
          </cell>
        </row>
        <row r="801">
          <cell r="T801" t="str">
            <v>Lunch</v>
          </cell>
        </row>
        <row r="802">
          <cell r="T802" t="str">
            <v>Morning</v>
          </cell>
        </row>
        <row r="803">
          <cell r="T803" t="str">
            <v>Late Night</v>
          </cell>
        </row>
        <row r="804">
          <cell r="T804" t="str">
            <v>Morning</v>
          </cell>
        </row>
        <row r="805">
          <cell r="T805" t="str">
            <v>Late Night</v>
          </cell>
        </row>
        <row r="806">
          <cell r="T806" t="str">
            <v>Late Night</v>
          </cell>
        </row>
        <row r="807">
          <cell r="T807" t="str">
            <v>Late Night</v>
          </cell>
        </row>
        <row r="808">
          <cell r="T808" t="str">
            <v>Early Prime</v>
          </cell>
        </row>
        <row r="809">
          <cell r="T809" t="str">
            <v>Morning</v>
          </cell>
        </row>
        <row r="810">
          <cell r="T810" t="str">
            <v>Prime</v>
          </cell>
        </row>
        <row r="811">
          <cell r="T811" t="str">
            <v>Late Night</v>
          </cell>
        </row>
        <row r="812">
          <cell r="T812" t="str">
            <v>Afternoon</v>
          </cell>
        </row>
        <row r="813">
          <cell r="T813" t="str">
            <v>Prime</v>
          </cell>
        </row>
        <row r="814">
          <cell r="T814" t="str">
            <v>Afternoon</v>
          </cell>
        </row>
        <row r="815">
          <cell r="T815" t="str">
            <v>Prime</v>
          </cell>
        </row>
        <row r="816">
          <cell r="T816" t="str">
            <v>Prime</v>
          </cell>
        </row>
        <row r="817">
          <cell r="T817" t="str">
            <v>Prime</v>
          </cell>
        </row>
        <row r="818">
          <cell r="T818" t="str">
            <v>Prime</v>
          </cell>
        </row>
        <row r="819">
          <cell r="T819" t="str">
            <v>Prime</v>
          </cell>
        </row>
        <row r="820">
          <cell r="T820" t="str">
            <v>Afternoon</v>
          </cell>
        </row>
        <row r="821">
          <cell r="T821" t="str">
            <v>Prime</v>
          </cell>
        </row>
        <row r="822">
          <cell r="T822" t="str">
            <v>Morning</v>
          </cell>
        </row>
        <row r="823">
          <cell r="T823" t="str">
            <v>Prime</v>
          </cell>
        </row>
        <row r="824">
          <cell r="T824" t="str">
            <v>Prime</v>
          </cell>
        </row>
        <row r="825">
          <cell r="T825" t="str">
            <v>Morning</v>
          </cell>
        </row>
        <row r="826">
          <cell r="T826" t="str">
            <v>Prime</v>
          </cell>
        </row>
        <row r="827">
          <cell r="T827" t="str">
            <v>Lunch</v>
          </cell>
        </row>
        <row r="828">
          <cell r="T828" t="str">
            <v>Late Night</v>
          </cell>
        </row>
        <row r="829">
          <cell r="T829" t="str">
            <v>Prime</v>
          </cell>
        </row>
        <row r="830">
          <cell r="T830" t="str">
            <v>Prime</v>
          </cell>
        </row>
        <row r="831">
          <cell r="T831" t="str">
            <v>Lunch</v>
          </cell>
        </row>
        <row r="832">
          <cell r="T832" t="str">
            <v>Prime</v>
          </cell>
        </row>
        <row r="833">
          <cell r="T833" t="str">
            <v>Late Night</v>
          </cell>
        </row>
        <row r="834">
          <cell r="T834" t="str">
            <v>Prime</v>
          </cell>
        </row>
        <row r="835">
          <cell r="T835" t="str">
            <v>Prime</v>
          </cell>
        </row>
        <row r="836">
          <cell r="T836" t="str">
            <v>Prime</v>
          </cell>
        </row>
        <row r="837">
          <cell r="T837" t="str">
            <v>Lunch</v>
          </cell>
        </row>
        <row r="838">
          <cell r="T838" t="str">
            <v>Prime</v>
          </cell>
        </row>
        <row r="839">
          <cell r="T839" t="str">
            <v>Prime</v>
          </cell>
        </row>
        <row r="840">
          <cell r="T840" t="str">
            <v>Late Night</v>
          </cell>
        </row>
        <row r="841">
          <cell r="T841" t="str">
            <v>Late Night</v>
          </cell>
        </row>
        <row r="842">
          <cell r="T842" t="str">
            <v>Prime</v>
          </cell>
        </row>
        <row r="843">
          <cell r="T843" t="str">
            <v>Prime</v>
          </cell>
        </row>
        <row r="844">
          <cell r="T844" t="str">
            <v>Prime</v>
          </cell>
        </row>
        <row r="845">
          <cell r="T845" t="str">
            <v>Early Prime</v>
          </cell>
        </row>
        <row r="846">
          <cell r="T846" t="str">
            <v>Prime</v>
          </cell>
        </row>
        <row r="847">
          <cell r="T847" t="str">
            <v>Late Night</v>
          </cell>
        </row>
        <row r="848">
          <cell r="T848" t="str">
            <v>Prime</v>
          </cell>
        </row>
        <row r="849">
          <cell r="T849" t="str">
            <v>Prime</v>
          </cell>
        </row>
        <row r="850">
          <cell r="T850" t="str">
            <v>Prime</v>
          </cell>
        </row>
        <row r="851">
          <cell r="T851" t="str">
            <v>Prime</v>
          </cell>
        </row>
        <row r="852">
          <cell r="T852" t="str">
            <v>Late Night</v>
          </cell>
        </row>
        <row r="853">
          <cell r="T853" t="str">
            <v>Prime</v>
          </cell>
        </row>
        <row r="854">
          <cell r="T854" t="str">
            <v>Prime</v>
          </cell>
        </row>
        <row r="855">
          <cell r="T855" t="str">
            <v>Morning</v>
          </cell>
        </row>
        <row r="856">
          <cell r="T856" t="str">
            <v>Prime</v>
          </cell>
        </row>
        <row r="857">
          <cell r="T857" t="str">
            <v>Prime</v>
          </cell>
        </row>
        <row r="858">
          <cell r="T858" t="str">
            <v>Afternoon</v>
          </cell>
        </row>
        <row r="859">
          <cell r="T859" t="str">
            <v>Prime</v>
          </cell>
        </row>
        <row r="860">
          <cell r="T860" t="str">
            <v>Prime</v>
          </cell>
        </row>
        <row r="861">
          <cell r="T861" t="str">
            <v>Prime</v>
          </cell>
        </row>
        <row r="862">
          <cell r="T862" t="str">
            <v>Lunch</v>
          </cell>
        </row>
        <row r="863">
          <cell r="T863" t="str">
            <v>Late Night</v>
          </cell>
        </row>
        <row r="864">
          <cell r="T864" t="str">
            <v>Morning</v>
          </cell>
        </row>
        <row r="865">
          <cell r="T865" t="str">
            <v>Prime</v>
          </cell>
        </row>
        <row r="866">
          <cell r="T866" t="str">
            <v>Prime</v>
          </cell>
        </row>
        <row r="867">
          <cell r="T867" t="str">
            <v>Prime</v>
          </cell>
        </row>
        <row r="868">
          <cell r="T868" t="str">
            <v>Late Night</v>
          </cell>
        </row>
        <row r="869">
          <cell r="T869" t="str">
            <v>Prime</v>
          </cell>
        </row>
        <row r="870">
          <cell r="T870" t="str">
            <v>Prime</v>
          </cell>
        </row>
        <row r="871">
          <cell r="T871" t="str">
            <v>Late Night</v>
          </cell>
        </row>
        <row r="872">
          <cell r="T872" t="str">
            <v>Prime</v>
          </cell>
        </row>
        <row r="873">
          <cell r="T873" t="str">
            <v>Prime</v>
          </cell>
        </row>
        <row r="874">
          <cell r="T874" t="str">
            <v>Prime</v>
          </cell>
        </row>
        <row r="875">
          <cell r="T875" t="str">
            <v>Prime</v>
          </cell>
        </row>
        <row r="876">
          <cell r="T876" t="str">
            <v>Late Night</v>
          </cell>
        </row>
        <row r="877">
          <cell r="T877" t="str">
            <v>Morning</v>
          </cell>
        </row>
        <row r="878">
          <cell r="T878" t="str">
            <v>Morning</v>
          </cell>
        </row>
        <row r="879">
          <cell r="T879" t="str">
            <v>Prime</v>
          </cell>
        </row>
        <row r="880">
          <cell r="T880" t="str">
            <v>Prime</v>
          </cell>
        </row>
        <row r="881">
          <cell r="T881" t="str">
            <v>Late Night</v>
          </cell>
        </row>
        <row r="882">
          <cell r="T882" t="str">
            <v>Prime</v>
          </cell>
        </row>
        <row r="883">
          <cell r="T883" t="str">
            <v>Late Night</v>
          </cell>
        </row>
        <row r="884">
          <cell r="T884" t="str">
            <v>Lunch</v>
          </cell>
        </row>
        <row r="885">
          <cell r="T885" t="str">
            <v>Prime</v>
          </cell>
        </row>
        <row r="886">
          <cell r="T886" t="str">
            <v>Prime</v>
          </cell>
        </row>
        <row r="887">
          <cell r="T887" t="str">
            <v>Prime</v>
          </cell>
        </row>
        <row r="888">
          <cell r="T888" t="str">
            <v>Early Prime</v>
          </cell>
        </row>
        <row r="889">
          <cell r="T889" t="str">
            <v>Late Night</v>
          </cell>
        </row>
        <row r="890">
          <cell r="T890" t="str">
            <v>Prime</v>
          </cell>
        </row>
        <row r="891">
          <cell r="T891" t="str">
            <v>Prime</v>
          </cell>
        </row>
        <row r="892">
          <cell r="T892" t="str">
            <v>Prime</v>
          </cell>
        </row>
        <row r="893">
          <cell r="T893" t="str">
            <v>Prime</v>
          </cell>
        </row>
        <row r="894">
          <cell r="T894" t="str">
            <v>Prime</v>
          </cell>
        </row>
        <row r="895">
          <cell r="T895" t="str">
            <v>Prime</v>
          </cell>
        </row>
        <row r="896">
          <cell r="T896" t="str">
            <v>Lunch</v>
          </cell>
        </row>
        <row r="897">
          <cell r="T897" t="str">
            <v>Prime</v>
          </cell>
        </row>
        <row r="898">
          <cell r="T898" t="str">
            <v>Prime</v>
          </cell>
        </row>
        <row r="899">
          <cell r="T899" t="str">
            <v>Prime</v>
          </cell>
        </row>
        <row r="900">
          <cell r="T900" t="str">
            <v>Prime</v>
          </cell>
        </row>
        <row r="901">
          <cell r="T901" t="str">
            <v>Prime</v>
          </cell>
        </row>
        <row r="902">
          <cell r="T902" t="str">
            <v>Prime</v>
          </cell>
        </row>
        <row r="903">
          <cell r="T903" t="str">
            <v>Early Prime</v>
          </cell>
        </row>
        <row r="904">
          <cell r="T904" t="str">
            <v>Prime</v>
          </cell>
        </row>
        <row r="905">
          <cell r="T905" t="str">
            <v>Prime</v>
          </cell>
        </row>
        <row r="906">
          <cell r="T906" t="str">
            <v>Prime</v>
          </cell>
        </row>
        <row r="907">
          <cell r="T907" t="str">
            <v>Prime</v>
          </cell>
        </row>
        <row r="908">
          <cell r="T908" t="str">
            <v>Prime</v>
          </cell>
        </row>
        <row r="909">
          <cell r="T909" t="str">
            <v>Prime</v>
          </cell>
        </row>
        <row r="910">
          <cell r="T910" t="str">
            <v>Prime</v>
          </cell>
        </row>
        <row r="911">
          <cell r="T911" t="str">
            <v>Prime</v>
          </cell>
        </row>
        <row r="912">
          <cell r="T912" t="str">
            <v>Prime</v>
          </cell>
        </row>
        <row r="913">
          <cell r="T913" t="str">
            <v>Prime</v>
          </cell>
        </row>
        <row r="914">
          <cell r="T914" t="str">
            <v>Prime</v>
          </cell>
        </row>
        <row r="915">
          <cell r="T915" t="str">
            <v>Prime</v>
          </cell>
        </row>
        <row r="916">
          <cell r="T916" t="str">
            <v>Late Night</v>
          </cell>
        </row>
        <row r="917">
          <cell r="T917" t="str">
            <v>Prime</v>
          </cell>
        </row>
        <row r="918">
          <cell r="T918" t="str">
            <v>Late Night</v>
          </cell>
        </row>
        <row r="919">
          <cell r="T919" t="str">
            <v>Prime</v>
          </cell>
        </row>
        <row r="920">
          <cell r="T920" t="str">
            <v>Prime</v>
          </cell>
        </row>
        <row r="921">
          <cell r="T921" t="str">
            <v>Prime</v>
          </cell>
        </row>
        <row r="922">
          <cell r="T922" t="str">
            <v>Afternoon</v>
          </cell>
        </row>
        <row r="923">
          <cell r="T923" t="str">
            <v>Afternoon</v>
          </cell>
        </row>
        <row r="924">
          <cell r="T924" t="str">
            <v>Prime</v>
          </cell>
        </row>
        <row r="925">
          <cell r="T925" t="str">
            <v>Prime</v>
          </cell>
        </row>
        <row r="926">
          <cell r="T926" t="str">
            <v>Prime</v>
          </cell>
        </row>
        <row r="927">
          <cell r="T927" t="str">
            <v>Prime</v>
          </cell>
        </row>
        <row r="928">
          <cell r="T928" t="str">
            <v>Prime</v>
          </cell>
        </row>
        <row r="929">
          <cell r="T929" t="str">
            <v>Prime</v>
          </cell>
        </row>
        <row r="930">
          <cell r="T930" t="str">
            <v>Prime</v>
          </cell>
        </row>
        <row r="931">
          <cell r="T931" t="str">
            <v>Late Night</v>
          </cell>
        </row>
        <row r="932">
          <cell r="T932" t="str">
            <v>Prime</v>
          </cell>
        </row>
        <row r="933">
          <cell r="T933" t="str">
            <v>Late Night</v>
          </cell>
        </row>
        <row r="934">
          <cell r="T934" t="str">
            <v>Prime</v>
          </cell>
        </row>
        <row r="935">
          <cell r="T935" t="str">
            <v>Morning</v>
          </cell>
        </row>
        <row r="936">
          <cell r="T936" t="str">
            <v>Prime</v>
          </cell>
        </row>
        <row r="937">
          <cell r="T937" t="str">
            <v>Morning</v>
          </cell>
        </row>
        <row r="938">
          <cell r="T938" t="str">
            <v>Late Night</v>
          </cell>
        </row>
        <row r="939">
          <cell r="T939" t="str">
            <v>Morning</v>
          </cell>
        </row>
        <row r="940">
          <cell r="T940" t="str">
            <v>Prime</v>
          </cell>
        </row>
        <row r="941">
          <cell r="T941" t="str">
            <v>Morning</v>
          </cell>
        </row>
        <row r="942">
          <cell r="T942" t="str">
            <v>Prime</v>
          </cell>
        </row>
        <row r="943">
          <cell r="T943" t="str">
            <v>Late Night</v>
          </cell>
        </row>
        <row r="944">
          <cell r="T944" t="str">
            <v>Morning</v>
          </cell>
        </row>
        <row r="945">
          <cell r="T945" t="str">
            <v>Prime</v>
          </cell>
        </row>
        <row r="946">
          <cell r="T946" t="str">
            <v>Lunch</v>
          </cell>
        </row>
        <row r="947">
          <cell r="T947" t="str">
            <v>Prime</v>
          </cell>
        </row>
        <row r="948">
          <cell r="T948" t="str">
            <v>Morning</v>
          </cell>
        </row>
        <row r="949">
          <cell r="T949" t="str">
            <v>Morning</v>
          </cell>
        </row>
        <row r="950">
          <cell r="T950" t="str">
            <v>Prime</v>
          </cell>
        </row>
        <row r="951">
          <cell r="T951" t="str">
            <v>Prime</v>
          </cell>
        </row>
        <row r="952">
          <cell r="T952" t="str">
            <v>Prime</v>
          </cell>
        </row>
        <row r="953">
          <cell r="T953" t="str">
            <v>Prime</v>
          </cell>
        </row>
        <row r="954">
          <cell r="T954" t="str">
            <v>Prime</v>
          </cell>
        </row>
        <row r="955">
          <cell r="T955" t="str">
            <v>Prime</v>
          </cell>
        </row>
        <row r="956">
          <cell r="T956" t="str">
            <v>Morning</v>
          </cell>
        </row>
        <row r="957">
          <cell r="T957" t="str">
            <v>Prime</v>
          </cell>
        </row>
        <row r="958">
          <cell r="T958" t="str">
            <v>Morning</v>
          </cell>
        </row>
        <row r="959">
          <cell r="T959" t="str">
            <v>Late Night</v>
          </cell>
        </row>
        <row r="960">
          <cell r="T960" t="str">
            <v>Lunch</v>
          </cell>
        </row>
        <row r="961">
          <cell r="T961" t="str">
            <v>Late Night</v>
          </cell>
        </row>
        <row r="962">
          <cell r="T962" t="str">
            <v>Late Night</v>
          </cell>
        </row>
        <row r="963">
          <cell r="T963" t="str">
            <v>Late Night</v>
          </cell>
        </row>
        <row r="964">
          <cell r="T964" t="str">
            <v>Prime</v>
          </cell>
        </row>
        <row r="965">
          <cell r="T965" t="str">
            <v>Prime</v>
          </cell>
        </row>
        <row r="966">
          <cell r="T966" t="str">
            <v>Morning</v>
          </cell>
        </row>
        <row r="967">
          <cell r="T967" t="str">
            <v>Prime</v>
          </cell>
        </row>
        <row r="968">
          <cell r="T968" t="str">
            <v>Prime</v>
          </cell>
        </row>
        <row r="969">
          <cell r="T969" t="str">
            <v>Late Night</v>
          </cell>
        </row>
        <row r="970">
          <cell r="T970" t="str">
            <v>Prime</v>
          </cell>
        </row>
        <row r="971">
          <cell r="T971" t="str">
            <v>Afternoon</v>
          </cell>
        </row>
        <row r="972">
          <cell r="T972" t="str">
            <v>Prime</v>
          </cell>
        </row>
        <row r="973">
          <cell r="T973" t="str">
            <v>Prime</v>
          </cell>
        </row>
        <row r="974">
          <cell r="T974" t="str">
            <v>Prime</v>
          </cell>
        </row>
        <row r="975">
          <cell r="T975" t="str">
            <v>Morning</v>
          </cell>
        </row>
        <row r="976">
          <cell r="T976" t="str">
            <v>Afternoon</v>
          </cell>
        </row>
        <row r="977">
          <cell r="T977" t="str">
            <v>Morning</v>
          </cell>
        </row>
        <row r="978">
          <cell r="T978" t="str">
            <v>Late Night</v>
          </cell>
        </row>
        <row r="979">
          <cell r="T979" t="str">
            <v>Prime</v>
          </cell>
        </row>
        <row r="980">
          <cell r="T980" t="str">
            <v>Late Night</v>
          </cell>
        </row>
        <row r="981">
          <cell r="T981" t="str">
            <v>Prime</v>
          </cell>
        </row>
        <row r="982">
          <cell r="T982" t="str">
            <v>Late Night</v>
          </cell>
        </row>
        <row r="983">
          <cell r="T983" t="str">
            <v>Morning</v>
          </cell>
        </row>
        <row r="984">
          <cell r="T984" t="str">
            <v>Late Night</v>
          </cell>
        </row>
        <row r="985">
          <cell r="T985" t="str">
            <v>Prime</v>
          </cell>
        </row>
        <row r="986">
          <cell r="T986" t="str">
            <v>Prime</v>
          </cell>
        </row>
        <row r="987">
          <cell r="T987" t="str">
            <v>Early Prime</v>
          </cell>
        </row>
        <row r="988">
          <cell r="T988" t="str">
            <v>Early Prime</v>
          </cell>
        </row>
        <row r="989">
          <cell r="T989" t="str">
            <v>Prime</v>
          </cell>
        </row>
        <row r="990">
          <cell r="T990" t="str">
            <v>Prime</v>
          </cell>
        </row>
        <row r="991">
          <cell r="T991" t="str">
            <v>Afternoon</v>
          </cell>
        </row>
        <row r="992">
          <cell r="T992" t="str">
            <v>Early Prime</v>
          </cell>
        </row>
        <row r="993">
          <cell r="T993" t="str">
            <v>Prime</v>
          </cell>
        </row>
        <row r="994">
          <cell r="T994" t="str">
            <v>Morning</v>
          </cell>
        </row>
        <row r="995">
          <cell r="T995" t="str">
            <v>Late Night</v>
          </cell>
        </row>
        <row r="996">
          <cell r="T996" t="str">
            <v>Late Night</v>
          </cell>
        </row>
        <row r="997">
          <cell r="T997" t="str">
            <v>Prime</v>
          </cell>
        </row>
        <row r="998">
          <cell r="T998" t="str">
            <v>Prime</v>
          </cell>
        </row>
        <row r="999">
          <cell r="T999" t="str">
            <v>Afternoon</v>
          </cell>
        </row>
        <row r="1000">
          <cell r="T1000" t="str">
            <v>Morning</v>
          </cell>
        </row>
        <row r="1001">
          <cell r="T1001" t="str">
            <v>Prime</v>
          </cell>
        </row>
        <row r="1002">
          <cell r="T1002" t="str">
            <v>Morning</v>
          </cell>
        </row>
        <row r="1003">
          <cell r="T1003" t="str">
            <v>Late Night</v>
          </cell>
        </row>
        <row r="1004">
          <cell r="T1004" t="str">
            <v>Prime</v>
          </cell>
        </row>
        <row r="1005">
          <cell r="T1005" t="str">
            <v>Lunch</v>
          </cell>
        </row>
        <row r="1006">
          <cell r="T1006" t="str">
            <v>Late Night</v>
          </cell>
        </row>
        <row r="1007">
          <cell r="T1007" t="str">
            <v>Late Night</v>
          </cell>
        </row>
        <row r="1008">
          <cell r="T1008" t="str">
            <v>Morning</v>
          </cell>
        </row>
        <row r="1009">
          <cell r="T1009" t="str">
            <v>Prime</v>
          </cell>
        </row>
        <row r="1010">
          <cell r="T1010" t="str">
            <v>Late Night</v>
          </cell>
        </row>
        <row r="1011">
          <cell r="T1011" t="str">
            <v>Prime</v>
          </cell>
        </row>
        <row r="1012">
          <cell r="T1012" t="str">
            <v>Prime</v>
          </cell>
        </row>
        <row r="1013">
          <cell r="T1013" t="str">
            <v>Lunch</v>
          </cell>
        </row>
        <row r="1014">
          <cell r="T1014" t="str">
            <v>Prime</v>
          </cell>
        </row>
        <row r="1015">
          <cell r="T1015" t="str">
            <v>Prime</v>
          </cell>
        </row>
        <row r="1016">
          <cell r="T1016" t="str">
            <v>Early Prime</v>
          </cell>
        </row>
        <row r="1017">
          <cell r="T1017" t="str">
            <v>Prime</v>
          </cell>
        </row>
        <row r="1018">
          <cell r="T1018" t="str">
            <v>Afternoon</v>
          </cell>
        </row>
        <row r="1019">
          <cell r="T1019" t="str">
            <v>Prime</v>
          </cell>
        </row>
        <row r="1020">
          <cell r="T1020" t="str">
            <v>Prime</v>
          </cell>
        </row>
        <row r="1021">
          <cell r="T1021" t="str">
            <v>Late Night</v>
          </cell>
        </row>
        <row r="1022">
          <cell r="T1022" t="str">
            <v>Prime</v>
          </cell>
        </row>
        <row r="1023">
          <cell r="T1023" t="str">
            <v>Prime</v>
          </cell>
        </row>
        <row r="1024">
          <cell r="T1024" t="str">
            <v>Prime</v>
          </cell>
        </row>
        <row r="1025">
          <cell r="T1025" t="str">
            <v>Morning</v>
          </cell>
        </row>
        <row r="1026">
          <cell r="T1026" t="str">
            <v>Prime</v>
          </cell>
        </row>
        <row r="1027">
          <cell r="T1027" t="str">
            <v>Prime</v>
          </cell>
        </row>
        <row r="1028">
          <cell r="T1028" t="str">
            <v>Prime</v>
          </cell>
        </row>
        <row r="1029">
          <cell r="T1029" t="str">
            <v>Prime</v>
          </cell>
        </row>
        <row r="1030">
          <cell r="T1030" t="str">
            <v>Prime</v>
          </cell>
        </row>
        <row r="1031">
          <cell r="T1031" t="str">
            <v>Morning</v>
          </cell>
        </row>
        <row r="1032">
          <cell r="T1032" t="str">
            <v>Early Prime</v>
          </cell>
        </row>
        <row r="1033">
          <cell r="T1033" t="str">
            <v>Early Prime</v>
          </cell>
        </row>
        <row r="1034">
          <cell r="T1034" t="str">
            <v>Late Night</v>
          </cell>
        </row>
        <row r="1035">
          <cell r="T1035" t="str">
            <v>Prime</v>
          </cell>
        </row>
        <row r="1036">
          <cell r="T1036" t="str">
            <v>Prime</v>
          </cell>
        </row>
        <row r="1037">
          <cell r="T1037" t="str">
            <v>Late Night</v>
          </cell>
        </row>
        <row r="1038">
          <cell r="T1038" t="str">
            <v>Prime</v>
          </cell>
        </row>
        <row r="1039">
          <cell r="T1039" t="str">
            <v>Prime</v>
          </cell>
        </row>
        <row r="1040">
          <cell r="T1040" t="str">
            <v>Prime</v>
          </cell>
        </row>
        <row r="1041">
          <cell r="T1041" t="str">
            <v>Prime</v>
          </cell>
        </row>
        <row r="1042">
          <cell r="T1042" t="str">
            <v>Morning</v>
          </cell>
        </row>
        <row r="1043">
          <cell r="T1043" t="str">
            <v>Late Night</v>
          </cell>
        </row>
        <row r="1044">
          <cell r="T1044" t="str">
            <v>Morning</v>
          </cell>
        </row>
        <row r="1045">
          <cell r="T1045" t="str">
            <v>Prime</v>
          </cell>
        </row>
        <row r="1046">
          <cell r="T1046" t="str">
            <v>Prime</v>
          </cell>
        </row>
        <row r="1047">
          <cell r="T1047" t="str">
            <v>Late Night</v>
          </cell>
        </row>
        <row r="1048">
          <cell r="T1048" t="str">
            <v>Late Night</v>
          </cell>
        </row>
        <row r="1049">
          <cell r="T1049" t="str">
            <v>Prime</v>
          </cell>
        </row>
        <row r="1050">
          <cell r="T1050" t="str">
            <v>Prime</v>
          </cell>
        </row>
        <row r="1051">
          <cell r="T1051" t="str">
            <v>Prime</v>
          </cell>
        </row>
        <row r="1067">
          <cell r="T1067" t="str">
            <v>Late Night</v>
          </cell>
        </row>
        <row r="1068">
          <cell r="T1068" t="str">
            <v>Late Night</v>
          </cell>
        </row>
        <row r="1069">
          <cell r="T1069" t="str">
            <v>Late Night</v>
          </cell>
        </row>
        <row r="1070">
          <cell r="T1070" t="str">
            <v>Late Night</v>
          </cell>
        </row>
        <row r="1071">
          <cell r="T1071" t="str">
            <v>Late Night</v>
          </cell>
        </row>
        <row r="1072">
          <cell r="T1072" t="str">
            <v>Late Night</v>
          </cell>
        </row>
        <row r="1073">
          <cell r="T1073" t="str">
            <v>Morning</v>
          </cell>
        </row>
        <row r="1074">
          <cell r="T1074" t="str">
            <v>Late Night</v>
          </cell>
        </row>
        <row r="1075">
          <cell r="T1075" t="str">
            <v>Early Prime</v>
          </cell>
        </row>
        <row r="1076">
          <cell r="T1076" t="str">
            <v>Early Prime</v>
          </cell>
        </row>
        <row r="1077">
          <cell r="T1077" t="str">
            <v>Afternoon</v>
          </cell>
        </row>
        <row r="1078">
          <cell r="T1078" t="str">
            <v>Early Prime</v>
          </cell>
        </row>
        <row r="1079">
          <cell r="T1079" t="str">
            <v>Lunch</v>
          </cell>
        </row>
        <row r="1080">
          <cell r="T1080" t="str">
            <v>Late Night</v>
          </cell>
        </row>
        <row r="1081">
          <cell r="T1081" t="str">
            <v>Early Prime</v>
          </cell>
        </row>
        <row r="1082">
          <cell r="T1082" t="str">
            <v>Late Night</v>
          </cell>
        </row>
        <row r="1083">
          <cell r="T1083" t="str">
            <v>Late Night</v>
          </cell>
        </row>
        <row r="1084">
          <cell r="T1084" t="str">
            <v>Late Night</v>
          </cell>
        </row>
        <row r="1085">
          <cell r="T1085" t="str">
            <v>Late Night</v>
          </cell>
        </row>
        <row r="1086">
          <cell r="T1086" t="str">
            <v>Late Night</v>
          </cell>
        </row>
        <row r="1087">
          <cell r="T1087" t="str">
            <v>Late Night</v>
          </cell>
        </row>
        <row r="1088">
          <cell r="T1088" t="str">
            <v>Lunch</v>
          </cell>
        </row>
        <row r="1089">
          <cell r="T1089" t="str">
            <v>Afternoon</v>
          </cell>
        </row>
        <row r="1090">
          <cell r="T1090" t="str">
            <v>Early Prime</v>
          </cell>
        </row>
        <row r="1091">
          <cell r="T1091" t="str">
            <v>Early Prime</v>
          </cell>
        </row>
        <row r="1092">
          <cell r="T1092" t="str">
            <v>Lunch</v>
          </cell>
        </row>
        <row r="1093">
          <cell r="T1093" t="str">
            <v>Afternoon</v>
          </cell>
        </row>
        <row r="1094">
          <cell r="T1094" t="str">
            <v>Late Night</v>
          </cell>
        </row>
        <row r="1095">
          <cell r="T1095" t="str">
            <v>Late Night</v>
          </cell>
        </row>
        <row r="1096">
          <cell r="T1096" t="str">
            <v>Early Prime</v>
          </cell>
        </row>
        <row r="1097">
          <cell r="T1097" t="str">
            <v>Late Night</v>
          </cell>
        </row>
        <row r="1098">
          <cell r="T1098" t="str">
            <v>Early Prime</v>
          </cell>
        </row>
        <row r="1099">
          <cell r="T1099" t="str">
            <v>Late Night</v>
          </cell>
        </row>
        <row r="1100">
          <cell r="T1100" t="str">
            <v>Late Night</v>
          </cell>
        </row>
        <row r="1101">
          <cell r="T1101" t="str">
            <v>Early Prime</v>
          </cell>
        </row>
        <row r="1102">
          <cell r="T1102" t="str">
            <v>Early Prime</v>
          </cell>
        </row>
        <row r="1103">
          <cell r="T1103" t="str">
            <v>Late Night</v>
          </cell>
        </row>
        <row r="1104">
          <cell r="T1104" t="str">
            <v>Early Prime</v>
          </cell>
        </row>
        <row r="1105">
          <cell r="T1105" t="str">
            <v>Early Prime</v>
          </cell>
        </row>
        <row r="1106">
          <cell r="T1106" t="str">
            <v>Late Night</v>
          </cell>
        </row>
        <row r="1107">
          <cell r="T1107" t="str">
            <v>Late Night</v>
          </cell>
        </row>
        <row r="1108">
          <cell r="T1108" t="str">
            <v>Late Night</v>
          </cell>
        </row>
        <row r="1109">
          <cell r="T1109" t="str">
            <v>Early Prime</v>
          </cell>
        </row>
        <row r="1110">
          <cell r="T1110" t="str">
            <v>Early Prime</v>
          </cell>
        </row>
        <row r="1111">
          <cell r="T1111" t="str">
            <v>Afternoon</v>
          </cell>
        </row>
        <row r="1112">
          <cell r="T1112" t="str">
            <v>Early Prime</v>
          </cell>
        </row>
        <row r="1113">
          <cell r="T1113" t="str">
            <v>Late Night</v>
          </cell>
        </row>
        <row r="1114">
          <cell r="T1114" t="str">
            <v>Late Night</v>
          </cell>
        </row>
        <row r="1115">
          <cell r="T1115" t="str">
            <v>Late Night</v>
          </cell>
        </row>
        <row r="1116">
          <cell r="T1116" t="str">
            <v>Early Prime</v>
          </cell>
        </row>
        <row r="1117">
          <cell r="T1117" t="str">
            <v>Late Night</v>
          </cell>
        </row>
        <row r="1118">
          <cell r="T1118" t="str">
            <v>Early Prime</v>
          </cell>
        </row>
        <row r="1119">
          <cell r="T1119" t="str">
            <v>Early Prime</v>
          </cell>
        </row>
        <row r="1120">
          <cell r="T1120" t="str">
            <v>Late Night</v>
          </cell>
        </row>
        <row r="1121">
          <cell r="T1121" t="str">
            <v>Late Night</v>
          </cell>
        </row>
        <row r="1122">
          <cell r="T1122" t="str">
            <v>Late Night</v>
          </cell>
        </row>
        <row r="1123">
          <cell r="T1123" t="str">
            <v>Late Night</v>
          </cell>
        </row>
        <row r="1124">
          <cell r="T1124" t="str">
            <v>Early Prime</v>
          </cell>
        </row>
        <row r="1125">
          <cell r="T1125" t="str">
            <v>Early Prime</v>
          </cell>
        </row>
        <row r="1126">
          <cell r="T1126" t="str">
            <v>Late Night</v>
          </cell>
        </row>
        <row r="1127">
          <cell r="T1127" t="str">
            <v>Early Prime</v>
          </cell>
        </row>
        <row r="1128">
          <cell r="T1128" t="str">
            <v>Early Prime</v>
          </cell>
        </row>
        <row r="1129">
          <cell r="T1129" t="str">
            <v>Late Night</v>
          </cell>
        </row>
        <row r="1130">
          <cell r="T1130" t="str">
            <v>Lunch</v>
          </cell>
        </row>
        <row r="1131">
          <cell r="T1131" t="str">
            <v>Afternoon</v>
          </cell>
        </row>
        <row r="1132">
          <cell r="T1132" t="str">
            <v>Early Prime</v>
          </cell>
        </row>
        <row r="1133">
          <cell r="T1133" t="str">
            <v>Lunch</v>
          </cell>
        </row>
        <row r="1134">
          <cell r="T1134" t="str">
            <v>Early Prime</v>
          </cell>
        </row>
        <row r="1135">
          <cell r="T1135" t="str">
            <v>Morning</v>
          </cell>
        </row>
        <row r="1136">
          <cell r="T1136" t="str">
            <v>Late Night</v>
          </cell>
        </row>
        <row r="1137">
          <cell r="T1137" t="str">
            <v>Late Night</v>
          </cell>
        </row>
        <row r="1138">
          <cell r="T1138" t="str">
            <v>Early Prime</v>
          </cell>
        </row>
        <row r="1139">
          <cell r="T1139" t="str">
            <v>Early Prime</v>
          </cell>
        </row>
        <row r="1140">
          <cell r="T1140" t="str">
            <v>Afternoon</v>
          </cell>
        </row>
        <row r="1141">
          <cell r="T1141" t="str">
            <v>Late Night</v>
          </cell>
        </row>
        <row r="1142">
          <cell r="T1142" t="str">
            <v>Morning</v>
          </cell>
        </row>
        <row r="1143">
          <cell r="T1143" t="str">
            <v>Morning</v>
          </cell>
        </row>
        <row r="1144">
          <cell r="T1144" t="str">
            <v>Early Prime</v>
          </cell>
        </row>
        <row r="1145">
          <cell r="T1145" t="str">
            <v>Early Prime</v>
          </cell>
        </row>
        <row r="1146">
          <cell r="T1146" t="str">
            <v>Late Night</v>
          </cell>
        </row>
        <row r="1147">
          <cell r="T1147" t="str">
            <v>Late Night</v>
          </cell>
        </row>
        <row r="1148">
          <cell r="T1148" t="str">
            <v>Late Night</v>
          </cell>
        </row>
        <row r="1149">
          <cell r="T1149" t="str">
            <v>Morning</v>
          </cell>
        </row>
        <row r="1150">
          <cell r="T1150" t="str">
            <v>Late Night</v>
          </cell>
        </row>
        <row r="1151">
          <cell r="T1151" t="str">
            <v>Late Night</v>
          </cell>
        </row>
        <row r="1152">
          <cell r="T1152" t="str">
            <v>Morning</v>
          </cell>
        </row>
        <row r="1153">
          <cell r="T1153" t="str">
            <v>Morning</v>
          </cell>
        </row>
        <row r="1154">
          <cell r="T1154" t="str">
            <v>Morning</v>
          </cell>
        </row>
        <row r="1155">
          <cell r="T1155" t="str">
            <v>Early Prime</v>
          </cell>
        </row>
        <row r="1156">
          <cell r="T1156" t="str">
            <v>Late Night</v>
          </cell>
        </row>
        <row r="1157">
          <cell r="T1157" t="str">
            <v>Late Night</v>
          </cell>
        </row>
        <row r="1158">
          <cell r="T1158" t="str">
            <v>Late Night</v>
          </cell>
        </row>
        <row r="1159">
          <cell r="T1159" t="str">
            <v>Morning</v>
          </cell>
        </row>
        <row r="1160">
          <cell r="T1160" t="str">
            <v>Early Prime</v>
          </cell>
        </row>
        <row r="1161">
          <cell r="T1161" t="str">
            <v>Late Night</v>
          </cell>
        </row>
        <row r="1162">
          <cell r="T1162" t="str">
            <v>Late Night</v>
          </cell>
        </row>
        <row r="1163">
          <cell r="T1163" t="str">
            <v>Late Night</v>
          </cell>
        </row>
        <row r="1164">
          <cell r="T1164" t="str">
            <v>Afternoon</v>
          </cell>
        </row>
        <row r="1165">
          <cell r="T1165" t="str">
            <v>Late Night</v>
          </cell>
        </row>
        <row r="1166">
          <cell r="T1166" t="str">
            <v>Lunch</v>
          </cell>
        </row>
        <row r="1167">
          <cell r="T1167" t="str">
            <v>Late Night</v>
          </cell>
        </row>
        <row r="1168">
          <cell r="T1168" t="str">
            <v>Lunch</v>
          </cell>
        </row>
        <row r="1169">
          <cell r="T1169" t="str">
            <v>Afternoon</v>
          </cell>
        </row>
        <row r="1170">
          <cell r="T1170" t="str">
            <v>Late Night</v>
          </cell>
        </row>
        <row r="1171">
          <cell r="T1171" t="str">
            <v>Early Prime</v>
          </cell>
        </row>
        <row r="1172">
          <cell r="T1172" t="str">
            <v>Late Night</v>
          </cell>
        </row>
        <row r="1173">
          <cell r="T1173" t="str">
            <v>Late Night</v>
          </cell>
        </row>
        <row r="1174">
          <cell r="T1174" t="str">
            <v>Late Night</v>
          </cell>
        </row>
        <row r="1175">
          <cell r="T1175" t="str">
            <v>Morning</v>
          </cell>
        </row>
        <row r="1176">
          <cell r="T1176" t="str">
            <v>Afternoon</v>
          </cell>
        </row>
        <row r="1177">
          <cell r="T1177" t="str">
            <v>Early Prime</v>
          </cell>
        </row>
        <row r="1178">
          <cell r="T1178" t="str">
            <v>Late Night</v>
          </cell>
        </row>
        <row r="1179">
          <cell r="T1179" t="str">
            <v>Early Prime</v>
          </cell>
        </row>
        <row r="1180">
          <cell r="T1180" t="str">
            <v>Early Prime</v>
          </cell>
        </row>
        <row r="1181">
          <cell r="T1181" t="str">
            <v>Late Night</v>
          </cell>
        </row>
        <row r="1182">
          <cell r="T1182" t="str">
            <v>Late Night</v>
          </cell>
        </row>
        <row r="1183">
          <cell r="T1183" t="str">
            <v>Early Prime</v>
          </cell>
        </row>
        <row r="1184">
          <cell r="T1184" t="str">
            <v>Morning</v>
          </cell>
        </row>
        <row r="1185">
          <cell r="T1185" t="str">
            <v>Late Night</v>
          </cell>
        </row>
        <row r="1186">
          <cell r="T1186" t="str">
            <v>Early Prime</v>
          </cell>
        </row>
        <row r="1187">
          <cell r="T1187" t="str">
            <v>Afternoon</v>
          </cell>
        </row>
        <row r="1188">
          <cell r="T1188" t="str">
            <v>Early Prime</v>
          </cell>
        </row>
        <row r="1189">
          <cell r="T1189" t="str">
            <v>Late Night</v>
          </cell>
        </row>
        <row r="1190">
          <cell r="T1190" t="str">
            <v>Early Prime</v>
          </cell>
        </row>
        <row r="1191">
          <cell r="T1191" t="str">
            <v>Early Prime</v>
          </cell>
        </row>
        <row r="1192">
          <cell r="T1192" t="str">
            <v>Late Night</v>
          </cell>
        </row>
        <row r="1193">
          <cell r="T1193" t="str">
            <v>Morning</v>
          </cell>
        </row>
        <row r="1194">
          <cell r="T1194" t="str">
            <v>Late Night</v>
          </cell>
        </row>
        <row r="1195">
          <cell r="T1195" t="str">
            <v>Early Prime</v>
          </cell>
        </row>
        <row r="1196">
          <cell r="T1196" t="str">
            <v>Late Night</v>
          </cell>
        </row>
        <row r="1197">
          <cell r="T1197" t="str">
            <v>Afternoon</v>
          </cell>
        </row>
        <row r="1198">
          <cell r="T1198" t="str">
            <v>Morning</v>
          </cell>
        </row>
        <row r="1199">
          <cell r="T1199" t="str">
            <v>Late Night</v>
          </cell>
        </row>
        <row r="1200">
          <cell r="T1200" t="str">
            <v>Late Night</v>
          </cell>
        </row>
        <row r="1201">
          <cell r="T1201" t="str">
            <v>Early Prime</v>
          </cell>
        </row>
        <row r="1202">
          <cell r="T1202" t="str">
            <v>Late Night</v>
          </cell>
        </row>
        <row r="1203">
          <cell r="T1203" t="str">
            <v>Afternoon</v>
          </cell>
        </row>
        <row r="1204">
          <cell r="T1204" t="str">
            <v>Late Night</v>
          </cell>
        </row>
        <row r="1205">
          <cell r="T1205" t="str">
            <v>Afternoon</v>
          </cell>
        </row>
        <row r="1206">
          <cell r="T1206" t="str">
            <v>Afternoon</v>
          </cell>
        </row>
        <row r="1207">
          <cell r="T1207" t="str">
            <v>Afternoon</v>
          </cell>
        </row>
        <row r="1208">
          <cell r="T1208" t="str">
            <v>Early Prime</v>
          </cell>
        </row>
        <row r="1209">
          <cell r="T1209" t="str">
            <v>Morning</v>
          </cell>
        </row>
        <row r="1210">
          <cell r="T1210" t="str">
            <v>Early Prime</v>
          </cell>
        </row>
        <row r="1211">
          <cell r="T1211" t="str">
            <v>Late Night</v>
          </cell>
        </row>
        <row r="1212">
          <cell r="T1212" t="str">
            <v>Late Night</v>
          </cell>
        </row>
        <row r="1213">
          <cell r="T1213" t="str">
            <v>Early Prime</v>
          </cell>
        </row>
        <row r="1214">
          <cell r="T1214" t="str">
            <v>Late Night</v>
          </cell>
        </row>
        <row r="1215">
          <cell r="T1215" t="str">
            <v>Morning</v>
          </cell>
        </row>
        <row r="1216">
          <cell r="T1216" t="str">
            <v>Early Prime</v>
          </cell>
        </row>
        <row r="1217">
          <cell r="T1217" t="str">
            <v>Afternoon</v>
          </cell>
        </row>
        <row r="1218">
          <cell r="T1218" t="str">
            <v>Early Prime</v>
          </cell>
        </row>
        <row r="1219">
          <cell r="T1219" t="str">
            <v>Late Night</v>
          </cell>
        </row>
        <row r="1220">
          <cell r="T1220" t="str">
            <v>Morning</v>
          </cell>
        </row>
        <row r="1221">
          <cell r="T1221" t="str">
            <v>Morning</v>
          </cell>
        </row>
        <row r="1222">
          <cell r="T1222" t="str">
            <v>Morning</v>
          </cell>
        </row>
        <row r="1223">
          <cell r="T1223" t="str">
            <v>Afternoon</v>
          </cell>
        </row>
        <row r="1224">
          <cell r="T1224" t="str">
            <v>Late Night</v>
          </cell>
        </row>
        <row r="1225">
          <cell r="T1225" t="str">
            <v>Prime</v>
          </cell>
        </row>
        <row r="1226">
          <cell r="T1226" t="str">
            <v>Afternoon</v>
          </cell>
        </row>
        <row r="1227">
          <cell r="T1227" t="str">
            <v>Late Night</v>
          </cell>
        </row>
        <row r="1228">
          <cell r="T1228" t="str">
            <v>Early Prime</v>
          </cell>
        </row>
        <row r="1229">
          <cell r="T1229" t="str">
            <v>Early Prime</v>
          </cell>
        </row>
        <row r="1230">
          <cell r="T1230" t="str">
            <v>Morning</v>
          </cell>
        </row>
        <row r="1231">
          <cell r="T1231" t="str">
            <v>Late Night</v>
          </cell>
        </row>
        <row r="1232">
          <cell r="T1232" t="str">
            <v>Morning</v>
          </cell>
        </row>
        <row r="1233">
          <cell r="T1233" t="str">
            <v>Prime</v>
          </cell>
        </row>
        <row r="1234">
          <cell r="T1234" t="str">
            <v>Prime</v>
          </cell>
        </row>
        <row r="1235">
          <cell r="T1235" t="str">
            <v>Late Night</v>
          </cell>
        </row>
        <row r="1236">
          <cell r="T1236" t="str">
            <v>Lunch</v>
          </cell>
        </row>
        <row r="1237">
          <cell r="T1237" t="str">
            <v>Prime</v>
          </cell>
        </row>
        <row r="1238">
          <cell r="T1238" t="str">
            <v>Morning</v>
          </cell>
        </row>
        <row r="1239">
          <cell r="T1239" t="str">
            <v>Prime</v>
          </cell>
        </row>
        <row r="1240">
          <cell r="T1240" t="str">
            <v>Prime</v>
          </cell>
        </row>
        <row r="1241">
          <cell r="T1241" t="str">
            <v>Prime</v>
          </cell>
        </row>
        <row r="1242">
          <cell r="T1242" t="str">
            <v>Early Prime</v>
          </cell>
        </row>
        <row r="1243">
          <cell r="T1243" t="str">
            <v>Prime</v>
          </cell>
        </row>
        <row r="1244">
          <cell r="T1244" t="str">
            <v>Prime</v>
          </cell>
        </row>
        <row r="1245">
          <cell r="T1245" t="str">
            <v>Prime</v>
          </cell>
        </row>
        <row r="1246">
          <cell r="T1246" t="str">
            <v>Afternoon</v>
          </cell>
        </row>
        <row r="1247">
          <cell r="T1247" t="str">
            <v>Prime</v>
          </cell>
        </row>
        <row r="1248">
          <cell r="T1248" t="str">
            <v>Late Night</v>
          </cell>
        </row>
        <row r="1249">
          <cell r="T1249" t="str">
            <v>Late Night</v>
          </cell>
        </row>
        <row r="1250">
          <cell r="T1250" t="str">
            <v>Early Prime</v>
          </cell>
        </row>
        <row r="1251">
          <cell r="T1251" t="str">
            <v>Late Night</v>
          </cell>
        </row>
        <row r="1252">
          <cell r="T1252" t="str">
            <v>Prime</v>
          </cell>
        </row>
        <row r="1253">
          <cell r="T1253" t="str">
            <v>Late Night</v>
          </cell>
        </row>
        <row r="1254">
          <cell r="T1254" t="str">
            <v>Afternoon</v>
          </cell>
        </row>
        <row r="1255">
          <cell r="T1255" t="str">
            <v>Prime</v>
          </cell>
        </row>
        <row r="1256">
          <cell r="T1256" t="str">
            <v>Afternoon</v>
          </cell>
        </row>
        <row r="1257">
          <cell r="T1257" t="str">
            <v>Late Night</v>
          </cell>
        </row>
        <row r="1258">
          <cell r="T1258" t="str">
            <v>Prime</v>
          </cell>
        </row>
        <row r="1259">
          <cell r="T1259" t="str">
            <v>Afternoon</v>
          </cell>
        </row>
        <row r="1260">
          <cell r="T1260" t="str">
            <v>Morning</v>
          </cell>
        </row>
        <row r="1261">
          <cell r="T1261" t="str">
            <v>Prime</v>
          </cell>
        </row>
        <row r="1262">
          <cell r="T1262" t="str">
            <v>Prime</v>
          </cell>
        </row>
        <row r="1263">
          <cell r="T1263" t="str">
            <v>Lunch</v>
          </cell>
        </row>
        <row r="1264">
          <cell r="T1264" t="str">
            <v>Morning</v>
          </cell>
        </row>
        <row r="1265">
          <cell r="T1265" t="str">
            <v>Morning</v>
          </cell>
        </row>
        <row r="1266">
          <cell r="T1266" t="str">
            <v>Prime</v>
          </cell>
        </row>
        <row r="1267">
          <cell r="T1267" t="str">
            <v>Late Night</v>
          </cell>
        </row>
        <row r="1268">
          <cell r="T1268" t="str">
            <v>Morning</v>
          </cell>
        </row>
        <row r="1269">
          <cell r="T1269" t="str">
            <v>Prime</v>
          </cell>
        </row>
        <row r="1270">
          <cell r="T1270" t="str">
            <v>Late Night</v>
          </cell>
        </row>
        <row r="1271">
          <cell r="T1271" t="str">
            <v>Afternoon</v>
          </cell>
        </row>
        <row r="1272">
          <cell r="T1272" t="str">
            <v>Prime</v>
          </cell>
        </row>
        <row r="1273">
          <cell r="T1273" t="str">
            <v>Late Night</v>
          </cell>
        </row>
        <row r="1274">
          <cell r="T1274" t="str">
            <v>Lunch</v>
          </cell>
        </row>
        <row r="1275">
          <cell r="T1275" t="str">
            <v>Prime</v>
          </cell>
        </row>
        <row r="1276">
          <cell r="T1276" t="str">
            <v>Lunch</v>
          </cell>
        </row>
        <row r="1277">
          <cell r="T1277" t="str">
            <v>Prime</v>
          </cell>
        </row>
        <row r="1278">
          <cell r="T1278" t="str">
            <v>Prime</v>
          </cell>
        </row>
        <row r="1279">
          <cell r="T1279" t="str">
            <v>Afternoon</v>
          </cell>
        </row>
        <row r="1280">
          <cell r="T1280" t="str">
            <v>Prime</v>
          </cell>
        </row>
        <row r="1281">
          <cell r="T1281" t="str">
            <v>Late Night</v>
          </cell>
        </row>
        <row r="1282">
          <cell r="T1282" t="str">
            <v>Late Night</v>
          </cell>
        </row>
        <row r="1283">
          <cell r="T1283" t="str">
            <v>Late Night</v>
          </cell>
        </row>
        <row r="1284">
          <cell r="T1284" t="str">
            <v>Prime</v>
          </cell>
        </row>
        <row r="1285">
          <cell r="T1285" t="str">
            <v>Prime</v>
          </cell>
        </row>
        <row r="1286">
          <cell r="T1286" t="str">
            <v>Morning</v>
          </cell>
        </row>
        <row r="1287">
          <cell r="T1287" t="str">
            <v>Early Prime</v>
          </cell>
        </row>
        <row r="1288">
          <cell r="T1288" t="str">
            <v>Afternoon</v>
          </cell>
        </row>
        <row r="1289">
          <cell r="T1289" t="str">
            <v>Afternoon</v>
          </cell>
        </row>
        <row r="1290">
          <cell r="T1290" t="str">
            <v>Morning</v>
          </cell>
        </row>
        <row r="1291">
          <cell r="T1291" t="str">
            <v>Prime</v>
          </cell>
        </row>
        <row r="1292">
          <cell r="T1292" t="str">
            <v>Lunch</v>
          </cell>
        </row>
        <row r="1293">
          <cell r="T1293" t="str">
            <v>Early Prime</v>
          </cell>
        </row>
        <row r="1294">
          <cell r="T1294" t="str">
            <v>Afternoon</v>
          </cell>
        </row>
        <row r="1295">
          <cell r="T1295" t="str">
            <v>Late Night</v>
          </cell>
        </row>
        <row r="1296">
          <cell r="T1296" t="str">
            <v>Late Night</v>
          </cell>
        </row>
        <row r="1297">
          <cell r="T1297" t="str">
            <v>Prime</v>
          </cell>
        </row>
        <row r="1298">
          <cell r="T1298" t="str">
            <v>Afternoon</v>
          </cell>
        </row>
        <row r="1299">
          <cell r="T1299" t="str">
            <v>Prime</v>
          </cell>
        </row>
        <row r="1300">
          <cell r="T1300" t="str">
            <v>Prime</v>
          </cell>
        </row>
        <row r="1301">
          <cell r="T1301" t="str">
            <v>Lunch</v>
          </cell>
        </row>
        <row r="1302">
          <cell r="T1302" t="str">
            <v>Late Night</v>
          </cell>
        </row>
        <row r="1303">
          <cell r="T1303" t="str">
            <v>Prime</v>
          </cell>
        </row>
        <row r="1304">
          <cell r="T1304" t="str">
            <v>Morning</v>
          </cell>
        </row>
        <row r="1305">
          <cell r="T1305" t="str">
            <v>Late Night</v>
          </cell>
        </row>
        <row r="1306">
          <cell r="T1306" t="str">
            <v>Early Prime</v>
          </cell>
        </row>
        <row r="1307">
          <cell r="T1307" t="str">
            <v>Morning</v>
          </cell>
        </row>
        <row r="1308">
          <cell r="T1308" t="str">
            <v>Prime</v>
          </cell>
        </row>
        <row r="1309">
          <cell r="T1309" t="str">
            <v>Prime</v>
          </cell>
        </row>
        <row r="1310">
          <cell r="T1310" t="str">
            <v>Late Night</v>
          </cell>
        </row>
        <row r="1311">
          <cell r="T1311" t="str">
            <v>Prime</v>
          </cell>
        </row>
        <row r="1312">
          <cell r="T1312" t="str">
            <v>Prime</v>
          </cell>
        </row>
        <row r="1313">
          <cell r="T1313" t="str">
            <v>Prime</v>
          </cell>
        </row>
        <row r="1314">
          <cell r="T1314" t="str">
            <v>Prime</v>
          </cell>
        </row>
        <row r="1315">
          <cell r="T1315" t="str">
            <v>Prime</v>
          </cell>
        </row>
        <row r="1316">
          <cell r="T1316" t="str">
            <v>Late Night</v>
          </cell>
        </row>
        <row r="1317">
          <cell r="T1317" t="str">
            <v>Morning</v>
          </cell>
        </row>
        <row r="1318">
          <cell r="T1318" t="str">
            <v>Lunch</v>
          </cell>
        </row>
        <row r="1319">
          <cell r="T1319" t="str">
            <v>Morning</v>
          </cell>
        </row>
        <row r="1320">
          <cell r="T1320" t="str">
            <v>Late Night</v>
          </cell>
        </row>
        <row r="1321">
          <cell r="T1321" t="str">
            <v>Prime</v>
          </cell>
        </row>
        <row r="1322">
          <cell r="T1322" t="str">
            <v>Morning</v>
          </cell>
        </row>
        <row r="1323">
          <cell r="T1323" t="str">
            <v>Afternoon</v>
          </cell>
        </row>
        <row r="1324">
          <cell r="T1324" t="str">
            <v>Morning</v>
          </cell>
        </row>
        <row r="1325">
          <cell r="T1325" t="str">
            <v>Early Prime</v>
          </cell>
        </row>
        <row r="1326">
          <cell r="T1326" t="str">
            <v>Afternoon</v>
          </cell>
        </row>
        <row r="1327">
          <cell r="T1327" t="str">
            <v>Prime</v>
          </cell>
        </row>
        <row r="1328">
          <cell r="T1328" t="str">
            <v>Late Night</v>
          </cell>
        </row>
        <row r="1329">
          <cell r="T1329" t="str">
            <v>Morning</v>
          </cell>
        </row>
      </sheetData>
      <sheetData sheetId="1">
        <row r="14">
          <cell r="T14" t="str">
            <v>Late Night</v>
          </cell>
        </row>
      </sheetData>
      <sheetData sheetId="2">
        <row r="14">
          <cell r="T14" t="str">
            <v>Late Night</v>
          </cell>
        </row>
      </sheetData>
      <sheetData sheetId="3">
        <row r="14">
          <cell r="T14" t="str">
            <v>Late Night</v>
          </cell>
        </row>
      </sheetData>
      <sheetData sheetId="4">
        <row r="14">
          <cell r="T14" t="str">
            <v>Late Night</v>
          </cell>
        </row>
      </sheetData>
      <sheetData sheetId="5">
        <row r="14">
          <cell r="T14" t="str">
            <v>Late Night</v>
          </cell>
        </row>
      </sheetData>
      <sheetData sheetId="6">
        <row r="14">
          <cell r="T14" t="str">
            <v>Late Night</v>
          </cell>
        </row>
      </sheetData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ionale"/>
      <sheetName val="silkepilPOST"/>
      <sheetName val="actualsilkepil"/>
      <sheetName val="Sheet1"/>
      <sheetName val="tv spot list"/>
      <sheetName val="TGRT Mutabakat"/>
      <sheetName val="FATURA MUTABAKATI"/>
      <sheetName val="post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jital Plan Özeti"/>
      <sheetName val="Dijital Plan"/>
      <sheetName val="Keyword List &amp; Facebook Kitle"/>
      <sheetName val="Influencer Hedef Kitle"/>
    </sheetNames>
    <sheetDataSet>
      <sheetData sheetId="0"/>
      <sheetData sheetId="1"/>
      <sheetData sheetId="2"/>
      <sheetData sheetId="3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İLGİLER"/>
      <sheetName val="TARIFE"/>
      <sheetName val="FIYAT"/>
      <sheetName val="post"/>
      <sheetName val="pre1"/>
      <sheetName val="tv spot list"/>
      <sheetName val="rezervasyon"/>
      <sheetName val="iptal"/>
      <sheetName val="grptakip"/>
      <sheetName val="ödeme"/>
      <sheetName val="tv ödeme"/>
      <sheetName val="faturabilgi"/>
      <sheetName val=" Dergi"/>
    </sheetNames>
    <sheetDataSet>
      <sheetData sheetId="0">
        <row r="13">
          <cell r="D13" t="str">
            <v>Saniye</v>
          </cell>
        </row>
      </sheetData>
      <sheetData sheetId="1">
        <row r="13">
          <cell r="D13" t="str">
            <v>Saniye</v>
          </cell>
        </row>
      </sheetData>
      <sheetData sheetId="2">
        <row r="13">
          <cell r="D13" t="str">
            <v>Saniye</v>
          </cell>
        </row>
      </sheetData>
      <sheetData sheetId="3">
        <row r="13">
          <cell r="D13" t="str">
            <v>Saniye</v>
          </cell>
        </row>
      </sheetData>
      <sheetData sheetId="4">
        <row r="13">
          <cell r="D13" t="str">
            <v>Saniye</v>
          </cell>
        </row>
      </sheetData>
      <sheetData sheetId="5">
        <row r="13">
          <cell r="D13" t="str">
            <v>Saniye</v>
          </cell>
          <cell r="AB13" t="str">
            <v>Net Tutar</v>
          </cell>
          <cell r="AE13" t="str">
            <v>Selected</v>
          </cell>
        </row>
        <row r="14">
          <cell r="D14">
            <v>12</v>
          </cell>
          <cell r="AB14">
            <v>575.28899999999999</v>
          </cell>
        </row>
        <row r="15">
          <cell r="D15">
            <v>12</v>
          </cell>
          <cell r="AB15">
            <v>1053.3000000000002</v>
          </cell>
        </row>
        <row r="16">
          <cell r="D16">
            <v>12</v>
          </cell>
          <cell r="AB16">
            <v>295.72399999999999</v>
          </cell>
        </row>
        <row r="17">
          <cell r="D17">
            <v>12</v>
          </cell>
          <cell r="AB17">
            <v>123.55200000000002</v>
          </cell>
        </row>
        <row r="18">
          <cell r="D18">
            <v>12</v>
          </cell>
          <cell r="AB18">
            <v>105.60000000000001</v>
          </cell>
        </row>
        <row r="19">
          <cell r="D19">
            <v>12</v>
          </cell>
          <cell r="AB19">
            <v>311.45400000000001</v>
          </cell>
        </row>
        <row r="20">
          <cell r="D20">
            <v>12</v>
          </cell>
          <cell r="AB20">
            <v>428.47200000000004</v>
          </cell>
        </row>
        <row r="21">
          <cell r="D21">
            <v>12</v>
          </cell>
          <cell r="AB21">
            <v>264</v>
          </cell>
          <cell r="AE21">
            <v>1</v>
          </cell>
        </row>
        <row r="22">
          <cell r="D22">
            <v>12</v>
          </cell>
          <cell r="AB22">
            <v>525.096</v>
          </cell>
        </row>
        <row r="23">
          <cell r="D23">
            <v>12</v>
          </cell>
          <cell r="AB23">
            <v>989.7030000000002</v>
          </cell>
        </row>
        <row r="24">
          <cell r="D24">
            <v>12</v>
          </cell>
          <cell r="AB24">
            <v>262.548</v>
          </cell>
        </row>
        <row r="25">
          <cell r="D25">
            <v>12</v>
          </cell>
          <cell r="AB25">
            <v>456.50000000000006</v>
          </cell>
        </row>
        <row r="26">
          <cell r="D26">
            <v>12</v>
          </cell>
          <cell r="AB26">
            <v>191.4</v>
          </cell>
        </row>
        <row r="27">
          <cell r="D27">
            <v>12</v>
          </cell>
          <cell r="AB27">
            <v>374.82499999999999</v>
          </cell>
        </row>
        <row r="28">
          <cell r="D28">
            <v>12</v>
          </cell>
          <cell r="AB28">
            <v>276.375</v>
          </cell>
        </row>
        <row r="29">
          <cell r="D29">
            <v>12</v>
          </cell>
          <cell r="AB29">
            <v>178.2</v>
          </cell>
        </row>
        <row r="30">
          <cell r="D30">
            <v>12</v>
          </cell>
          <cell r="AB30">
            <v>158.4</v>
          </cell>
        </row>
        <row r="31">
          <cell r="D31">
            <v>12</v>
          </cell>
          <cell r="AB31">
            <v>205.42500000000001</v>
          </cell>
        </row>
        <row r="32">
          <cell r="D32">
            <v>12</v>
          </cell>
          <cell r="AB32">
            <v>239.25</v>
          </cell>
        </row>
        <row r="33">
          <cell r="D33">
            <v>12</v>
          </cell>
          <cell r="AB33">
            <v>1132.56</v>
          </cell>
        </row>
        <row r="34">
          <cell r="D34">
            <v>12</v>
          </cell>
          <cell r="AB34">
            <v>314.73750000000013</v>
          </cell>
        </row>
        <row r="35">
          <cell r="D35">
            <v>12</v>
          </cell>
          <cell r="AB35">
            <v>528.95700000000011</v>
          </cell>
        </row>
        <row r="36">
          <cell r="D36">
            <v>12</v>
          </cell>
          <cell r="AB36">
            <v>1371.2400000000002</v>
          </cell>
          <cell r="AE36">
            <v>1</v>
          </cell>
        </row>
        <row r="37">
          <cell r="D37">
            <v>12</v>
          </cell>
          <cell r="AB37">
            <v>224.40000000000003</v>
          </cell>
        </row>
        <row r="38">
          <cell r="D38">
            <v>12</v>
          </cell>
          <cell r="AB38">
            <v>242.55</v>
          </cell>
        </row>
        <row r="39">
          <cell r="D39">
            <v>12</v>
          </cell>
          <cell r="AB39">
            <v>193.6</v>
          </cell>
        </row>
        <row r="40">
          <cell r="D40">
            <v>12</v>
          </cell>
          <cell r="AB40">
            <v>298.65000000000003</v>
          </cell>
        </row>
        <row r="41">
          <cell r="D41">
            <v>12</v>
          </cell>
          <cell r="AB41">
            <v>277.20000000000005</v>
          </cell>
        </row>
        <row r="42">
          <cell r="D42">
            <v>12</v>
          </cell>
          <cell r="AB42">
            <v>1285.02</v>
          </cell>
        </row>
        <row r="43">
          <cell r="D43">
            <v>12</v>
          </cell>
          <cell r="AB43">
            <v>383.625</v>
          </cell>
        </row>
        <row r="44">
          <cell r="D44">
            <v>12</v>
          </cell>
          <cell r="AB44">
            <v>99</v>
          </cell>
        </row>
        <row r="45">
          <cell r="D45">
            <v>12</v>
          </cell>
          <cell r="AB45">
            <v>233.20000000000005</v>
          </cell>
        </row>
        <row r="46">
          <cell r="D46">
            <v>12</v>
          </cell>
          <cell r="AB46">
            <v>46.2</v>
          </cell>
        </row>
        <row r="47">
          <cell r="D47">
            <v>12</v>
          </cell>
          <cell r="AB47">
            <v>59.400000000000013</v>
          </cell>
        </row>
        <row r="48">
          <cell r="D48">
            <v>12</v>
          </cell>
          <cell r="AB48">
            <v>30.800000000000008</v>
          </cell>
        </row>
        <row r="49">
          <cell r="D49">
            <v>12</v>
          </cell>
          <cell r="AB49">
            <v>175.03200000000004</v>
          </cell>
        </row>
        <row r="50">
          <cell r="D50">
            <v>12</v>
          </cell>
          <cell r="AB50">
            <v>172.45800000000003</v>
          </cell>
        </row>
        <row r="51">
          <cell r="D51">
            <v>12</v>
          </cell>
          <cell r="AB51">
            <v>178.46400000000003</v>
          </cell>
        </row>
        <row r="52">
          <cell r="D52">
            <v>12</v>
          </cell>
          <cell r="AB52">
            <v>267.69600000000003</v>
          </cell>
        </row>
        <row r="53">
          <cell r="D53">
            <v>12</v>
          </cell>
          <cell r="AB53">
            <v>251.625</v>
          </cell>
        </row>
        <row r="54">
          <cell r="D54">
            <v>12</v>
          </cell>
          <cell r="AB54">
            <v>193.6</v>
          </cell>
        </row>
        <row r="55">
          <cell r="D55">
            <v>12</v>
          </cell>
          <cell r="AB55">
            <v>1176.1200000000003</v>
          </cell>
        </row>
        <row r="56">
          <cell r="D56">
            <v>12</v>
          </cell>
          <cell r="AB56">
            <v>1245.816</v>
          </cell>
        </row>
        <row r="57">
          <cell r="D57">
            <v>12</v>
          </cell>
          <cell r="AB57">
            <v>552.55199999999991</v>
          </cell>
        </row>
        <row r="58">
          <cell r="D58">
            <v>12</v>
          </cell>
          <cell r="AB58">
            <v>336.6</v>
          </cell>
        </row>
        <row r="59">
          <cell r="D59">
            <v>12</v>
          </cell>
          <cell r="AB59">
            <v>211.20000000000002</v>
          </cell>
        </row>
        <row r="60">
          <cell r="D60">
            <v>12</v>
          </cell>
          <cell r="AB60">
            <v>776.87999999999988</v>
          </cell>
          <cell r="AE60">
            <v>1</v>
          </cell>
        </row>
        <row r="61">
          <cell r="D61">
            <v>12</v>
          </cell>
          <cell r="AB61">
            <v>249.70000000000005</v>
          </cell>
        </row>
        <row r="62">
          <cell r="D62">
            <v>12</v>
          </cell>
          <cell r="AB62">
            <v>211.20000000000005</v>
          </cell>
        </row>
        <row r="63">
          <cell r="D63">
            <v>12</v>
          </cell>
          <cell r="AB63">
            <v>178.20000000000002</v>
          </cell>
        </row>
        <row r="64">
          <cell r="D64">
            <v>12</v>
          </cell>
          <cell r="AB64">
            <v>2315.94</v>
          </cell>
        </row>
        <row r="65">
          <cell r="D65">
            <v>12</v>
          </cell>
          <cell r="AB65">
            <v>1361.88</v>
          </cell>
          <cell r="AE65">
            <v>1</v>
          </cell>
        </row>
        <row r="66">
          <cell r="D66">
            <v>12</v>
          </cell>
          <cell r="AB66">
            <v>199.65000000000003</v>
          </cell>
        </row>
        <row r="67">
          <cell r="D67">
            <v>12</v>
          </cell>
          <cell r="AB67">
            <v>209.55</v>
          </cell>
        </row>
        <row r="68">
          <cell r="D68">
            <v>12</v>
          </cell>
          <cell r="AB68">
            <v>105.60000000000001</v>
          </cell>
        </row>
        <row r="69">
          <cell r="D69">
            <v>12</v>
          </cell>
          <cell r="AB69">
            <v>162.16200000000001</v>
          </cell>
        </row>
        <row r="70">
          <cell r="D70">
            <v>12</v>
          </cell>
          <cell r="AB70">
            <v>159.58800000000002</v>
          </cell>
        </row>
        <row r="71">
          <cell r="D71">
            <v>12</v>
          </cell>
          <cell r="AB71">
            <v>556.05000000000007</v>
          </cell>
        </row>
        <row r="72">
          <cell r="D72">
            <v>12</v>
          </cell>
          <cell r="AB72">
            <v>1773.8600000000001</v>
          </cell>
        </row>
        <row r="73">
          <cell r="D73">
            <v>12</v>
          </cell>
          <cell r="AB73">
            <v>198</v>
          </cell>
        </row>
        <row r="74">
          <cell r="D74">
            <v>12</v>
          </cell>
          <cell r="AB74">
            <v>396</v>
          </cell>
        </row>
        <row r="75">
          <cell r="D75">
            <v>12</v>
          </cell>
          <cell r="AB75">
            <v>1289.9700000000003</v>
          </cell>
        </row>
        <row r="76">
          <cell r="D76">
            <v>12</v>
          </cell>
          <cell r="AB76">
            <v>159.58800000000002</v>
          </cell>
        </row>
        <row r="77">
          <cell r="D77">
            <v>12</v>
          </cell>
          <cell r="AB77">
            <v>206.25</v>
          </cell>
        </row>
        <row r="78">
          <cell r="D78">
            <v>12</v>
          </cell>
          <cell r="AB78">
            <v>1228.08</v>
          </cell>
          <cell r="AE78">
            <v>1</v>
          </cell>
        </row>
        <row r="79">
          <cell r="D79">
            <v>12</v>
          </cell>
          <cell r="AB79">
            <v>193.04999999999998</v>
          </cell>
        </row>
        <row r="80">
          <cell r="D80">
            <v>12</v>
          </cell>
          <cell r="AB80">
            <v>214.5</v>
          </cell>
        </row>
        <row r="81">
          <cell r="D81">
            <v>12</v>
          </cell>
          <cell r="AB81">
            <v>194.15000000000003</v>
          </cell>
        </row>
        <row r="82">
          <cell r="D82">
            <v>12</v>
          </cell>
          <cell r="AB82">
            <v>197.17499999999998</v>
          </cell>
        </row>
        <row r="83">
          <cell r="D83">
            <v>12</v>
          </cell>
          <cell r="AB83">
            <v>1577.4</v>
          </cell>
          <cell r="AE83">
            <v>1</v>
          </cell>
        </row>
        <row r="84">
          <cell r="D84">
            <v>12</v>
          </cell>
          <cell r="AB84">
            <v>376.86000000000007</v>
          </cell>
        </row>
        <row r="85">
          <cell r="D85">
            <v>12</v>
          </cell>
          <cell r="AB85">
            <v>2315.94</v>
          </cell>
        </row>
        <row r="86">
          <cell r="D86">
            <v>12</v>
          </cell>
          <cell r="AB86">
            <v>534.10500000000002</v>
          </cell>
        </row>
        <row r="87">
          <cell r="D87">
            <v>12</v>
          </cell>
          <cell r="AB87">
            <v>693</v>
          </cell>
          <cell r="AE87">
            <v>1</v>
          </cell>
        </row>
        <row r="88">
          <cell r="D88">
            <v>12</v>
          </cell>
          <cell r="AB88">
            <v>1736.0475000000001</v>
          </cell>
        </row>
        <row r="89">
          <cell r="D89">
            <v>12</v>
          </cell>
          <cell r="AB89">
            <v>1773.8600000000001</v>
          </cell>
        </row>
        <row r="90">
          <cell r="D90">
            <v>12</v>
          </cell>
          <cell r="AB90">
            <v>0</v>
          </cell>
        </row>
        <row r="91">
          <cell r="D91">
            <v>12</v>
          </cell>
          <cell r="AB91">
            <v>0</v>
          </cell>
        </row>
        <row r="92">
          <cell r="D92">
            <v>12</v>
          </cell>
          <cell r="AB92">
            <v>1765.7640000000001</v>
          </cell>
        </row>
        <row r="93">
          <cell r="D93">
            <v>12</v>
          </cell>
          <cell r="AB93">
            <v>209.55</v>
          </cell>
        </row>
        <row r="94">
          <cell r="D94">
            <v>12</v>
          </cell>
          <cell r="AB94">
            <v>510</v>
          </cell>
          <cell r="AE94">
            <v>1</v>
          </cell>
        </row>
        <row r="95">
          <cell r="D95">
            <v>12</v>
          </cell>
          <cell r="AB95">
            <v>193.05</v>
          </cell>
        </row>
        <row r="96">
          <cell r="D96">
            <v>12</v>
          </cell>
          <cell r="AB96">
            <v>1178.8920000000001</v>
          </cell>
        </row>
        <row r="97">
          <cell r="D97">
            <v>12</v>
          </cell>
          <cell r="AB97">
            <v>508.36499999999995</v>
          </cell>
        </row>
        <row r="98">
          <cell r="D98">
            <v>12</v>
          </cell>
          <cell r="AB98">
            <v>580.79999999999995</v>
          </cell>
        </row>
        <row r="99">
          <cell r="D99">
            <v>12</v>
          </cell>
          <cell r="AB99">
            <v>367.12499999999994</v>
          </cell>
        </row>
        <row r="100">
          <cell r="D100">
            <v>12</v>
          </cell>
          <cell r="AB100">
            <v>369.6</v>
          </cell>
        </row>
        <row r="101">
          <cell r="D101">
            <v>12</v>
          </cell>
          <cell r="AB101">
            <v>221.10000000000005</v>
          </cell>
        </row>
        <row r="102">
          <cell r="D102">
            <v>12</v>
          </cell>
          <cell r="AB102">
            <v>234.3</v>
          </cell>
        </row>
        <row r="103">
          <cell r="D103">
            <v>12</v>
          </cell>
          <cell r="AB103">
            <v>180.00000000000722</v>
          </cell>
          <cell r="AE103">
            <v>1</v>
          </cell>
        </row>
        <row r="104">
          <cell r="D104">
            <v>12</v>
          </cell>
          <cell r="AB104">
            <v>217.8</v>
          </cell>
        </row>
        <row r="105">
          <cell r="D105">
            <v>12</v>
          </cell>
          <cell r="AB105">
            <v>1506.45</v>
          </cell>
        </row>
        <row r="106">
          <cell r="D106">
            <v>12</v>
          </cell>
          <cell r="AB106">
            <v>226.7294117647059</v>
          </cell>
        </row>
        <row r="107">
          <cell r="D107">
            <v>12</v>
          </cell>
          <cell r="AB107">
            <v>118.80000000000001</v>
          </cell>
        </row>
        <row r="108">
          <cell r="D108">
            <v>12</v>
          </cell>
          <cell r="AB108">
            <v>33</v>
          </cell>
        </row>
        <row r="109">
          <cell r="D109">
            <v>12</v>
          </cell>
          <cell r="AB109">
            <v>295.1520000000001</v>
          </cell>
        </row>
        <row r="110">
          <cell r="D110">
            <v>12</v>
          </cell>
          <cell r="AB110">
            <v>555.98400000000004</v>
          </cell>
        </row>
        <row r="111">
          <cell r="D111">
            <v>12</v>
          </cell>
          <cell r="AB111">
            <v>118.80000000000001</v>
          </cell>
        </row>
        <row r="112">
          <cell r="D112">
            <v>12</v>
          </cell>
          <cell r="AB112">
            <v>226.7294117647059</v>
          </cell>
        </row>
        <row r="113">
          <cell r="D113">
            <v>12</v>
          </cell>
          <cell r="AB113">
            <v>180.00000000000722</v>
          </cell>
          <cell r="AE113">
            <v>1</v>
          </cell>
        </row>
        <row r="114">
          <cell r="D114">
            <v>12</v>
          </cell>
          <cell r="AB114">
            <v>207.90000000000003</v>
          </cell>
        </row>
        <row r="115">
          <cell r="D115">
            <v>12</v>
          </cell>
          <cell r="AB115">
            <v>217.8</v>
          </cell>
        </row>
        <row r="116">
          <cell r="D116">
            <v>12</v>
          </cell>
          <cell r="AB116">
            <v>1736.0475000000001</v>
          </cell>
        </row>
        <row r="117">
          <cell r="D117">
            <v>12</v>
          </cell>
          <cell r="AB117">
            <v>1352.6370000000002</v>
          </cell>
        </row>
        <row r="118">
          <cell r="D118">
            <v>12</v>
          </cell>
          <cell r="AB118">
            <v>534.10500000000002</v>
          </cell>
        </row>
        <row r="119">
          <cell r="D119">
            <v>12</v>
          </cell>
          <cell r="AB119">
            <v>396</v>
          </cell>
        </row>
        <row r="120">
          <cell r="D120">
            <v>12</v>
          </cell>
          <cell r="AB120">
            <v>376.86000000000007</v>
          </cell>
        </row>
        <row r="121">
          <cell r="D121">
            <v>12</v>
          </cell>
          <cell r="AB121">
            <v>312.40000000000003</v>
          </cell>
        </row>
        <row r="122">
          <cell r="D122">
            <v>12</v>
          </cell>
          <cell r="AB122">
            <v>197.17499999999998</v>
          </cell>
        </row>
        <row r="123">
          <cell r="D123">
            <v>12</v>
          </cell>
          <cell r="AB123">
            <v>194.15000000000003</v>
          </cell>
        </row>
        <row r="124">
          <cell r="D124">
            <v>12</v>
          </cell>
          <cell r="AB124">
            <v>1350.3600000000001</v>
          </cell>
        </row>
        <row r="125">
          <cell r="D125">
            <v>12</v>
          </cell>
          <cell r="AB125">
            <v>193.04999999999998</v>
          </cell>
        </row>
        <row r="126">
          <cell r="D126">
            <v>12</v>
          </cell>
          <cell r="AB126">
            <v>1550.0099999999998</v>
          </cell>
        </row>
        <row r="127">
          <cell r="D127">
            <v>12</v>
          </cell>
          <cell r="AB127">
            <v>167.2</v>
          </cell>
        </row>
        <row r="128">
          <cell r="D128">
            <v>12</v>
          </cell>
          <cell r="AB128">
            <v>206.25</v>
          </cell>
        </row>
        <row r="129">
          <cell r="D129">
            <v>12</v>
          </cell>
          <cell r="AB129">
            <v>105.60000000000001</v>
          </cell>
        </row>
        <row r="130">
          <cell r="D130">
            <v>12</v>
          </cell>
          <cell r="AB130">
            <v>555.98400000000004</v>
          </cell>
        </row>
        <row r="131">
          <cell r="D131">
            <v>12</v>
          </cell>
          <cell r="AB131">
            <v>295.1520000000001</v>
          </cell>
        </row>
        <row r="132">
          <cell r="D132">
            <v>12</v>
          </cell>
          <cell r="AB132">
            <v>33</v>
          </cell>
        </row>
        <row r="133">
          <cell r="D133">
            <v>12</v>
          </cell>
          <cell r="AB133">
            <v>3142.6725000000006</v>
          </cell>
        </row>
        <row r="134">
          <cell r="D134">
            <v>12</v>
          </cell>
          <cell r="AB134">
            <v>207.90000000000003</v>
          </cell>
        </row>
        <row r="135">
          <cell r="D135">
            <v>12</v>
          </cell>
          <cell r="AB135">
            <v>214.5</v>
          </cell>
        </row>
        <row r="136">
          <cell r="D136">
            <v>12</v>
          </cell>
          <cell r="AB136">
            <v>38.775000000000006</v>
          </cell>
        </row>
        <row r="137">
          <cell r="D137">
            <v>12</v>
          </cell>
          <cell r="AB137">
            <v>245.30000000000004</v>
          </cell>
        </row>
        <row r="138">
          <cell r="D138">
            <v>12</v>
          </cell>
          <cell r="AB138">
            <v>190.29999999999998</v>
          </cell>
        </row>
        <row r="139">
          <cell r="D139">
            <v>12</v>
          </cell>
          <cell r="AB139">
            <v>107.25</v>
          </cell>
        </row>
        <row r="140">
          <cell r="D140">
            <v>12</v>
          </cell>
          <cell r="AB140">
            <v>217.79999999999998</v>
          </cell>
        </row>
        <row r="141">
          <cell r="D141">
            <v>12</v>
          </cell>
          <cell r="AB141">
            <v>370.42499999999995</v>
          </cell>
        </row>
        <row r="142">
          <cell r="D142">
            <v>12</v>
          </cell>
          <cell r="AB142">
            <v>391.875</v>
          </cell>
        </row>
        <row r="143">
          <cell r="D143">
            <v>12</v>
          </cell>
          <cell r="AB143">
            <v>431.88750000000005</v>
          </cell>
        </row>
        <row r="144">
          <cell r="D144">
            <v>12</v>
          </cell>
          <cell r="AB144">
            <v>193.05</v>
          </cell>
        </row>
        <row r="145">
          <cell r="D145">
            <v>12</v>
          </cell>
          <cell r="AB145">
            <v>39.6</v>
          </cell>
        </row>
        <row r="146">
          <cell r="D146">
            <v>12</v>
          </cell>
          <cell r="AB146">
            <v>238.70000000000007</v>
          </cell>
        </row>
        <row r="147">
          <cell r="D147">
            <v>12</v>
          </cell>
          <cell r="AB147">
            <v>37.125</v>
          </cell>
        </row>
        <row r="148">
          <cell r="D148">
            <v>12</v>
          </cell>
          <cell r="AB148">
            <v>178.46400000000003</v>
          </cell>
        </row>
        <row r="149">
          <cell r="D149">
            <v>12</v>
          </cell>
          <cell r="AB149">
            <v>267.69600000000003</v>
          </cell>
        </row>
        <row r="150">
          <cell r="D150">
            <v>12</v>
          </cell>
          <cell r="AB150">
            <v>394.68</v>
          </cell>
        </row>
        <row r="151">
          <cell r="D151">
            <v>12</v>
          </cell>
          <cell r="AB151">
            <v>306.30600000000004</v>
          </cell>
        </row>
        <row r="152">
          <cell r="D152">
            <v>12</v>
          </cell>
          <cell r="AB152">
            <v>1384.4160000000002</v>
          </cell>
        </row>
        <row r="153">
          <cell r="D153">
            <v>12</v>
          </cell>
          <cell r="AB153">
            <v>1253.4025263157896</v>
          </cell>
        </row>
        <row r="154">
          <cell r="D154">
            <v>12</v>
          </cell>
          <cell r="AB154">
            <v>812.90000000000009</v>
          </cell>
        </row>
        <row r="155">
          <cell r="D155">
            <v>12</v>
          </cell>
          <cell r="AB155">
            <v>209</v>
          </cell>
        </row>
        <row r="156">
          <cell r="D156">
            <v>12</v>
          </cell>
          <cell r="AB156">
            <v>600.00000000000978</v>
          </cell>
          <cell r="AE156">
            <v>1</v>
          </cell>
        </row>
        <row r="157">
          <cell r="D157">
            <v>12</v>
          </cell>
          <cell r="AB157">
            <v>234.3</v>
          </cell>
        </row>
        <row r="158">
          <cell r="D158">
            <v>12</v>
          </cell>
          <cell r="AB158">
            <v>221.10000000000005</v>
          </cell>
        </row>
        <row r="159">
          <cell r="D159">
            <v>12</v>
          </cell>
          <cell r="AB159">
            <v>291.59999999999138</v>
          </cell>
          <cell r="AE159">
            <v>1</v>
          </cell>
        </row>
        <row r="160">
          <cell r="D160">
            <v>12</v>
          </cell>
          <cell r="AB160">
            <v>367.12499999999994</v>
          </cell>
        </row>
        <row r="161">
          <cell r="D161">
            <v>12</v>
          </cell>
          <cell r="AB161">
            <v>291.59999999999138</v>
          </cell>
          <cell r="AE161">
            <v>1</v>
          </cell>
        </row>
        <row r="162">
          <cell r="D162">
            <v>12</v>
          </cell>
          <cell r="AB162">
            <v>508.36499999999995</v>
          </cell>
        </row>
        <row r="163">
          <cell r="D163">
            <v>12</v>
          </cell>
          <cell r="AB163">
            <v>1178.8920000000001</v>
          </cell>
        </row>
        <row r="164">
          <cell r="D164">
            <v>12</v>
          </cell>
          <cell r="AB164">
            <v>1350.3600000000001</v>
          </cell>
        </row>
        <row r="165">
          <cell r="D165">
            <v>12</v>
          </cell>
          <cell r="AB165">
            <v>254.10000000000002</v>
          </cell>
        </row>
        <row r="166">
          <cell r="D166">
            <v>12</v>
          </cell>
          <cell r="AB166">
            <v>1506.45</v>
          </cell>
        </row>
        <row r="167">
          <cell r="D167">
            <v>12</v>
          </cell>
          <cell r="AB167">
            <v>341</v>
          </cell>
        </row>
        <row r="168">
          <cell r="D168">
            <v>12</v>
          </cell>
          <cell r="AB168">
            <v>1230.3720000000003</v>
          </cell>
        </row>
        <row r="169">
          <cell r="D169">
            <v>12</v>
          </cell>
          <cell r="AB169">
            <v>1596.672</v>
          </cell>
        </row>
        <row r="170">
          <cell r="D170">
            <v>12</v>
          </cell>
          <cell r="AB170">
            <v>291.59999999999138</v>
          </cell>
          <cell r="AE170">
            <v>1</v>
          </cell>
        </row>
        <row r="171">
          <cell r="D171">
            <v>12</v>
          </cell>
          <cell r="AB171">
            <v>1021.8780000000003</v>
          </cell>
        </row>
        <row r="172">
          <cell r="D172">
            <v>12</v>
          </cell>
          <cell r="AB172">
            <v>1076.3999999999999</v>
          </cell>
        </row>
        <row r="173">
          <cell r="D173">
            <v>12</v>
          </cell>
          <cell r="AB173">
            <v>785.06999999999994</v>
          </cell>
        </row>
        <row r="174">
          <cell r="D174">
            <v>12</v>
          </cell>
          <cell r="AB174">
            <v>600</v>
          </cell>
          <cell r="AE174">
            <v>1</v>
          </cell>
        </row>
        <row r="175">
          <cell r="D175">
            <v>12</v>
          </cell>
          <cell r="AB175">
            <v>496.78200000000004</v>
          </cell>
        </row>
        <row r="176">
          <cell r="D176">
            <v>12</v>
          </cell>
          <cell r="AB176">
            <v>1550.0099999999998</v>
          </cell>
        </row>
        <row r="177">
          <cell r="D177">
            <v>12</v>
          </cell>
          <cell r="AB177">
            <v>1049.999999999967</v>
          </cell>
          <cell r="AE177">
            <v>1</v>
          </cell>
        </row>
        <row r="178">
          <cell r="D178">
            <v>12</v>
          </cell>
          <cell r="AB178">
            <v>849.75</v>
          </cell>
        </row>
        <row r="179">
          <cell r="D179">
            <v>12</v>
          </cell>
          <cell r="AB179">
            <v>528.95700000000011</v>
          </cell>
        </row>
        <row r="180">
          <cell r="D180">
            <v>12</v>
          </cell>
          <cell r="AB180">
            <v>330.00000000000006</v>
          </cell>
        </row>
        <row r="181">
          <cell r="D181">
            <v>12</v>
          </cell>
          <cell r="AB181">
            <v>224.40000000000003</v>
          </cell>
        </row>
        <row r="182">
          <cell r="D182">
            <v>12</v>
          </cell>
          <cell r="AB182">
            <v>242.55</v>
          </cell>
        </row>
        <row r="183">
          <cell r="D183">
            <v>12</v>
          </cell>
          <cell r="AB183">
            <v>193.6</v>
          </cell>
        </row>
        <row r="184">
          <cell r="D184">
            <v>12</v>
          </cell>
          <cell r="AB184">
            <v>23.1</v>
          </cell>
        </row>
        <row r="185">
          <cell r="D185">
            <v>12</v>
          </cell>
          <cell r="AB185">
            <v>496.78200000000004</v>
          </cell>
        </row>
        <row r="186">
          <cell r="D186">
            <v>12</v>
          </cell>
          <cell r="AB186">
            <v>251.625</v>
          </cell>
        </row>
        <row r="187">
          <cell r="D187">
            <v>12</v>
          </cell>
          <cell r="AB187">
            <v>1289.9700000000003</v>
          </cell>
        </row>
        <row r="188">
          <cell r="D188">
            <v>12</v>
          </cell>
          <cell r="AB188">
            <v>314.73750000000013</v>
          </cell>
        </row>
        <row r="189">
          <cell r="D189">
            <v>12</v>
          </cell>
          <cell r="AB189">
            <v>233.20000000000005</v>
          </cell>
        </row>
        <row r="190">
          <cell r="D190">
            <v>12</v>
          </cell>
          <cell r="AB190">
            <v>46.2</v>
          </cell>
        </row>
        <row r="191">
          <cell r="D191">
            <v>12</v>
          </cell>
          <cell r="AB191">
            <v>59.400000000000013</v>
          </cell>
        </row>
        <row r="192">
          <cell r="D192">
            <v>12</v>
          </cell>
          <cell r="AB192">
            <v>30.800000000000008</v>
          </cell>
        </row>
        <row r="193">
          <cell r="D193">
            <v>12</v>
          </cell>
          <cell r="AB193">
            <v>175.03200000000004</v>
          </cell>
        </row>
        <row r="194">
          <cell r="D194">
            <v>12</v>
          </cell>
          <cell r="AB194">
            <v>172.45800000000003</v>
          </cell>
        </row>
        <row r="195">
          <cell r="D195">
            <v>12</v>
          </cell>
          <cell r="AB195">
            <v>178.46400000000003</v>
          </cell>
        </row>
        <row r="196">
          <cell r="D196">
            <v>12</v>
          </cell>
          <cell r="AB196">
            <v>303.60000000000002</v>
          </cell>
        </row>
        <row r="197">
          <cell r="D197">
            <v>12</v>
          </cell>
          <cell r="AB197">
            <v>39.6</v>
          </cell>
        </row>
        <row r="198">
          <cell r="D198">
            <v>12</v>
          </cell>
          <cell r="AB198">
            <v>254.10000000000002</v>
          </cell>
        </row>
        <row r="199">
          <cell r="D199">
            <v>12</v>
          </cell>
          <cell r="AB199">
            <v>245.30000000000004</v>
          </cell>
        </row>
        <row r="200">
          <cell r="D200">
            <v>12</v>
          </cell>
          <cell r="AB200">
            <v>190.29999999999998</v>
          </cell>
        </row>
        <row r="201">
          <cell r="D201">
            <v>12</v>
          </cell>
          <cell r="AB201">
            <v>107.25</v>
          </cell>
        </row>
        <row r="202">
          <cell r="D202">
            <v>12</v>
          </cell>
          <cell r="AB202">
            <v>217.79999999999998</v>
          </cell>
        </row>
        <row r="203">
          <cell r="D203">
            <v>12</v>
          </cell>
          <cell r="AB203">
            <v>370.42499999999995</v>
          </cell>
        </row>
        <row r="204">
          <cell r="D204">
            <v>12</v>
          </cell>
          <cell r="AB204">
            <v>86.999999999999986</v>
          </cell>
          <cell r="AE204">
            <v>1</v>
          </cell>
        </row>
        <row r="205">
          <cell r="D205">
            <v>12</v>
          </cell>
          <cell r="AB205">
            <v>1292.1480000000001</v>
          </cell>
        </row>
        <row r="206">
          <cell r="D206">
            <v>12</v>
          </cell>
          <cell r="AB206">
            <v>209</v>
          </cell>
        </row>
        <row r="207">
          <cell r="D207">
            <v>12</v>
          </cell>
          <cell r="AB207">
            <v>525.096</v>
          </cell>
        </row>
        <row r="208">
          <cell r="D208">
            <v>12</v>
          </cell>
          <cell r="AB208">
            <v>38.775000000000006</v>
          </cell>
        </row>
        <row r="209">
          <cell r="D209">
            <v>12</v>
          </cell>
          <cell r="AB209">
            <v>37.125</v>
          </cell>
        </row>
        <row r="210">
          <cell r="D210">
            <v>12</v>
          </cell>
          <cell r="AB210">
            <v>178.46400000000003</v>
          </cell>
        </row>
        <row r="211">
          <cell r="D211">
            <v>12</v>
          </cell>
          <cell r="AB211">
            <v>267.69600000000003</v>
          </cell>
        </row>
        <row r="212">
          <cell r="D212">
            <v>12</v>
          </cell>
          <cell r="AB212">
            <v>394.68</v>
          </cell>
        </row>
        <row r="213">
          <cell r="D213">
            <v>12</v>
          </cell>
          <cell r="AB213">
            <v>306.30600000000004</v>
          </cell>
        </row>
        <row r="214">
          <cell r="D214">
            <v>12</v>
          </cell>
          <cell r="AB214">
            <v>1384.4160000000002</v>
          </cell>
        </row>
        <row r="215">
          <cell r="D215">
            <v>12</v>
          </cell>
          <cell r="AB215">
            <v>1253.4025263157896</v>
          </cell>
        </row>
        <row r="216">
          <cell r="D216">
            <v>12</v>
          </cell>
          <cell r="AB216">
            <v>431.88750000000005</v>
          </cell>
        </row>
        <row r="217">
          <cell r="D217">
            <v>12</v>
          </cell>
          <cell r="AB217">
            <v>3049.2</v>
          </cell>
          <cell r="AE217">
            <v>1</v>
          </cell>
        </row>
        <row r="218">
          <cell r="D218">
            <v>12</v>
          </cell>
          <cell r="AB218">
            <v>178.2</v>
          </cell>
        </row>
        <row r="219">
          <cell r="D219">
            <v>12</v>
          </cell>
          <cell r="AB219">
            <v>158.4</v>
          </cell>
        </row>
        <row r="220">
          <cell r="D220">
            <v>12</v>
          </cell>
          <cell r="AB220">
            <v>205.42500000000001</v>
          </cell>
        </row>
        <row r="221">
          <cell r="D221">
            <v>12</v>
          </cell>
          <cell r="AB221">
            <v>239.25</v>
          </cell>
        </row>
        <row r="222">
          <cell r="D222">
            <v>12</v>
          </cell>
          <cell r="AB222">
            <v>211.20000000000005</v>
          </cell>
        </row>
        <row r="223">
          <cell r="D223">
            <v>12</v>
          </cell>
          <cell r="AB223">
            <v>209.55</v>
          </cell>
        </row>
        <row r="224">
          <cell r="D224">
            <v>12</v>
          </cell>
          <cell r="AB224">
            <v>99</v>
          </cell>
        </row>
        <row r="225">
          <cell r="D225">
            <v>12</v>
          </cell>
          <cell r="AB225">
            <v>267.69600000000003</v>
          </cell>
        </row>
        <row r="226">
          <cell r="D226">
            <v>12</v>
          </cell>
          <cell r="AB226">
            <v>308.88</v>
          </cell>
        </row>
        <row r="227">
          <cell r="D227">
            <v>12</v>
          </cell>
          <cell r="AB227">
            <v>191.4</v>
          </cell>
        </row>
        <row r="228">
          <cell r="D228">
            <v>12</v>
          </cell>
          <cell r="AB228">
            <v>211.20000000000002</v>
          </cell>
        </row>
        <row r="229">
          <cell r="D229">
            <v>12</v>
          </cell>
          <cell r="AB229">
            <v>336.6</v>
          </cell>
        </row>
        <row r="230">
          <cell r="D230">
            <v>12</v>
          </cell>
          <cell r="AB230">
            <v>552.55199999999991</v>
          </cell>
        </row>
        <row r="231">
          <cell r="D231">
            <v>12</v>
          </cell>
          <cell r="AB231">
            <v>1245.816</v>
          </cell>
        </row>
        <row r="232">
          <cell r="D232">
            <v>12</v>
          </cell>
          <cell r="AB232">
            <v>1176.1200000000003</v>
          </cell>
        </row>
        <row r="233">
          <cell r="D233">
            <v>12</v>
          </cell>
          <cell r="AB233">
            <v>285</v>
          </cell>
          <cell r="AE233">
            <v>1</v>
          </cell>
        </row>
        <row r="234">
          <cell r="D234">
            <v>12</v>
          </cell>
          <cell r="AB234">
            <v>2315.94</v>
          </cell>
        </row>
        <row r="235">
          <cell r="D235">
            <v>12</v>
          </cell>
          <cell r="AB235">
            <v>2315.94</v>
          </cell>
        </row>
        <row r="236">
          <cell r="D236">
            <v>12</v>
          </cell>
          <cell r="AB236">
            <v>159.58800000000002</v>
          </cell>
        </row>
        <row r="237">
          <cell r="D237">
            <v>12</v>
          </cell>
          <cell r="AB237">
            <v>249.70000000000005</v>
          </cell>
        </row>
        <row r="238">
          <cell r="D238">
            <v>12</v>
          </cell>
          <cell r="AB238">
            <v>375</v>
          </cell>
          <cell r="AE238">
            <v>1</v>
          </cell>
        </row>
        <row r="239">
          <cell r="D239">
            <v>12</v>
          </cell>
          <cell r="AB239">
            <v>159.58800000000002</v>
          </cell>
        </row>
        <row r="240">
          <cell r="D240">
            <v>12</v>
          </cell>
          <cell r="AB240">
            <v>162.16200000000001</v>
          </cell>
        </row>
        <row r="241">
          <cell r="D241">
            <v>12</v>
          </cell>
          <cell r="AB241">
            <v>105.60000000000001</v>
          </cell>
        </row>
        <row r="242">
          <cell r="D242">
            <v>12</v>
          </cell>
          <cell r="AB242">
            <v>209.55</v>
          </cell>
        </row>
        <row r="243">
          <cell r="D243">
            <v>12</v>
          </cell>
          <cell r="AB243">
            <v>199.65000000000003</v>
          </cell>
        </row>
        <row r="244">
          <cell r="D244">
            <v>12</v>
          </cell>
          <cell r="AB244">
            <v>179.02499999999998</v>
          </cell>
        </row>
        <row r="245">
          <cell r="D245">
            <v>12</v>
          </cell>
          <cell r="AB245">
            <v>193.6</v>
          </cell>
        </row>
        <row r="246">
          <cell r="D246">
            <v>12</v>
          </cell>
          <cell r="AB246">
            <v>276.375</v>
          </cell>
        </row>
        <row r="247">
          <cell r="D247">
            <v>12</v>
          </cell>
          <cell r="AB247">
            <v>198</v>
          </cell>
        </row>
        <row r="248">
          <cell r="D248">
            <v>12</v>
          </cell>
          <cell r="AB248">
            <v>374.82499999999999</v>
          </cell>
        </row>
        <row r="249">
          <cell r="D249">
            <v>12</v>
          </cell>
          <cell r="AB249">
            <v>311.45400000000001</v>
          </cell>
        </row>
        <row r="250">
          <cell r="D250">
            <v>12</v>
          </cell>
          <cell r="AB250">
            <v>428.47200000000004</v>
          </cell>
        </row>
        <row r="251">
          <cell r="D251">
            <v>12</v>
          </cell>
          <cell r="AB251">
            <v>1037.1599999999999</v>
          </cell>
          <cell r="AE251">
            <v>1</v>
          </cell>
        </row>
        <row r="252">
          <cell r="D252">
            <v>12</v>
          </cell>
          <cell r="AB252">
            <v>1132.56</v>
          </cell>
        </row>
        <row r="253">
          <cell r="D253">
            <v>12</v>
          </cell>
          <cell r="AB253">
            <v>989.7030000000002</v>
          </cell>
        </row>
        <row r="254">
          <cell r="D254">
            <v>12</v>
          </cell>
          <cell r="AB254">
            <v>575.28899999999999</v>
          </cell>
        </row>
        <row r="255">
          <cell r="D255">
            <v>12</v>
          </cell>
          <cell r="AB255">
            <v>465</v>
          </cell>
          <cell r="AE255">
            <v>1</v>
          </cell>
        </row>
        <row r="256">
          <cell r="D256">
            <v>12</v>
          </cell>
          <cell r="AB256">
            <v>262.548</v>
          </cell>
        </row>
        <row r="257">
          <cell r="D257">
            <v>12</v>
          </cell>
          <cell r="AB257">
            <v>178.20000000000002</v>
          </cell>
        </row>
        <row r="258">
          <cell r="D258">
            <v>12</v>
          </cell>
          <cell r="AB258">
            <v>193.04999999999998</v>
          </cell>
        </row>
        <row r="259">
          <cell r="D259">
            <v>12</v>
          </cell>
          <cell r="AB259">
            <v>1736.0475000000001</v>
          </cell>
        </row>
        <row r="260">
          <cell r="D260">
            <v>12</v>
          </cell>
          <cell r="AB260">
            <v>501</v>
          </cell>
          <cell r="AE260">
            <v>1</v>
          </cell>
        </row>
        <row r="261">
          <cell r="D261">
            <v>12</v>
          </cell>
          <cell r="AB261">
            <v>534.10500000000002</v>
          </cell>
        </row>
        <row r="262">
          <cell r="D262">
            <v>12</v>
          </cell>
          <cell r="AB262">
            <v>396</v>
          </cell>
        </row>
        <row r="263">
          <cell r="D263">
            <v>12</v>
          </cell>
          <cell r="AB263">
            <v>376.86000000000007</v>
          </cell>
        </row>
        <row r="264">
          <cell r="D264">
            <v>12</v>
          </cell>
          <cell r="AB264">
            <v>312.40000000000003</v>
          </cell>
        </row>
        <row r="265">
          <cell r="D265">
            <v>12</v>
          </cell>
          <cell r="AB265">
            <v>197.17499999999998</v>
          </cell>
        </row>
        <row r="266">
          <cell r="D266">
            <v>12</v>
          </cell>
          <cell r="AB266">
            <v>206.14</v>
          </cell>
        </row>
        <row r="267">
          <cell r="D267">
            <v>12</v>
          </cell>
          <cell r="AB267">
            <v>214.5</v>
          </cell>
        </row>
        <row r="268">
          <cell r="D268">
            <v>12</v>
          </cell>
          <cell r="AB268">
            <v>0</v>
          </cell>
        </row>
        <row r="269">
          <cell r="D269">
            <v>12</v>
          </cell>
          <cell r="AB269">
            <v>217.8</v>
          </cell>
        </row>
        <row r="270">
          <cell r="D270">
            <v>12</v>
          </cell>
          <cell r="AB270">
            <v>167.2</v>
          </cell>
        </row>
        <row r="271">
          <cell r="D271">
            <v>12</v>
          </cell>
          <cell r="AB271">
            <v>206.25</v>
          </cell>
        </row>
        <row r="272">
          <cell r="D272">
            <v>12</v>
          </cell>
          <cell r="AB272">
            <v>105.60000000000001</v>
          </cell>
        </row>
        <row r="273">
          <cell r="D273">
            <v>12</v>
          </cell>
          <cell r="AB273">
            <v>305.44799999999998</v>
          </cell>
        </row>
        <row r="274">
          <cell r="D274">
            <v>12</v>
          </cell>
          <cell r="AB274">
            <v>468.46800000000002</v>
          </cell>
        </row>
        <row r="275">
          <cell r="D275">
            <v>12</v>
          </cell>
          <cell r="AB275">
            <v>99</v>
          </cell>
        </row>
        <row r="276">
          <cell r="D276">
            <v>12</v>
          </cell>
          <cell r="AB276">
            <v>341</v>
          </cell>
        </row>
        <row r="277">
          <cell r="D277">
            <v>12</v>
          </cell>
          <cell r="AB277">
            <v>194.15000000000003</v>
          </cell>
        </row>
        <row r="278">
          <cell r="D278">
            <v>12</v>
          </cell>
          <cell r="AB278">
            <v>206.14</v>
          </cell>
        </row>
        <row r="279">
          <cell r="D279">
            <v>12</v>
          </cell>
          <cell r="AB279">
            <v>291.59999999999138</v>
          </cell>
          <cell r="AE279">
            <v>1</v>
          </cell>
        </row>
        <row r="280">
          <cell r="D280">
            <v>12</v>
          </cell>
          <cell r="AB280">
            <v>507.07800000000003</v>
          </cell>
        </row>
        <row r="281">
          <cell r="D281">
            <v>12</v>
          </cell>
          <cell r="AB281">
            <v>450.00000000001796</v>
          </cell>
          <cell r="AE281">
            <v>1</v>
          </cell>
        </row>
        <row r="282">
          <cell r="D282">
            <v>12</v>
          </cell>
          <cell r="AB282">
            <v>245.85000000000005</v>
          </cell>
        </row>
        <row r="283">
          <cell r="D283">
            <v>12</v>
          </cell>
          <cell r="AB283">
            <v>367.40000000000003</v>
          </cell>
        </row>
        <row r="284">
          <cell r="D284">
            <v>12</v>
          </cell>
          <cell r="AB284">
            <v>191.4</v>
          </cell>
        </row>
        <row r="285">
          <cell r="D285">
            <v>12</v>
          </cell>
          <cell r="AB285">
            <v>162.36000000000001</v>
          </cell>
        </row>
        <row r="286">
          <cell r="D286">
            <v>12</v>
          </cell>
          <cell r="AB286">
            <v>169.95</v>
          </cell>
        </row>
        <row r="287">
          <cell r="D287">
            <v>12</v>
          </cell>
          <cell r="AB287">
            <v>1773.8600000000001</v>
          </cell>
        </row>
        <row r="288">
          <cell r="D288">
            <v>12</v>
          </cell>
          <cell r="AB288">
            <v>202.4</v>
          </cell>
        </row>
        <row r="289">
          <cell r="D289">
            <v>12</v>
          </cell>
          <cell r="AB289">
            <v>0</v>
          </cell>
        </row>
        <row r="290">
          <cell r="D290">
            <v>12</v>
          </cell>
          <cell r="AB290">
            <v>209.55</v>
          </cell>
        </row>
        <row r="291">
          <cell r="D291">
            <v>12</v>
          </cell>
          <cell r="AB291">
            <v>99</v>
          </cell>
        </row>
        <row r="292">
          <cell r="D292">
            <v>12</v>
          </cell>
          <cell r="AB292">
            <v>468.46800000000002</v>
          </cell>
        </row>
        <row r="293">
          <cell r="D293">
            <v>12</v>
          </cell>
          <cell r="AB293">
            <v>305.44799999999998</v>
          </cell>
        </row>
        <row r="294">
          <cell r="D294">
            <v>12</v>
          </cell>
          <cell r="AB294">
            <v>306.30600000000004</v>
          </cell>
        </row>
        <row r="295">
          <cell r="D295">
            <v>12</v>
          </cell>
          <cell r="AB295">
            <v>123.55200000000002</v>
          </cell>
        </row>
        <row r="296">
          <cell r="D296">
            <v>12</v>
          </cell>
          <cell r="AB296">
            <v>180.00000000000722</v>
          </cell>
          <cell r="AE296">
            <v>1</v>
          </cell>
        </row>
        <row r="297">
          <cell r="D297">
            <v>12</v>
          </cell>
          <cell r="AB297">
            <v>202.4</v>
          </cell>
        </row>
        <row r="298">
          <cell r="D298">
            <v>12</v>
          </cell>
          <cell r="AB298">
            <v>192.22499999999997</v>
          </cell>
        </row>
        <row r="299">
          <cell r="D299">
            <v>12</v>
          </cell>
          <cell r="AB299">
            <v>1869.4499999999998</v>
          </cell>
        </row>
        <row r="300">
          <cell r="D300">
            <v>12</v>
          </cell>
          <cell r="AB300">
            <v>207.90000000000003</v>
          </cell>
        </row>
        <row r="301">
          <cell r="D301">
            <v>12</v>
          </cell>
          <cell r="AB301">
            <v>217.8</v>
          </cell>
        </row>
        <row r="302">
          <cell r="D302">
            <v>12</v>
          </cell>
          <cell r="AB302">
            <v>193.05</v>
          </cell>
        </row>
        <row r="303">
          <cell r="D303">
            <v>12</v>
          </cell>
          <cell r="AB303">
            <v>226.7294117647059</v>
          </cell>
        </row>
        <row r="304">
          <cell r="D304">
            <v>12</v>
          </cell>
          <cell r="AB304">
            <v>118.80000000000001</v>
          </cell>
        </row>
        <row r="305">
          <cell r="D305">
            <v>12</v>
          </cell>
          <cell r="AB305">
            <v>33</v>
          </cell>
        </row>
        <row r="306">
          <cell r="D306">
            <v>12</v>
          </cell>
          <cell r="AB306">
            <v>295.1520000000001</v>
          </cell>
        </row>
        <row r="307">
          <cell r="D307">
            <v>12</v>
          </cell>
          <cell r="AB307">
            <v>209.55</v>
          </cell>
        </row>
        <row r="308">
          <cell r="D308">
            <v>12</v>
          </cell>
          <cell r="AB308">
            <v>1425.0000000000032</v>
          </cell>
          <cell r="AE308">
            <v>1</v>
          </cell>
        </row>
        <row r="309">
          <cell r="D309">
            <v>12</v>
          </cell>
          <cell r="AB309">
            <v>369.6</v>
          </cell>
        </row>
        <row r="310">
          <cell r="D310">
            <v>12</v>
          </cell>
          <cell r="AB310">
            <v>1223.3100000000002</v>
          </cell>
        </row>
        <row r="311">
          <cell r="D311">
            <v>12</v>
          </cell>
          <cell r="AB311">
            <v>1230.3720000000003</v>
          </cell>
        </row>
        <row r="312">
          <cell r="D312">
            <v>12</v>
          </cell>
          <cell r="AB312">
            <v>1596.672</v>
          </cell>
        </row>
        <row r="313">
          <cell r="D313">
            <v>12</v>
          </cell>
          <cell r="AB313">
            <v>2399.9999999999982</v>
          </cell>
          <cell r="AE313">
            <v>1</v>
          </cell>
        </row>
        <row r="314">
          <cell r="D314">
            <v>12</v>
          </cell>
          <cell r="AB314">
            <v>1021.8780000000003</v>
          </cell>
        </row>
        <row r="315">
          <cell r="D315">
            <v>12</v>
          </cell>
          <cell r="AB315">
            <v>1158.3000000000002</v>
          </cell>
        </row>
        <row r="316">
          <cell r="D316">
            <v>12</v>
          </cell>
          <cell r="AB316">
            <v>785.06999999999994</v>
          </cell>
        </row>
        <row r="317">
          <cell r="D317">
            <v>12</v>
          </cell>
          <cell r="AB317">
            <v>308.88</v>
          </cell>
        </row>
        <row r="318">
          <cell r="D318">
            <v>12</v>
          </cell>
          <cell r="AB318">
            <v>555.98400000000004</v>
          </cell>
        </row>
        <row r="319">
          <cell r="D319">
            <v>12</v>
          </cell>
          <cell r="AB319">
            <v>3142.6725000000006</v>
          </cell>
        </row>
        <row r="320">
          <cell r="D320">
            <v>12</v>
          </cell>
          <cell r="AB320">
            <v>192.22499999999997</v>
          </cell>
        </row>
        <row r="321">
          <cell r="D321">
            <v>12</v>
          </cell>
          <cell r="AB321">
            <v>169.95</v>
          </cell>
        </row>
        <row r="322">
          <cell r="D322">
            <v>12</v>
          </cell>
          <cell r="AB322">
            <v>162.36000000000001</v>
          </cell>
        </row>
        <row r="323">
          <cell r="D323">
            <v>12</v>
          </cell>
          <cell r="AB323">
            <v>191.4</v>
          </cell>
        </row>
        <row r="324">
          <cell r="D324">
            <v>12</v>
          </cell>
          <cell r="AB324">
            <v>367.40000000000003</v>
          </cell>
        </row>
        <row r="325">
          <cell r="D325">
            <v>12</v>
          </cell>
          <cell r="AB325">
            <v>245.85000000000005</v>
          </cell>
        </row>
        <row r="326">
          <cell r="D326">
            <v>12</v>
          </cell>
          <cell r="AB326">
            <v>2399.9999999999982</v>
          </cell>
          <cell r="AE326">
            <v>1</v>
          </cell>
        </row>
        <row r="327">
          <cell r="D327">
            <v>12</v>
          </cell>
          <cell r="AB327">
            <v>507.07800000000003</v>
          </cell>
        </row>
        <row r="328">
          <cell r="D328">
            <v>12</v>
          </cell>
          <cell r="AB328">
            <v>234.3</v>
          </cell>
        </row>
        <row r="329">
          <cell r="D329">
            <v>12</v>
          </cell>
          <cell r="AB329">
            <v>1788.3800000000003</v>
          </cell>
        </row>
        <row r="330">
          <cell r="D330">
            <v>12</v>
          </cell>
          <cell r="AB330">
            <v>221.10000000000005</v>
          </cell>
        </row>
        <row r="331">
          <cell r="D331">
            <v>12</v>
          </cell>
          <cell r="AB331">
            <v>1506.45</v>
          </cell>
        </row>
        <row r="332">
          <cell r="D332">
            <v>12</v>
          </cell>
          <cell r="AB332">
            <v>201</v>
          </cell>
          <cell r="AE332">
            <v>1</v>
          </cell>
        </row>
        <row r="333">
          <cell r="D333">
            <v>12</v>
          </cell>
          <cell r="AB333">
            <v>1350.3600000000001</v>
          </cell>
        </row>
        <row r="334">
          <cell r="D334">
            <v>12</v>
          </cell>
          <cell r="AB334">
            <v>360</v>
          </cell>
        </row>
        <row r="335">
          <cell r="D335">
            <v>12</v>
          </cell>
          <cell r="AB335">
            <v>508.36499999999995</v>
          </cell>
        </row>
        <row r="336">
          <cell r="D336">
            <v>12</v>
          </cell>
          <cell r="AB336">
            <v>580.79999999999995</v>
          </cell>
        </row>
        <row r="337">
          <cell r="D337">
            <v>12</v>
          </cell>
          <cell r="AB337">
            <v>367.12499999999994</v>
          </cell>
        </row>
        <row r="338">
          <cell r="D338">
            <v>12</v>
          </cell>
          <cell r="AB338">
            <v>238.70000000000007</v>
          </cell>
        </row>
        <row r="339">
          <cell r="D339">
            <v>12</v>
          </cell>
          <cell r="AB339">
            <v>1283.1390000000001</v>
          </cell>
        </row>
        <row r="340">
          <cell r="D340">
            <v>12</v>
          </cell>
          <cell r="AB340">
            <v>431.88750000000005</v>
          </cell>
        </row>
        <row r="341">
          <cell r="D341">
            <v>12</v>
          </cell>
          <cell r="AB341">
            <v>575.28899999999999</v>
          </cell>
        </row>
        <row r="342">
          <cell r="D342">
            <v>12</v>
          </cell>
          <cell r="AB342">
            <v>1788.3800000000003</v>
          </cell>
        </row>
        <row r="343">
          <cell r="D343">
            <v>12</v>
          </cell>
          <cell r="AB343">
            <v>1283.1390000000001</v>
          </cell>
        </row>
        <row r="344">
          <cell r="D344">
            <v>12</v>
          </cell>
          <cell r="AB344">
            <v>332.20000000000005</v>
          </cell>
        </row>
        <row r="345">
          <cell r="D345">
            <v>12</v>
          </cell>
          <cell r="AB345">
            <v>367.40000000000003</v>
          </cell>
        </row>
        <row r="346">
          <cell r="D346">
            <v>12</v>
          </cell>
          <cell r="AB346">
            <v>191.4</v>
          </cell>
        </row>
        <row r="347">
          <cell r="D347">
            <v>12</v>
          </cell>
          <cell r="AB347">
            <v>38.775000000000006</v>
          </cell>
        </row>
        <row r="348">
          <cell r="D348">
            <v>12</v>
          </cell>
          <cell r="AB348">
            <v>1869.4499999999998</v>
          </cell>
        </row>
        <row r="349">
          <cell r="D349">
            <v>12</v>
          </cell>
          <cell r="AB349">
            <v>209</v>
          </cell>
        </row>
        <row r="350">
          <cell r="D350">
            <v>12</v>
          </cell>
          <cell r="AB350">
            <v>1223.3100000000002</v>
          </cell>
        </row>
        <row r="351">
          <cell r="D351">
            <v>12</v>
          </cell>
          <cell r="AB351">
            <v>330.00000000000006</v>
          </cell>
        </row>
        <row r="352">
          <cell r="D352">
            <v>12</v>
          </cell>
          <cell r="AB352">
            <v>370.42499999999995</v>
          </cell>
        </row>
        <row r="353">
          <cell r="D353">
            <v>12</v>
          </cell>
          <cell r="AB353">
            <v>217.79999999999998</v>
          </cell>
        </row>
        <row r="354">
          <cell r="D354">
            <v>12</v>
          </cell>
          <cell r="AB354">
            <v>107.25</v>
          </cell>
        </row>
        <row r="355">
          <cell r="D355">
            <v>12</v>
          </cell>
          <cell r="AB355">
            <v>190.29999999999998</v>
          </cell>
        </row>
        <row r="356">
          <cell r="D356">
            <v>12</v>
          </cell>
          <cell r="AB356">
            <v>245.30000000000004</v>
          </cell>
        </row>
        <row r="357">
          <cell r="D357">
            <v>12</v>
          </cell>
          <cell r="AB357">
            <v>254.10000000000002</v>
          </cell>
        </row>
        <row r="358">
          <cell r="D358">
            <v>12</v>
          </cell>
          <cell r="AB358">
            <v>39.6</v>
          </cell>
        </row>
        <row r="359">
          <cell r="D359">
            <v>12</v>
          </cell>
          <cell r="AB359">
            <v>209.55</v>
          </cell>
        </row>
        <row r="360">
          <cell r="D360">
            <v>12</v>
          </cell>
          <cell r="AB360">
            <v>456.50000000000006</v>
          </cell>
        </row>
        <row r="361">
          <cell r="D361">
            <v>12</v>
          </cell>
          <cell r="AB361">
            <v>191.4</v>
          </cell>
        </row>
        <row r="362">
          <cell r="D362">
            <v>12</v>
          </cell>
          <cell r="AB362">
            <v>374.82499999999999</v>
          </cell>
        </row>
        <row r="363">
          <cell r="D363">
            <v>12</v>
          </cell>
          <cell r="AB363">
            <v>276.375</v>
          </cell>
        </row>
        <row r="364">
          <cell r="D364">
            <v>12</v>
          </cell>
          <cell r="AB364">
            <v>178.2</v>
          </cell>
        </row>
        <row r="365">
          <cell r="D365">
            <v>12</v>
          </cell>
          <cell r="AB365">
            <v>158.4</v>
          </cell>
        </row>
        <row r="366">
          <cell r="D366">
            <v>12</v>
          </cell>
          <cell r="AB366">
            <v>205.42500000000001</v>
          </cell>
        </row>
        <row r="367">
          <cell r="D367">
            <v>12</v>
          </cell>
          <cell r="AB367">
            <v>2317.2600000000002</v>
          </cell>
        </row>
        <row r="368">
          <cell r="D368">
            <v>12</v>
          </cell>
          <cell r="AB368">
            <v>211.20000000000005</v>
          </cell>
        </row>
        <row r="369">
          <cell r="D369">
            <v>12</v>
          </cell>
          <cell r="AB369">
            <v>481.43333333333328</v>
          </cell>
        </row>
        <row r="370">
          <cell r="D370">
            <v>12</v>
          </cell>
          <cell r="AB370">
            <v>99</v>
          </cell>
        </row>
        <row r="371">
          <cell r="D371">
            <v>12</v>
          </cell>
          <cell r="AB371">
            <v>159.58800000000002</v>
          </cell>
        </row>
        <row r="372">
          <cell r="D372">
            <v>12</v>
          </cell>
          <cell r="AB372">
            <v>308.88</v>
          </cell>
        </row>
        <row r="373">
          <cell r="D373">
            <v>12</v>
          </cell>
          <cell r="AB373">
            <v>394.68</v>
          </cell>
        </row>
        <row r="374">
          <cell r="D374">
            <v>12</v>
          </cell>
          <cell r="AB374">
            <v>267.69600000000003</v>
          </cell>
        </row>
        <row r="375">
          <cell r="D375">
            <v>12</v>
          </cell>
          <cell r="AB375">
            <v>178.46400000000003</v>
          </cell>
        </row>
        <row r="376">
          <cell r="D376">
            <v>12</v>
          </cell>
          <cell r="AB376">
            <v>37.125</v>
          </cell>
        </row>
        <row r="377">
          <cell r="D377">
            <v>12</v>
          </cell>
          <cell r="AB377">
            <v>239.25</v>
          </cell>
        </row>
        <row r="378">
          <cell r="D378">
            <v>12</v>
          </cell>
          <cell r="AB378">
            <v>211.20000000000002</v>
          </cell>
        </row>
        <row r="379">
          <cell r="D379">
            <v>12</v>
          </cell>
          <cell r="AB379">
            <v>105.60000000000001</v>
          </cell>
        </row>
        <row r="380">
          <cell r="D380">
            <v>12</v>
          </cell>
          <cell r="AB380">
            <v>209.55</v>
          </cell>
        </row>
        <row r="381">
          <cell r="D381">
            <v>12</v>
          </cell>
          <cell r="AB381">
            <v>199.65000000000003</v>
          </cell>
        </row>
        <row r="382">
          <cell r="D382">
            <v>12</v>
          </cell>
          <cell r="AB382">
            <v>179.02499999999998</v>
          </cell>
        </row>
        <row r="383">
          <cell r="D383">
            <v>12</v>
          </cell>
          <cell r="AB383">
            <v>193.6</v>
          </cell>
        </row>
        <row r="384">
          <cell r="D384">
            <v>12</v>
          </cell>
          <cell r="AB384">
            <v>178.20000000000002</v>
          </cell>
        </row>
        <row r="385">
          <cell r="D385">
            <v>12</v>
          </cell>
          <cell r="AB385">
            <v>198</v>
          </cell>
        </row>
        <row r="386">
          <cell r="D386">
            <v>12</v>
          </cell>
          <cell r="AB386">
            <v>341</v>
          </cell>
        </row>
        <row r="387">
          <cell r="D387">
            <v>12</v>
          </cell>
          <cell r="AB387">
            <v>391.9666666666667</v>
          </cell>
        </row>
        <row r="388">
          <cell r="D388">
            <v>12</v>
          </cell>
          <cell r="AB388">
            <v>167.2</v>
          </cell>
        </row>
        <row r="389">
          <cell r="D389">
            <v>12</v>
          </cell>
          <cell r="AB389">
            <v>336.6</v>
          </cell>
        </row>
        <row r="390">
          <cell r="D390">
            <v>12</v>
          </cell>
          <cell r="AB390">
            <v>552.55199999999991</v>
          </cell>
        </row>
        <row r="391">
          <cell r="D391">
            <v>12</v>
          </cell>
          <cell r="AB391">
            <v>1245.816</v>
          </cell>
        </row>
        <row r="392">
          <cell r="D392">
            <v>12</v>
          </cell>
          <cell r="AB392">
            <v>1176.1200000000003</v>
          </cell>
        </row>
        <row r="393">
          <cell r="D393">
            <v>12</v>
          </cell>
          <cell r="AB393">
            <v>2668.05</v>
          </cell>
        </row>
        <row r="394">
          <cell r="D394">
            <v>12</v>
          </cell>
          <cell r="AB394">
            <v>2315.94</v>
          </cell>
        </row>
        <row r="395">
          <cell r="D395">
            <v>12</v>
          </cell>
          <cell r="AB395">
            <v>2315.94</v>
          </cell>
        </row>
        <row r="396">
          <cell r="D396">
            <v>12</v>
          </cell>
          <cell r="AB396">
            <v>249.70000000000005</v>
          </cell>
        </row>
        <row r="397">
          <cell r="D397">
            <v>12</v>
          </cell>
          <cell r="AB397">
            <v>192.22499999999997</v>
          </cell>
        </row>
        <row r="398">
          <cell r="D398">
            <v>12</v>
          </cell>
          <cell r="AB398">
            <v>507.07800000000003</v>
          </cell>
        </row>
        <row r="399">
          <cell r="D399">
            <v>12</v>
          </cell>
          <cell r="AB399">
            <v>785.06999999999994</v>
          </cell>
        </row>
        <row r="400">
          <cell r="D400">
            <v>12</v>
          </cell>
          <cell r="AB400">
            <v>1516.3200000000002</v>
          </cell>
          <cell r="AE400">
            <v>1</v>
          </cell>
        </row>
        <row r="401">
          <cell r="D401">
            <v>12</v>
          </cell>
          <cell r="AB401">
            <v>1021.8780000000003</v>
          </cell>
        </row>
        <row r="402">
          <cell r="D402">
            <v>12</v>
          </cell>
          <cell r="AB402">
            <v>270</v>
          </cell>
          <cell r="AE402">
            <v>1</v>
          </cell>
        </row>
        <row r="403">
          <cell r="D403">
            <v>12</v>
          </cell>
          <cell r="AB403">
            <v>5450.4000000000005</v>
          </cell>
          <cell r="AE403">
            <v>1</v>
          </cell>
        </row>
        <row r="404">
          <cell r="D404">
            <v>12</v>
          </cell>
          <cell r="AB404">
            <v>1230.3720000000003</v>
          </cell>
        </row>
        <row r="405">
          <cell r="D405">
            <v>12</v>
          </cell>
          <cell r="AB405">
            <v>162.16200000000001</v>
          </cell>
        </row>
        <row r="406">
          <cell r="D406">
            <v>12</v>
          </cell>
          <cell r="AB406">
            <v>169.95</v>
          </cell>
        </row>
        <row r="407">
          <cell r="D407">
            <v>12</v>
          </cell>
          <cell r="AB407">
            <v>159.58800000000002</v>
          </cell>
        </row>
        <row r="408">
          <cell r="D408">
            <v>12</v>
          </cell>
          <cell r="AB408">
            <v>202.4</v>
          </cell>
        </row>
        <row r="409">
          <cell r="D409">
            <v>12</v>
          </cell>
          <cell r="AB409">
            <v>206.14</v>
          </cell>
        </row>
        <row r="410">
          <cell r="D410">
            <v>12</v>
          </cell>
          <cell r="AB410">
            <v>209.55</v>
          </cell>
        </row>
        <row r="411">
          <cell r="D411">
            <v>12</v>
          </cell>
          <cell r="AB411">
            <v>99</v>
          </cell>
        </row>
        <row r="412">
          <cell r="D412">
            <v>12</v>
          </cell>
          <cell r="AB412">
            <v>468.46800000000002</v>
          </cell>
        </row>
        <row r="413">
          <cell r="D413">
            <v>12</v>
          </cell>
          <cell r="AB413">
            <v>305.44799999999998</v>
          </cell>
        </row>
        <row r="414">
          <cell r="D414">
            <v>12</v>
          </cell>
          <cell r="AB414">
            <v>0</v>
          </cell>
        </row>
        <row r="415">
          <cell r="D415">
            <v>12</v>
          </cell>
          <cell r="AB415">
            <v>238.70000000000007</v>
          </cell>
        </row>
        <row r="416">
          <cell r="D416">
            <v>12</v>
          </cell>
          <cell r="AB416">
            <v>162.36000000000001</v>
          </cell>
        </row>
        <row r="417">
          <cell r="D417">
            <v>12</v>
          </cell>
          <cell r="AB417">
            <v>0</v>
          </cell>
        </row>
        <row r="418">
          <cell r="D418">
            <v>12</v>
          </cell>
          <cell r="AB418">
            <v>295.72399999999999</v>
          </cell>
        </row>
        <row r="419">
          <cell r="D419">
            <v>12</v>
          </cell>
          <cell r="AB419">
            <v>989.7030000000002</v>
          </cell>
        </row>
        <row r="420">
          <cell r="D420">
            <v>12</v>
          </cell>
          <cell r="AB420">
            <v>245.85000000000005</v>
          </cell>
        </row>
        <row r="421">
          <cell r="D421">
            <v>12</v>
          </cell>
          <cell r="AB421">
            <v>428.47200000000004</v>
          </cell>
        </row>
        <row r="422">
          <cell r="D422">
            <v>12</v>
          </cell>
          <cell r="AB422">
            <v>2845.92</v>
          </cell>
        </row>
        <row r="423">
          <cell r="D423">
            <v>12</v>
          </cell>
          <cell r="AB423">
            <v>1132.56</v>
          </cell>
        </row>
        <row r="424">
          <cell r="D424">
            <v>12</v>
          </cell>
          <cell r="AB424">
            <v>311.45400000000001</v>
          </cell>
        </row>
        <row r="425">
          <cell r="D425">
            <v>12</v>
          </cell>
          <cell r="AB425">
            <v>123.55200000000002</v>
          </cell>
        </row>
        <row r="426">
          <cell r="D426">
            <v>12</v>
          </cell>
          <cell r="AB426">
            <v>178.2</v>
          </cell>
        </row>
        <row r="427">
          <cell r="D427">
            <v>12</v>
          </cell>
          <cell r="AB427">
            <v>1176.1200000000003</v>
          </cell>
        </row>
        <row r="428">
          <cell r="D428">
            <v>12</v>
          </cell>
          <cell r="AB428">
            <v>2668.05</v>
          </cell>
        </row>
        <row r="429">
          <cell r="D429">
            <v>12</v>
          </cell>
          <cell r="AB429">
            <v>2315.94</v>
          </cell>
        </row>
        <row r="430">
          <cell r="D430">
            <v>12</v>
          </cell>
          <cell r="AB430">
            <v>308.88</v>
          </cell>
        </row>
        <row r="431">
          <cell r="D431">
            <v>12</v>
          </cell>
          <cell r="AB431">
            <v>159.58800000000002</v>
          </cell>
        </row>
        <row r="432">
          <cell r="D432">
            <v>12</v>
          </cell>
          <cell r="AB432">
            <v>99</v>
          </cell>
        </row>
        <row r="433">
          <cell r="D433">
            <v>12</v>
          </cell>
          <cell r="AB433">
            <v>209.55</v>
          </cell>
        </row>
        <row r="434">
          <cell r="D434">
            <v>12</v>
          </cell>
          <cell r="AB434">
            <v>211.20000000000005</v>
          </cell>
        </row>
        <row r="435">
          <cell r="D435">
            <v>12</v>
          </cell>
          <cell r="AB435">
            <v>239.25</v>
          </cell>
        </row>
        <row r="436">
          <cell r="D436">
            <v>12</v>
          </cell>
          <cell r="AB436">
            <v>525.096</v>
          </cell>
        </row>
        <row r="437">
          <cell r="D437">
            <v>12</v>
          </cell>
          <cell r="AB437">
            <v>158.4</v>
          </cell>
        </row>
        <row r="438">
          <cell r="D438">
            <v>12</v>
          </cell>
          <cell r="AB438">
            <v>336.6</v>
          </cell>
        </row>
        <row r="439">
          <cell r="D439">
            <v>12</v>
          </cell>
          <cell r="AB439">
            <v>276.375</v>
          </cell>
        </row>
        <row r="440">
          <cell r="D440">
            <v>12</v>
          </cell>
          <cell r="AB440">
            <v>374.82499999999999</v>
          </cell>
        </row>
        <row r="441">
          <cell r="D441">
            <v>12</v>
          </cell>
          <cell r="AB441">
            <v>191.4</v>
          </cell>
        </row>
        <row r="442">
          <cell r="D442">
            <v>12</v>
          </cell>
          <cell r="AB442">
            <v>456.50000000000006</v>
          </cell>
        </row>
        <row r="443">
          <cell r="D443">
            <v>12</v>
          </cell>
          <cell r="AB443">
            <v>575.28899999999999</v>
          </cell>
        </row>
        <row r="444">
          <cell r="D444">
            <v>12</v>
          </cell>
          <cell r="AB444">
            <v>989.7030000000002</v>
          </cell>
        </row>
        <row r="445">
          <cell r="D445">
            <v>12</v>
          </cell>
          <cell r="AB445">
            <v>1132.56</v>
          </cell>
        </row>
        <row r="446">
          <cell r="D446">
            <v>12</v>
          </cell>
          <cell r="AB446">
            <v>2845.92</v>
          </cell>
        </row>
        <row r="447">
          <cell r="D447">
            <v>12</v>
          </cell>
          <cell r="AB447">
            <v>428.47200000000004</v>
          </cell>
        </row>
        <row r="448">
          <cell r="D448">
            <v>12</v>
          </cell>
          <cell r="AB448">
            <v>1230.3720000000003</v>
          </cell>
        </row>
        <row r="449">
          <cell r="D449">
            <v>12</v>
          </cell>
          <cell r="AB449">
            <v>205.42500000000001</v>
          </cell>
        </row>
        <row r="450">
          <cell r="D450">
            <v>12</v>
          </cell>
          <cell r="AB450">
            <v>105.60000000000001</v>
          </cell>
        </row>
        <row r="451">
          <cell r="D451">
            <v>12</v>
          </cell>
          <cell r="AB451">
            <v>191.4</v>
          </cell>
        </row>
        <row r="452">
          <cell r="D452">
            <v>12</v>
          </cell>
          <cell r="AB452">
            <v>367.40000000000003</v>
          </cell>
        </row>
        <row r="453">
          <cell r="D453">
            <v>12</v>
          </cell>
          <cell r="AB453">
            <v>245.85000000000005</v>
          </cell>
        </row>
        <row r="454">
          <cell r="D454">
            <v>12</v>
          </cell>
          <cell r="AB454">
            <v>332.20000000000005</v>
          </cell>
        </row>
        <row r="455">
          <cell r="D455">
            <v>12</v>
          </cell>
          <cell r="AB455">
            <v>507.07800000000003</v>
          </cell>
        </row>
        <row r="456">
          <cell r="D456">
            <v>12</v>
          </cell>
          <cell r="AB456">
            <v>1283.1390000000001</v>
          </cell>
        </row>
        <row r="457">
          <cell r="D457">
            <v>12</v>
          </cell>
          <cell r="AB457">
            <v>1788.3800000000003</v>
          </cell>
        </row>
        <row r="458">
          <cell r="D458">
            <v>12</v>
          </cell>
          <cell r="AB458">
            <v>2317.2600000000002</v>
          </cell>
        </row>
        <row r="459">
          <cell r="D459">
            <v>12</v>
          </cell>
          <cell r="AB459">
            <v>1869.4499999999998</v>
          </cell>
        </row>
        <row r="460">
          <cell r="D460">
            <v>12</v>
          </cell>
          <cell r="AB460">
            <v>1223.3100000000002</v>
          </cell>
        </row>
        <row r="461">
          <cell r="D461">
            <v>12</v>
          </cell>
          <cell r="AB461">
            <v>1245.816</v>
          </cell>
        </row>
        <row r="462">
          <cell r="D462">
            <v>12</v>
          </cell>
          <cell r="AB462">
            <v>162.16200000000001</v>
          </cell>
        </row>
        <row r="463">
          <cell r="D463">
            <v>12</v>
          </cell>
          <cell r="AB463">
            <v>552.55199999999991</v>
          </cell>
        </row>
        <row r="464">
          <cell r="D464">
            <v>12</v>
          </cell>
          <cell r="AB464">
            <v>209.55</v>
          </cell>
        </row>
        <row r="465">
          <cell r="D465">
            <v>12</v>
          </cell>
          <cell r="AB465">
            <v>199.65000000000003</v>
          </cell>
        </row>
        <row r="466">
          <cell r="D466">
            <v>12</v>
          </cell>
          <cell r="AB466">
            <v>179.02499999999998</v>
          </cell>
        </row>
        <row r="467">
          <cell r="D467">
            <v>12</v>
          </cell>
          <cell r="AB467">
            <v>193.6</v>
          </cell>
        </row>
        <row r="468">
          <cell r="D468">
            <v>12</v>
          </cell>
          <cell r="AB468">
            <v>178.20000000000002</v>
          </cell>
        </row>
        <row r="469">
          <cell r="D469">
            <v>12</v>
          </cell>
          <cell r="AB469">
            <v>198</v>
          </cell>
        </row>
        <row r="470">
          <cell r="D470">
            <v>12</v>
          </cell>
          <cell r="AB470">
            <v>249.70000000000005</v>
          </cell>
        </row>
        <row r="471">
          <cell r="D471">
            <v>12</v>
          </cell>
          <cell r="AB471">
            <v>391.9666666666667</v>
          </cell>
        </row>
        <row r="472">
          <cell r="D472">
            <v>12</v>
          </cell>
          <cell r="AB472">
            <v>211.20000000000002</v>
          </cell>
        </row>
        <row r="473">
          <cell r="D473">
            <v>12</v>
          </cell>
          <cell r="AB473">
            <v>262.548</v>
          </cell>
        </row>
        <row r="474">
          <cell r="D474">
            <v>12</v>
          </cell>
          <cell r="AB474">
            <v>159.58800000000002</v>
          </cell>
        </row>
        <row r="475">
          <cell r="D475">
            <v>12</v>
          </cell>
          <cell r="AB475">
            <v>190.29999999999998</v>
          </cell>
        </row>
        <row r="476">
          <cell r="D476">
            <v>12</v>
          </cell>
          <cell r="AB476">
            <v>267.69600000000003</v>
          </cell>
        </row>
        <row r="477">
          <cell r="D477">
            <v>12</v>
          </cell>
          <cell r="AB477">
            <v>178.46400000000003</v>
          </cell>
        </row>
        <row r="478">
          <cell r="D478">
            <v>12</v>
          </cell>
          <cell r="AB478">
            <v>37.125</v>
          </cell>
        </row>
        <row r="479">
          <cell r="D479">
            <v>12</v>
          </cell>
          <cell r="AB479">
            <v>38.775000000000006</v>
          </cell>
        </row>
        <row r="480">
          <cell r="D480">
            <v>12</v>
          </cell>
          <cell r="AB480">
            <v>39.6</v>
          </cell>
        </row>
        <row r="481">
          <cell r="D481">
            <v>12</v>
          </cell>
          <cell r="AB481">
            <v>209</v>
          </cell>
        </row>
        <row r="482">
          <cell r="D482">
            <v>12</v>
          </cell>
          <cell r="AB482">
            <v>431.88750000000005</v>
          </cell>
        </row>
        <row r="483">
          <cell r="D483">
            <v>12</v>
          </cell>
          <cell r="AB483">
            <v>391.875</v>
          </cell>
        </row>
        <row r="484">
          <cell r="D484">
            <v>12</v>
          </cell>
          <cell r="AB484">
            <v>370.42499999999995</v>
          </cell>
        </row>
        <row r="485">
          <cell r="D485">
            <v>12</v>
          </cell>
          <cell r="AB485">
            <v>311.45400000000001</v>
          </cell>
        </row>
        <row r="486">
          <cell r="D486">
            <v>12</v>
          </cell>
          <cell r="AB486">
            <v>107.25</v>
          </cell>
        </row>
        <row r="487">
          <cell r="D487">
            <v>12</v>
          </cell>
          <cell r="AB487">
            <v>1384.4160000000002</v>
          </cell>
        </row>
        <row r="488">
          <cell r="D488">
            <v>12</v>
          </cell>
          <cell r="AB488">
            <v>245.30000000000004</v>
          </cell>
        </row>
        <row r="489">
          <cell r="D489">
            <v>12</v>
          </cell>
          <cell r="AB489">
            <v>254.10000000000002</v>
          </cell>
        </row>
        <row r="490">
          <cell r="D490">
            <v>12</v>
          </cell>
          <cell r="AB490">
            <v>341</v>
          </cell>
        </row>
        <row r="491">
          <cell r="D491">
            <v>12</v>
          </cell>
          <cell r="AB491">
            <v>238.70000000000007</v>
          </cell>
        </row>
        <row r="492">
          <cell r="D492">
            <v>12</v>
          </cell>
          <cell r="AB492">
            <v>481.43333333333328</v>
          </cell>
        </row>
        <row r="493">
          <cell r="D493">
            <v>12</v>
          </cell>
          <cell r="AB493">
            <v>785.06999999999994</v>
          </cell>
        </row>
        <row r="494">
          <cell r="D494">
            <v>12</v>
          </cell>
          <cell r="AB494">
            <v>1158.3000000000002</v>
          </cell>
        </row>
        <row r="495">
          <cell r="D495">
            <v>12</v>
          </cell>
          <cell r="AB495">
            <v>1021.8780000000003</v>
          </cell>
        </row>
        <row r="496">
          <cell r="D496">
            <v>12</v>
          </cell>
          <cell r="AB496">
            <v>998.71199999999999</v>
          </cell>
        </row>
        <row r="497">
          <cell r="D497">
            <v>12</v>
          </cell>
          <cell r="AB497">
            <v>1596.672</v>
          </cell>
        </row>
        <row r="498">
          <cell r="D498">
            <v>12</v>
          </cell>
          <cell r="AB498">
            <v>217.79999999999998</v>
          </cell>
        </row>
        <row r="499">
          <cell r="D499">
            <v>12</v>
          </cell>
          <cell r="AB499">
            <v>298.65000000000003</v>
          </cell>
        </row>
        <row r="500">
          <cell r="D500">
            <v>12</v>
          </cell>
          <cell r="AB500">
            <v>267.69600000000003</v>
          </cell>
        </row>
        <row r="501">
          <cell r="D501">
            <v>12</v>
          </cell>
          <cell r="AB501">
            <v>178.46400000000003</v>
          </cell>
        </row>
        <row r="502">
          <cell r="D502">
            <v>12</v>
          </cell>
          <cell r="AB502">
            <v>172.45800000000003</v>
          </cell>
        </row>
        <row r="503">
          <cell r="D503">
            <v>12</v>
          </cell>
          <cell r="AB503">
            <v>175.03200000000004</v>
          </cell>
        </row>
        <row r="504">
          <cell r="D504">
            <v>12</v>
          </cell>
          <cell r="AB504">
            <v>30.800000000000008</v>
          </cell>
        </row>
        <row r="505">
          <cell r="D505">
            <v>12</v>
          </cell>
          <cell r="AB505">
            <v>59.400000000000013</v>
          </cell>
        </row>
        <row r="506">
          <cell r="D506">
            <v>12</v>
          </cell>
          <cell r="AB506">
            <v>46.2</v>
          </cell>
        </row>
        <row r="507">
          <cell r="D507">
            <v>12</v>
          </cell>
          <cell r="AB507">
            <v>233.20000000000005</v>
          </cell>
        </row>
        <row r="508">
          <cell r="D508">
            <v>12</v>
          </cell>
          <cell r="AB508">
            <v>314.73750000000013</v>
          </cell>
        </row>
        <row r="509">
          <cell r="D509">
            <v>12</v>
          </cell>
          <cell r="AB509">
            <v>383.625</v>
          </cell>
        </row>
        <row r="510">
          <cell r="D510">
            <v>12</v>
          </cell>
          <cell r="AB510">
            <v>394.68</v>
          </cell>
        </row>
        <row r="511">
          <cell r="D511">
            <v>12</v>
          </cell>
          <cell r="AB511">
            <v>277.20000000000005</v>
          </cell>
        </row>
        <row r="512">
          <cell r="D512">
            <v>12</v>
          </cell>
          <cell r="AB512">
            <v>306.30600000000004</v>
          </cell>
        </row>
        <row r="513">
          <cell r="D513">
            <v>12</v>
          </cell>
          <cell r="AB513">
            <v>193.6</v>
          </cell>
        </row>
        <row r="514">
          <cell r="D514">
            <v>12</v>
          </cell>
          <cell r="AB514">
            <v>242.55</v>
          </cell>
        </row>
        <row r="515">
          <cell r="D515">
            <v>12</v>
          </cell>
          <cell r="AB515">
            <v>224.40000000000003</v>
          </cell>
        </row>
        <row r="516">
          <cell r="D516">
            <v>12</v>
          </cell>
          <cell r="AB516">
            <v>517</v>
          </cell>
        </row>
        <row r="517">
          <cell r="D517">
            <v>12</v>
          </cell>
          <cell r="AB517">
            <v>528.95700000000011</v>
          </cell>
        </row>
        <row r="518">
          <cell r="D518">
            <v>12</v>
          </cell>
          <cell r="AB518">
            <v>1292.1480000000001</v>
          </cell>
        </row>
        <row r="519">
          <cell r="D519">
            <v>12</v>
          </cell>
          <cell r="AB519">
            <v>496.78200000000004</v>
          </cell>
        </row>
        <row r="520">
          <cell r="D520">
            <v>12</v>
          </cell>
          <cell r="AB520">
            <v>1289.9700000000003</v>
          </cell>
        </row>
        <row r="521">
          <cell r="D521">
            <v>12</v>
          </cell>
          <cell r="AB521">
            <v>1253.4025263157896</v>
          </cell>
        </row>
        <row r="522">
          <cell r="D522">
            <v>12</v>
          </cell>
          <cell r="AB522">
            <v>192.22499999999997</v>
          </cell>
        </row>
        <row r="523">
          <cell r="D523">
            <v>12</v>
          </cell>
          <cell r="AB523">
            <v>251.625</v>
          </cell>
        </row>
        <row r="524">
          <cell r="D524">
            <v>12</v>
          </cell>
          <cell r="AB524">
            <v>217.79999999999998</v>
          </cell>
        </row>
        <row r="525">
          <cell r="D525">
            <v>12</v>
          </cell>
          <cell r="AB525">
            <v>306.30600000000004</v>
          </cell>
        </row>
        <row r="526">
          <cell r="D526">
            <v>12</v>
          </cell>
          <cell r="AB526">
            <v>394.68</v>
          </cell>
        </row>
        <row r="527">
          <cell r="D527">
            <v>12</v>
          </cell>
          <cell r="AB527">
            <v>267.69600000000003</v>
          </cell>
        </row>
        <row r="528">
          <cell r="D528">
            <v>12</v>
          </cell>
          <cell r="AB528">
            <v>178.46400000000003</v>
          </cell>
        </row>
        <row r="529">
          <cell r="D529">
            <v>12</v>
          </cell>
          <cell r="AB529">
            <v>37.125</v>
          </cell>
        </row>
        <row r="530">
          <cell r="D530">
            <v>12</v>
          </cell>
          <cell r="AB530">
            <v>38.775000000000006</v>
          </cell>
        </row>
        <row r="531">
          <cell r="D531">
            <v>12</v>
          </cell>
          <cell r="AB531">
            <v>39.6</v>
          </cell>
        </row>
        <row r="532">
          <cell r="D532">
            <v>12</v>
          </cell>
          <cell r="AB532">
            <v>209</v>
          </cell>
        </row>
        <row r="533">
          <cell r="D533">
            <v>12</v>
          </cell>
          <cell r="AB533">
            <v>431.88750000000005</v>
          </cell>
        </row>
        <row r="534">
          <cell r="D534">
            <v>12</v>
          </cell>
          <cell r="AB534">
            <v>162.36000000000001</v>
          </cell>
        </row>
        <row r="535">
          <cell r="D535">
            <v>12</v>
          </cell>
          <cell r="AB535">
            <v>370.42499999999995</v>
          </cell>
        </row>
        <row r="536">
          <cell r="D536">
            <v>12</v>
          </cell>
          <cell r="AB536">
            <v>1289.9700000000003</v>
          </cell>
        </row>
        <row r="537">
          <cell r="D537">
            <v>12</v>
          </cell>
          <cell r="AB537">
            <v>107.25</v>
          </cell>
        </row>
        <row r="538">
          <cell r="D538">
            <v>12</v>
          </cell>
          <cell r="AB538">
            <v>190.29999999999998</v>
          </cell>
        </row>
        <row r="539">
          <cell r="D539">
            <v>12</v>
          </cell>
          <cell r="AB539">
            <v>245.30000000000004</v>
          </cell>
        </row>
        <row r="540">
          <cell r="D540">
            <v>12</v>
          </cell>
          <cell r="AB540">
            <v>254.10000000000002</v>
          </cell>
        </row>
        <row r="541">
          <cell r="D541">
            <v>12</v>
          </cell>
          <cell r="AB541">
            <v>341</v>
          </cell>
        </row>
        <row r="542">
          <cell r="D542">
            <v>12</v>
          </cell>
          <cell r="AB542">
            <v>238.70000000000007</v>
          </cell>
        </row>
        <row r="543">
          <cell r="D543">
            <v>12</v>
          </cell>
          <cell r="AB543">
            <v>481.43333333333328</v>
          </cell>
        </row>
        <row r="544">
          <cell r="D544">
            <v>12</v>
          </cell>
          <cell r="AB544">
            <v>785.06999999999994</v>
          </cell>
        </row>
        <row r="545">
          <cell r="D545">
            <v>12</v>
          </cell>
          <cell r="AB545">
            <v>1158.3000000000002</v>
          </cell>
        </row>
        <row r="546">
          <cell r="D546">
            <v>12</v>
          </cell>
          <cell r="AB546">
            <v>1021.8780000000003</v>
          </cell>
        </row>
        <row r="547">
          <cell r="D547">
            <v>12</v>
          </cell>
          <cell r="AB547">
            <v>391.875</v>
          </cell>
        </row>
        <row r="548">
          <cell r="D548">
            <v>12</v>
          </cell>
          <cell r="AB548">
            <v>251.625</v>
          </cell>
        </row>
        <row r="549">
          <cell r="D549">
            <v>12</v>
          </cell>
          <cell r="AB549">
            <v>525.096</v>
          </cell>
        </row>
        <row r="550">
          <cell r="D550">
            <v>12</v>
          </cell>
          <cell r="AB550">
            <v>262.548</v>
          </cell>
        </row>
        <row r="551">
          <cell r="D551">
            <v>12</v>
          </cell>
          <cell r="AB551">
            <v>267.69600000000003</v>
          </cell>
        </row>
        <row r="552">
          <cell r="D552">
            <v>12</v>
          </cell>
          <cell r="AB552">
            <v>178.46400000000003</v>
          </cell>
        </row>
        <row r="553">
          <cell r="D553">
            <v>12</v>
          </cell>
          <cell r="AB553">
            <v>172.45800000000003</v>
          </cell>
        </row>
        <row r="554">
          <cell r="D554">
            <v>12</v>
          </cell>
          <cell r="AB554">
            <v>175.03200000000004</v>
          </cell>
        </row>
        <row r="555">
          <cell r="D555">
            <v>12</v>
          </cell>
          <cell r="AB555">
            <v>30.800000000000008</v>
          </cell>
        </row>
        <row r="556">
          <cell r="D556">
            <v>12</v>
          </cell>
          <cell r="AB556">
            <v>59.400000000000013</v>
          </cell>
        </row>
        <row r="557">
          <cell r="D557">
            <v>12</v>
          </cell>
          <cell r="AB557">
            <v>46.2</v>
          </cell>
        </row>
        <row r="558">
          <cell r="D558">
            <v>12</v>
          </cell>
          <cell r="AB558">
            <v>233.20000000000005</v>
          </cell>
        </row>
        <row r="559">
          <cell r="D559">
            <v>12</v>
          </cell>
          <cell r="AB559">
            <v>1384.4160000000002</v>
          </cell>
        </row>
        <row r="560">
          <cell r="D560">
            <v>12</v>
          </cell>
          <cell r="AB560">
            <v>383.625</v>
          </cell>
        </row>
        <row r="561">
          <cell r="D561">
            <v>12</v>
          </cell>
          <cell r="AB561">
            <v>1253.4025263157896</v>
          </cell>
        </row>
        <row r="562">
          <cell r="D562">
            <v>12</v>
          </cell>
          <cell r="AB562">
            <v>277.20000000000005</v>
          </cell>
        </row>
        <row r="563">
          <cell r="D563">
            <v>12</v>
          </cell>
          <cell r="AB563">
            <v>298.65000000000003</v>
          </cell>
        </row>
        <row r="564">
          <cell r="D564">
            <v>12</v>
          </cell>
          <cell r="AB564">
            <v>193.6</v>
          </cell>
        </row>
        <row r="565">
          <cell r="D565">
            <v>12</v>
          </cell>
          <cell r="AB565">
            <v>242.55</v>
          </cell>
        </row>
        <row r="566">
          <cell r="D566">
            <v>12</v>
          </cell>
          <cell r="AB566">
            <v>224.40000000000003</v>
          </cell>
        </row>
        <row r="567">
          <cell r="D567">
            <v>12</v>
          </cell>
          <cell r="AB567">
            <v>517</v>
          </cell>
        </row>
        <row r="568">
          <cell r="D568">
            <v>12</v>
          </cell>
          <cell r="AB568">
            <v>528.95700000000011</v>
          </cell>
        </row>
        <row r="569">
          <cell r="D569">
            <v>12</v>
          </cell>
          <cell r="AB569">
            <v>1292.1480000000001</v>
          </cell>
        </row>
        <row r="570">
          <cell r="D570">
            <v>12</v>
          </cell>
          <cell r="AB570">
            <v>496.78200000000004</v>
          </cell>
        </row>
        <row r="571">
          <cell r="D571">
            <v>12</v>
          </cell>
          <cell r="AB571">
            <v>1230.3720000000003</v>
          </cell>
        </row>
        <row r="572">
          <cell r="D572">
            <v>12</v>
          </cell>
          <cell r="AB572">
            <v>314.73750000000013</v>
          </cell>
        </row>
        <row r="573">
          <cell r="D573">
            <v>12</v>
          </cell>
          <cell r="AB573">
            <v>0</v>
          </cell>
        </row>
        <row r="574">
          <cell r="D574">
            <v>12</v>
          </cell>
          <cell r="AB574">
            <v>998.71199999999999</v>
          </cell>
        </row>
        <row r="575">
          <cell r="D575">
            <v>12</v>
          </cell>
          <cell r="AB575">
            <v>193.04999999999998</v>
          </cell>
        </row>
        <row r="576">
          <cell r="D576">
            <v>12</v>
          </cell>
          <cell r="AB576">
            <v>214.5</v>
          </cell>
        </row>
        <row r="577">
          <cell r="D577">
            <v>12</v>
          </cell>
          <cell r="AB577">
            <v>194.15000000000003</v>
          </cell>
        </row>
        <row r="578">
          <cell r="D578">
            <v>12</v>
          </cell>
          <cell r="AB578">
            <v>197.17499999999998</v>
          </cell>
        </row>
        <row r="579">
          <cell r="D579">
            <v>12</v>
          </cell>
          <cell r="AB579">
            <v>312.40000000000003</v>
          </cell>
        </row>
        <row r="580">
          <cell r="D580">
            <v>12</v>
          </cell>
          <cell r="AB580">
            <v>376.86000000000007</v>
          </cell>
        </row>
        <row r="581">
          <cell r="D581">
            <v>12</v>
          </cell>
          <cell r="AB581">
            <v>396</v>
          </cell>
        </row>
        <row r="582">
          <cell r="D582">
            <v>12</v>
          </cell>
          <cell r="AB582">
            <v>534.10500000000002</v>
          </cell>
        </row>
        <row r="583">
          <cell r="D583">
            <v>12</v>
          </cell>
          <cell r="AB583">
            <v>1352.6370000000002</v>
          </cell>
        </row>
        <row r="584">
          <cell r="D584">
            <v>12</v>
          </cell>
          <cell r="AB584">
            <v>167.2</v>
          </cell>
        </row>
        <row r="585">
          <cell r="D585">
            <v>12</v>
          </cell>
          <cell r="AB585">
            <v>1773.8600000000001</v>
          </cell>
        </row>
        <row r="586">
          <cell r="D586">
            <v>12</v>
          </cell>
          <cell r="AB586">
            <v>206.25</v>
          </cell>
        </row>
        <row r="587">
          <cell r="D587">
            <v>12</v>
          </cell>
          <cell r="AB587">
            <v>1736.0475000000001</v>
          </cell>
        </row>
        <row r="588">
          <cell r="D588">
            <v>12</v>
          </cell>
          <cell r="AB588">
            <v>1773.8600000000001</v>
          </cell>
        </row>
        <row r="589">
          <cell r="D589">
            <v>12</v>
          </cell>
          <cell r="AB589">
            <v>0</v>
          </cell>
        </row>
        <row r="590">
          <cell r="D590">
            <v>12</v>
          </cell>
          <cell r="AB590">
            <v>305.44799999999998</v>
          </cell>
        </row>
        <row r="591">
          <cell r="D591">
            <v>12</v>
          </cell>
          <cell r="AB591">
            <v>468.46800000000002</v>
          </cell>
        </row>
        <row r="592">
          <cell r="D592">
            <v>12</v>
          </cell>
          <cell r="AB592">
            <v>99</v>
          </cell>
        </row>
        <row r="593">
          <cell r="D593">
            <v>12</v>
          </cell>
          <cell r="AB593">
            <v>209.55</v>
          </cell>
        </row>
        <row r="594">
          <cell r="D594">
            <v>12</v>
          </cell>
          <cell r="AB594">
            <v>206.14</v>
          </cell>
        </row>
        <row r="595">
          <cell r="D595">
            <v>12</v>
          </cell>
          <cell r="AB595">
            <v>202.4</v>
          </cell>
        </row>
        <row r="596">
          <cell r="D596">
            <v>12</v>
          </cell>
          <cell r="AB596">
            <v>2315.94</v>
          </cell>
        </row>
        <row r="597">
          <cell r="D597">
            <v>12</v>
          </cell>
          <cell r="AB597">
            <v>1736.0475000000001</v>
          </cell>
        </row>
        <row r="598">
          <cell r="D598">
            <v>12</v>
          </cell>
          <cell r="AB598">
            <v>367.12499999999994</v>
          </cell>
        </row>
        <row r="599">
          <cell r="D599">
            <v>12</v>
          </cell>
          <cell r="AB599">
            <v>169.95</v>
          </cell>
        </row>
        <row r="600">
          <cell r="D600">
            <v>12</v>
          </cell>
          <cell r="AB600">
            <v>555.98400000000004</v>
          </cell>
        </row>
        <row r="601">
          <cell r="D601">
            <v>12</v>
          </cell>
          <cell r="AB601">
            <v>295.1520000000001</v>
          </cell>
        </row>
        <row r="602">
          <cell r="D602">
            <v>12</v>
          </cell>
          <cell r="AB602">
            <v>33</v>
          </cell>
        </row>
        <row r="603">
          <cell r="D603">
            <v>12</v>
          </cell>
          <cell r="AB603">
            <v>118.80000000000001</v>
          </cell>
        </row>
        <row r="604">
          <cell r="D604">
            <v>12</v>
          </cell>
          <cell r="AB604">
            <v>226.7294117647059</v>
          </cell>
        </row>
        <row r="605">
          <cell r="D605">
            <v>12</v>
          </cell>
          <cell r="AB605">
            <v>193.05</v>
          </cell>
        </row>
        <row r="606">
          <cell r="D606">
            <v>12</v>
          </cell>
          <cell r="AB606">
            <v>217.8</v>
          </cell>
        </row>
        <row r="607">
          <cell r="D607">
            <v>12</v>
          </cell>
          <cell r="AB607">
            <v>207.90000000000003</v>
          </cell>
        </row>
        <row r="608">
          <cell r="D608">
            <v>12</v>
          </cell>
          <cell r="AB608">
            <v>234.3</v>
          </cell>
        </row>
        <row r="609">
          <cell r="D609">
            <v>12</v>
          </cell>
          <cell r="AB609">
            <v>217.8</v>
          </cell>
        </row>
        <row r="610">
          <cell r="D610">
            <v>12</v>
          </cell>
          <cell r="AB610">
            <v>369.6</v>
          </cell>
        </row>
        <row r="611">
          <cell r="D611">
            <v>12</v>
          </cell>
          <cell r="AB611">
            <v>1596.672</v>
          </cell>
        </row>
        <row r="612">
          <cell r="D612">
            <v>12</v>
          </cell>
          <cell r="AB612">
            <v>580.79999999999995</v>
          </cell>
        </row>
        <row r="613">
          <cell r="D613">
            <v>12</v>
          </cell>
          <cell r="AB613">
            <v>508.36499999999995</v>
          </cell>
        </row>
        <row r="614">
          <cell r="D614">
            <v>12</v>
          </cell>
          <cell r="AB614">
            <v>1178.8920000000001</v>
          </cell>
        </row>
        <row r="615">
          <cell r="D615">
            <v>12</v>
          </cell>
          <cell r="AB615">
            <v>1350.3600000000001</v>
          </cell>
        </row>
        <row r="616">
          <cell r="D616">
            <v>12</v>
          </cell>
          <cell r="AB616">
            <v>1550.0099999999998</v>
          </cell>
        </row>
        <row r="617">
          <cell r="D617">
            <v>12</v>
          </cell>
          <cell r="AB617">
            <v>1506.45</v>
          </cell>
        </row>
        <row r="618">
          <cell r="D618">
            <v>12</v>
          </cell>
          <cell r="AB618">
            <v>3142.6725000000006</v>
          </cell>
        </row>
        <row r="619">
          <cell r="D619">
            <v>12</v>
          </cell>
          <cell r="AB619">
            <v>295.72399999999999</v>
          </cell>
        </row>
        <row r="620">
          <cell r="D620">
            <v>12</v>
          </cell>
          <cell r="AB620">
            <v>123.55200000000002</v>
          </cell>
        </row>
        <row r="621">
          <cell r="D621">
            <v>12</v>
          </cell>
          <cell r="AB621">
            <v>105.60000000000001</v>
          </cell>
        </row>
        <row r="622">
          <cell r="D622">
            <v>12</v>
          </cell>
          <cell r="AB622">
            <v>221.10000000000005</v>
          </cell>
        </row>
        <row r="623">
          <cell r="D623">
            <v>12</v>
          </cell>
          <cell r="AB623">
            <v>367.12499999999994</v>
          </cell>
        </row>
        <row r="624">
          <cell r="D624">
            <v>12</v>
          </cell>
          <cell r="AB624">
            <v>396</v>
          </cell>
        </row>
        <row r="625">
          <cell r="D625">
            <v>12</v>
          </cell>
          <cell r="AB625">
            <v>534.10500000000002</v>
          </cell>
        </row>
        <row r="626">
          <cell r="D626">
            <v>12</v>
          </cell>
          <cell r="AB626">
            <v>1352.6370000000002</v>
          </cell>
        </row>
        <row r="627">
          <cell r="D627">
            <v>12</v>
          </cell>
          <cell r="AB627">
            <v>1736.0475000000001</v>
          </cell>
        </row>
        <row r="628">
          <cell r="D628">
            <v>12</v>
          </cell>
          <cell r="AB628">
            <v>1773.8600000000001</v>
          </cell>
        </row>
        <row r="629">
          <cell r="D629">
            <v>12</v>
          </cell>
          <cell r="AB629">
            <v>0</v>
          </cell>
        </row>
        <row r="630">
          <cell r="D630">
            <v>12</v>
          </cell>
          <cell r="AB630">
            <v>3142.6725000000006</v>
          </cell>
        </row>
        <row r="631">
          <cell r="D631">
            <v>12</v>
          </cell>
          <cell r="AB631">
            <v>221.10000000000005</v>
          </cell>
        </row>
        <row r="632">
          <cell r="D632">
            <v>12</v>
          </cell>
          <cell r="AB632">
            <v>197.17499999999998</v>
          </cell>
        </row>
        <row r="633">
          <cell r="D633">
            <v>12</v>
          </cell>
          <cell r="AB633">
            <v>580.79999999999995</v>
          </cell>
        </row>
        <row r="634">
          <cell r="D634">
            <v>12</v>
          </cell>
          <cell r="AB634">
            <v>508.36499999999995</v>
          </cell>
        </row>
        <row r="635">
          <cell r="D635">
            <v>12</v>
          </cell>
          <cell r="AB635">
            <v>1178.8920000000001</v>
          </cell>
        </row>
        <row r="636">
          <cell r="D636">
            <v>12</v>
          </cell>
          <cell r="AB636">
            <v>1350.3600000000001</v>
          </cell>
        </row>
        <row r="637">
          <cell r="D637">
            <v>12</v>
          </cell>
          <cell r="AB637">
            <v>1550.0099999999998</v>
          </cell>
        </row>
        <row r="638">
          <cell r="D638">
            <v>12</v>
          </cell>
          <cell r="AB638">
            <v>1506.45</v>
          </cell>
        </row>
        <row r="639">
          <cell r="D639">
            <v>12</v>
          </cell>
          <cell r="AB639">
            <v>0</v>
          </cell>
        </row>
        <row r="640">
          <cell r="D640">
            <v>12</v>
          </cell>
          <cell r="AB640">
            <v>167.2</v>
          </cell>
        </row>
        <row r="641">
          <cell r="D641">
            <v>12</v>
          </cell>
          <cell r="AB641">
            <v>33</v>
          </cell>
        </row>
        <row r="642">
          <cell r="D642">
            <v>12</v>
          </cell>
          <cell r="AB642">
            <v>118.80000000000001</v>
          </cell>
        </row>
        <row r="643">
          <cell r="D643">
            <v>12</v>
          </cell>
          <cell r="AB643">
            <v>226.7294117647059</v>
          </cell>
        </row>
        <row r="644">
          <cell r="D644">
            <v>12</v>
          </cell>
          <cell r="AB644">
            <v>193.05</v>
          </cell>
        </row>
        <row r="645">
          <cell r="D645">
            <v>12</v>
          </cell>
          <cell r="AB645">
            <v>217.8</v>
          </cell>
        </row>
        <row r="646">
          <cell r="D646">
            <v>12</v>
          </cell>
          <cell r="AB646">
            <v>207.90000000000003</v>
          </cell>
        </row>
        <row r="647">
          <cell r="D647">
            <v>12</v>
          </cell>
          <cell r="AB647">
            <v>376.86000000000007</v>
          </cell>
        </row>
        <row r="648">
          <cell r="D648">
            <v>12</v>
          </cell>
          <cell r="AB648">
            <v>206.25</v>
          </cell>
        </row>
        <row r="649">
          <cell r="D649">
            <v>12</v>
          </cell>
          <cell r="AB649">
            <v>312.40000000000003</v>
          </cell>
        </row>
        <row r="650">
          <cell r="D650">
            <v>12</v>
          </cell>
          <cell r="AB650">
            <v>217.8</v>
          </cell>
        </row>
        <row r="651">
          <cell r="D651">
            <v>12</v>
          </cell>
          <cell r="AB651">
            <v>193.04999999999998</v>
          </cell>
        </row>
        <row r="652">
          <cell r="D652">
            <v>12</v>
          </cell>
          <cell r="AB652">
            <v>295.1520000000001</v>
          </cell>
        </row>
        <row r="653">
          <cell r="D653">
            <v>12</v>
          </cell>
          <cell r="AB653">
            <v>555.98400000000004</v>
          </cell>
        </row>
        <row r="654">
          <cell r="D654">
            <v>12</v>
          </cell>
          <cell r="AB654">
            <v>214.5</v>
          </cell>
        </row>
        <row r="655">
          <cell r="D655">
            <v>12</v>
          </cell>
          <cell r="AB655">
            <v>194.15000000000003</v>
          </cell>
        </row>
        <row r="656">
          <cell r="D656">
            <v>12</v>
          </cell>
          <cell r="AB656">
            <v>369.6</v>
          </cell>
        </row>
        <row r="657">
          <cell r="D657">
            <v>12</v>
          </cell>
          <cell r="AB657">
            <v>105.60000000000001</v>
          </cell>
        </row>
        <row r="658">
          <cell r="D658">
            <v>12</v>
          </cell>
          <cell r="AB658">
            <v>123.55200000000002</v>
          </cell>
        </row>
        <row r="659">
          <cell r="D659">
            <v>12</v>
          </cell>
          <cell r="AB659">
            <v>234.3</v>
          </cell>
        </row>
        <row r="660">
          <cell r="D660">
            <v>12</v>
          </cell>
          <cell r="AB660">
            <v>295.72399999999999</v>
          </cell>
        </row>
        <row r="661">
          <cell r="D661">
            <v>12</v>
          </cell>
          <cell r="AB661">
            <v>295.35000000000002</v>
          </cell>
        </row>
        <row r="662">
          <cell r="D662">
            <v>12</v>
          </cell>
          <cell r="AB662">
            <v>201.3</v>
          </cell>
        </row>
        <row r="663">
          <cell r="D663">
            <v>12</v>
          </cell>
          <cell r="AB663">
            <v>323.87142857142857</v>
          </cell>
        </row>
        <row r="664">
          <cell r="D664">
            <v>12</v>
          </cell>
          <cell r="AB664">
            <v>532.125</v>
          </cell>
        </row>
        <row r="665">
          <cell r="D665">
            <v>12</v>
          </cell>
          <cell r="AB665">
            <v>1451.6370000000002</v>
          </cell>
        </row>
        <row r="666">
          <cell r="D666">
            <v>12</v>
          </cell>
          <cell r="AB666">
            <v>609.40000000000009</v>
          </cell>
        </row>
        <row r="667">
          <cell r="D667">
            <v>12</v>
          </cell>
          <cell r="AB667">
            <v>323.40000000000003</v>
          </cell>
        </row>
        <row r="668">
          <cell r="D668">
            <v>12</v>
          </cell>
          <cell r="AB668">
            <v>249.74400000000006</v>
          </cell>
        </row>
        <row r="669">
          <cell r="D669">
            <v>12</v>
          </cell>
          <cell r="AB669">
            <v>244.06800000000004</v>
          </cell>
        </row>
        <row r="670">
          <cell r="D670">
            <v>12</v>
          </cell>
          <cell r="AB670">
            <v>124.87200000000001</v>
          </cell>
        </row>
        <row r="671">
          <cell r="D671">
            <v>12</v>
          </cell>
          <cell r="AB671">
            <v>178.20000000000002</v>
          </cell>
        </row>
        <row r="672">
          <cell r="D672">
            <v>12</v>
          </cell>
          <cell r="AB672">
            <v>194.70000000000002</v>
          </cell>
        </row>
        <row r="673">
          <cell r="D673">
            <v>12</v>
          </cell>
          <cell r="AB673">
            <v>254.65000000000003</v>
          </cell>
        </row>
        <row r="674">
          <cell r="D674">
            <v>12</v>
          </cell>
          <cell r="AB674">
            <v>201.3</v>
          </cell>
        </row>
        <row r="675">
          <cell r="D675">
            <v>12</v>
          </cell>
          <cell r="AB675">
            <v>85.140000000000015</v>
          </cell>
        </row>
        <row r="676">
          <cell r="D676">
            <v>12</v>
          </cell>
          <cell r="AB676">
            <v>174.9</v>
          </cell>
        </row>
        <row r="677">
          <cell r="D677">
            <v>12</v>
          </cell>
          <cell r="AB677">
            <v>522.19200000000012</v>
          </cell>
        </row>
        <row r="678">
          <cell r="D678">
            <v>12</v>
          </cell>
          <cell r="AB678">
            <v>418</v>
          </cell>
        </row>
        <row r="679">
          <cell r="D679">
            <v>12</v>
          </cell>
          <cell r="AB679">
            <v>152.625</v>
          </cell>
        </row>
        <row r="680">
          <cell r="D680">
            <v>12</v>
          </cell>
          <cell r="AB680">
            <v>191.4</v>
          </cell>
        </row>
        <row r="681">
          <cell r="D681">
            <v>12</v>
          </cell>
          <cell r="AB681">
            <v>158.4</v>
          </cell>
        </row>
        <row r="682">
          <cell r="D682">
            <v>12</v>
          </cell>
          <cell r="AB682">
            <v>1033.0319999999997</v>
          </cell>
        </row>
        <row r="683">
          <cell r="D683">
            <v>12</v>
          </cell>
          <cell r="AB683">
            <v>244.06800000000004</v>
          </cell>
        </row>
        <row r="684">
          <cell r="D684">
            <v>12</v>
          </cell>
          <cell r="AB684">
            <v>196.35000000000002</v>
          </cell>
        </row>
        <row r="685">
          <cell r="D685">
            <v>12</v>
          </cell>
          <cell r="AB685">
            <v>921.40400000000011</v>
          </cell>
        </row>
        <row r="686">
          <cell r="D686">
            <v>12</v>
          </cell>
          <cell r="AB686">
            <v>754.90800000000013</v>
          </cell>
        </row>
        <row r="687">
          <cell r="D687">
            <v>12</v>
          </cell>
          <cell r="AB687">
            <v>1060.8960000000002</v>
          </cell>
        </row>
        <row r="688">
          <cell r="D688">
            <v>12</v>
          </cell>
          <cell r="AB688">
            <v>793.221</v>
          </cell>
        </row>
        <row r="689">
          <cell r="D689">
            <v>12</v>
          </cell>
          <cell r="AB689">
            <v>1515.4920000000002</v>
          </cell>
        </row>
        <row r="690">
          <cell r="D690">
            <v>12</v>
          </cell>
          <cell r="AB690">
            <v>624.36</v>
          </cell>
        </row>
        <row r="691">
          <cell r="D691">
            <v>12</v>
          </cell>
          <cell r="AB691">
            <v>339.9</v>
          </cell>
        </row>
        <row r="692">
          <cell r="D692">
            <v>12</v>
          </cell>
          <cell r="AB692">
            <v>183.15</v>
          </cell>
        </row>
        <row r="693">
          <cell r="D693">
            <v>12</v>
          </cell>
          <cell r="AB693">
            <v>360.25</v>
          </cell>
        </row>
        <row r="694">
          <cell r="D694">
            <v>12</v>
          </cell>
          <cell r="AB694">
            <v>394.90000000000009</v>
          </cell>
        </row>
        <row r="695">
          <cell r="D695">
            <v>12</v>
          </cell>
          <cell r="AB695">
            <v>233.75000000000006</v>
          </cell>
        </row>
        <row r="696">
          <cell r="D696">
            <v>12</v>
          </cell>
          <cell r="AB696">
            <v>396.41250000000002</v>
          </cell>
        </row>
        <row r="697">
          <cell r="D697">
            <v>12</v>
          </cell>
          <cell r="AB697">
            <v>1494.6799999999998</v>
          </cell>
        </row>
        <row r="698">
          <cell r="D698">
            <v>12</v>
          </cell>
          <cell r="AB698">
            <v>193.60000000000002</v>
          </cell>
        </row>
        <row r="699">
          <cell r="D699">
            <v>12</v>
          </cell>
          <cell r="AB699">
            <v>56.100000000000009</v>
          </cell>
        </row>
        <row r="700">
          <cell r="D700">
            <v>12</v>
          </cell>
          <cell r="AB700">
            <v>509.42099999999994</v>
          </cell>
        </row>
        <row r="701">
          <cell r="D701">
            <v>12</v>
          </cell>
          <cell r="AB701">
            <v>278.12400000000002</v>
          </cell>
        </row>
        <row r="702">
          <cell r="D702">
            <v>12</v>
          </cell>
          <cell r="AB702">
            <v>1014.585</v>
          </cell>
        </row>
        <row r="703">
          <cell r="D703">
            <v>12</v>
          </cell>
          <cell r="AB703">
            <v>732.20400000000018</v>
          </cell>
        </row>
        <row r="704">
          <cell r="D704">
            <v>12</v>
          </cell>
          <cell r="AB704">
            <v>275.13750000000005</v>
          </cell>
        </row>
        <row r="705">
          <cell r="D705">
            <v>12</v>
          </cell>
          <cell r="AB705">
            <v>557.05885714285728</v>
          </cell>
        </row>
        <row r="706">
          <cell r="D706">
            <v>12</v>
          </cell>
          <cell r="AB706">
            <v>722.74400000000003</v>
          </cell>
        </row>
        <row r="707">
          <cell r="D707">
            <v>12</v>
          </cell>
          <cell r="AB707">
            <v>902.48400000000015</v>
          </cell>
        </row>
        <row r="708">
          <cell r="D708">
            <v>12</v>
          </cell>
          <cell r="AB708">
            <v>280.5</v>
          </cell>
        </row>
        <row r="709">
          <cell r="D709">
            <v>12</v>
          </cell>
          <cell r="AB709">
            <v>800.31600000000014</v>
          </cell>
        </row>
        <row r="710">
          <cell r="D710">
            <v>12</v>
          </cell>
          <cell r="AB710">
            <v>323.40000000000003</v>
          </cell>
        </row>
        <row r="711">
          <cell r="D711">
            <v>12</v>
          </cell>
          <cell r="AB711">
            <v>82.500000000000014</v>
          </cell>
        </row>
        <row r="712">
          <cell r="D712">
            <v>12</v>
          </cell>
          <cell r="AB712">
            <v>55.000000000000007</v>
          </cell>
        </row>
        <row r="713">
          <cell r="D713">
            <v>12</v>
          </cell>
          <cell r="AB713">
            <v>56.100000000000009</v>
          </cell>
        </row>
        <row r="714">
          <cell r="D714">
            <v>12</v>
          </cell>
          <cell r="AB714">
            <v>244.06800000000004</v>
          </cell>
        </row>
        <row r="715">
          <cell r="D715">
            <v>12</v>
          </cell>
          <cell r="AB715">
            <v>244.06800000000004</v>
          </cell>
        </row>
        <row r="716">
          <cell r="D716">
            <v>12</v>
          </cell>
          <cell r="AB716">
            <v>85.140000000000015</v>
          </cell>
        </row>
        <row r="717">
          <cell r="D717">
            <v>12</v>
          </cell>
          <cell r="AB717">
            <v>249.74400000000006</v>
          </cell>
        </row>
        <row r="718">
          <cell r="D718">
            <v>12</v>
          </cell>
          <cell r="AB718">
            <v>522.19200000000012</v>
          </cell>
        </row>
        <row r="719">
          <cell r="D719">
            <v>12</v>
          </cell>
          <cell r="AB719">
            <v>141.9</v>
          </cell>
        </row>
        <row r="720">
          <cell r="D720">
            <v>12</v>
          </cell>
          <cell r="AB720">
            <v>127.71000000000001</v>
          </cell>
        </row>
        <row r="721">
          <cell r="D721">
            <v>12</v>
          </cell>
          <cell r="AB721">
            <v>272.44799999999998</v>
          </cell>
        </row>
        <row r="722">
          <cell r="D722">
            <v>12</v>
          </cell>
          <cell r="AB722">
            <v>269.60999999999996</v>
          </cell>
        </row>
        <row r="723">
          <cell r="D723">
            <v>12</v>
          </cell>
          <cell r="AB723">
            <v>1307.3720000000001</v>
          </cell>
        </row>
        <row r="724">
          <cell r="D724">
            <v>12</v>
          </cell>
          <cell r="AB724">
            <v>245.96000000000004</v>
          </cell>
        </row>
        <row r="725">
          <cell r="D725">
            <v>12</v>
          </cell>
          <cell r="AB725">
            <v>394.90000000000009</v>
          </cell>
        </row>
        <row r="726">
          <cell r="D726">
            <v>12</v>
          </cell>
          <cell r="AB726">
            <v>280.5</v>
          </cell>
        </row>
        <row r="727">
          <cell r="D727">
            <v>12</v>
          </cell>
          <cell r="AB727">
            <v>396.41250000000002</v>
          </cell>
        </row>
        <row r="728">
          <cell r="D728">
            <v>12</v>
          </cell>
          <cell r="AB728">
            <v>196.35000000000002</v>
          </cell>
        </row>
        <row r="729">
          <cell r="D729">
            <v>12</v>
          </cell>
          <cell r="AB729">
            <v>191.4</v>
          </cell>
        </row>
        <row r="730">
          <cell r="D730">
            <v>12</v>
          </cell>
          <cell r="AB730">
            <v>275.13750000000005</v>
          </cell>
        </row>
        <row r="731">
          <cell r="D731">
            <v>12</v>
          </cell>
          <cell r="AB731">
            <v>233.75000000000006</v>
          </cell>
        </row>
        <row r="732">
          <cell r="D732">
            <v>12</v>
          </cell>
          <cell r="AB732">
            <v>254.65000000000003</v>
          </cell>
        </row>
        <row r="733">
          <cell r="D733">
            <v>12</v>
          </cell>
          <cell r="AB733">
            <v>193.60000000000002</v>
          </cell>
        </row>
        <row r="734">
          <cell r="D734">
            <v>12</v>
          </cell>
          <cell r="AB734">
            <v>94.600000000000023</v>
          </cell>
        </row>
        <row r="735">
          <cell r="D735">
            <v>12</v>
          </cell>
          <cell r="AB735">
            <v>74.25</v>
          </cell>
        </row>
        <row r="736">
          <cell r="D736">
            <v>12</v>
          </cell>
          <cell r="AB736">
            <v>54.45</v>
          </cell>
        </row>
        <row r="737">
          <cell r="D737">
            <v>12</v>
          </cell>
          <cell r="AB737">
            <v>622.46800000000007</v>
          </cell>
        </row>
        <row r="738">
          <cell r="D738">
            <v>12</v>
          </cell>
          <cell r="AB738">
            <v>90.816000000000003</v>
          </cell>
        </row>
        <row r="739">
          <cell r="D739">
            <v>12</v>
          </cell>
          <cell r="AB739">
            <v>82.500000000000014</v>
          </cell>
        </row>
        <row r="740">
          <cell r="D740">
            <v>12</v>
          </cell>
          <cell r="AB740">
            <v>418</v>
          </cell>
        </row>
        <row r="741">
          <cell r="D741">
            <v>12</v>
          </cell>
          <cell r="AB741">
            <v>152.625</v>
          </cell>
        </row>
        <row r="742">
          <cell r="D742">
            <v>12</v>
          </cell>
          <cell r="AB742">
            <v>158.4</v>
          </cell>
        </row>
        <row r="743">
          <cell r="D743">
            <v>12</v>
          </cell>
          <cell r="AB743">
            <v>201.3</v>
          </cell>
        </row>
        <row r="744">
          <cell r="D744">
            <v>12</v>
          </cell>
          <cell r="AB744">
            <v>174.9</v>
          </cell>
        </row>
        <row r="745">
          <cell r="D745">
            <v>12</v>
          </cell>
          <cell r="AB745">
            <v>201.3</v>
          </cell>
        </row>
        <row r="746">
          <cell r="D746">
            <v>12</v>
          </cell>
          <cell r="AB746">
            <v>113.52000000000001</v>
          </cell>
        </row>
        <row r="747">
          <cell r="D747">
            <v>12</v>
          </cell>
          <cell r="AB747">
            <v>609.40000000000009</v>
          </cell>
        </row>
        <row r="748">
          <cell r="D748">
            <v>12</v>
          </cell>
          <cell r="AB748">
            <v>213.26250000000005</v>
          </cell>
        </row>
        <row r="749">
          <cell r="D749">
            <v>12</v>
          </cell>
          <cell r="AB749">
            <v>94.600000000000023</v>
          </cell>
        </row>
        <row r="750">
          <cell r="D750">
            <v>12</v>
          </cell>
          <cell r="AB750">
            <v>74.25</v>
          </cell>
        </row>
        <row r="751">
          <cell r="D751">
            <v>12</v>
          </cell>
          <cell r="AB751">
            <v>594.56100000000004</v>
          </cell>
        </row>
        <row r="752">
          <cell r="D752">
            <v>12</v>
          </cell>
          <cell r="AB752">
            <v>54.45</v>
          </cell>
        </row>
        <row r="753">
          <cell r="D753">
            <v>12</v>
          </cell>
          <cell r="AB753">
            <v>55.000000000000007</v>
          </cell>
        </row>
        <row r="754">
          <cell r="D754">
            <v>12</v>
          </cell>
          <cell r="AB754">
            <v>90.816000000000003</v>
          </cell>
        </row>
        <row r="755">
          <cell r="D755">
            <v>12</v>
          </cell>
          <cell r="AB755">
            <v>295.35000000000002</v>
          </cell>
        </row>
        <row r="756">
          <cell r="D756">
            <v>12</v>
          </cell>
          <cell r="AB756">
            <v>1388.04</v>
          </cell>
          <cell r="AE756">
            <v>1</v>
          </cell>
        </row>
        <row r="757">
          <cell r="D757">
            <v>12</v>
          </cell>
          <cell r="AB757">
            <v>532.125</v>
          </cell>
        </row>
        <row r="758">
          <cell r="D758">
            <v>12</v>
          </cell>
          <cell r="AB758">
            <v>1362.2400000000002</v>
          </cell>
          <cell r="AE758">
            <v>1</v>
          </cell>
        </row>
        <row r="759">
          <cell r="D759">
            <v>12</v>
          </cell>
          <cell r="AB759">
            <v>1033.0319999999997</v>
          </cell>
        </row>
        <row r="760">
          <cell r="D760">
            <v>12</v>
          </cell>
          <cell r="AB760">
            <v>159</v>
          </cell>
          <cell r="AE760">
            <v>1</v>
          </cell>
        </row>
        <row r="761">
          <cell r="D761">
            <v>12</v>
          </cell>
          <cell r="AB761">
            <v>902.48400000000015</v>
          </cell>
        </row>
        <row r="762">
          <cell r="D762">
            <v>12</v>
          </cell>
          <cell r="AB762">
            <v>722.74400000000003</v>
          </cell>
        </row>
        <row r="763">
          <cell r="D763">
            <v>12</v>
          </cell>
          <cell r="AB763">
            <v>557.05885714285728</v>
          </cell>
        </row>
        <row r="764">
          <cell r="D764">
            <v>12</v>
          </cell>
          <cell r="AB764">
            <v>204.33600000000001</v>
          </cell>
        </row>
        <row r="765">
          <cell r="D765">
            <v>12</v>
          </cell>
          <cell r="AB765">
            <v>244.06800000000004</v>
          </cell>
        </row>
        <row r="766">
          <cell r="D766">
            <v>12</v>
          </cell>
          <cell r="AB766">
            <v>54.45</v>
          </cell>
        </row>
        <row r="767">
          <cell r="D767">
            <v>12</v>
          </cell>
          <cell r="AB767">
            <v>401.49999999999994</v>
          </cell>
        </row>
        <row r="768">
          <cell r="D768">
            <v>12</v>
          </cell>
          <cell r="AB768">
            <v>2140.6000000000004</v>
          </cell>
        </row>
        <row r="769">
          <cell r="D769">
            <v>12</v>
          </cell>
          <cell r="AB769">
            <v>0</v>
          </cell>
        </row>
        <row r="770">
          <cell r="D770">
            <v>12</v>
          </cell>
          <cell r="AB770">
            <v>1541.0340000000003</v>
          </cell>
        </row>
        <row r="771">
          <cell r="D771">
            <v>12</v>
          </cell>
          <cell r="AB771">
            <v>1541.0340000000003</v>
          </cell>
        </row>
        <row r="772">
          <cell r="D772">
            <v>12</v>
          </cell>
          <cell r="AB772">
            <v>1484.2740000000003</v>
          </cell>
        </row>
        <row r="773">
          <cell r="D773">
            <v>12</v>
          </cell>
          <cell r="AB773">
            <v>155.92500000000001</v>
          </cell>
        </row>
        <row r="774">
          <cell r="D774">
            <v>12</v>
          </cell>
          <cell r="AB774">
            <v>425.7000000000001</v>
          </cell>
        </row>
        <row r="775">
          <cell r="D775">
            <v>12</v>
          </cell>
          <cell r="AB775">
            <v>166.32000000000002</v>
          </cell>
        </row>
        <row r="776">
          <cell r="D776">
            <v>12</v>
          </cell>
          <cell r="AB776">
            <v>504.59999999999997</v>
          </cell>
        </row>
        <row r="777">
          <cell r="D777">
            <v>12</v>
          </cell>
          <cell r="AB777">
            <v>226.6</v>
          </cell>
        </row>
        <row r="778">
          <cell r="D778">
            <v>12</v>
          </cell>
          <cell r="AB778">
            <v>231.82500000000002</v>
          </cell>
        </row>
        <row r="779">
          <cell r="D779">
            <v>12</v>
          </cell>
          <cell r="AB779">
            <v>300.63</v>
          </cell>
        </row>
        <row r="780">
          <cell r="D780">
            <v>12</v>
          </cell>
          <cell r="AB780">
            <v>232.10000000000002</v>
          </cell>
        </row>
        <row r="781">
          <cell r="D781">
            <v>12</v>
          </cell>
          <cell r="AB781">
            <v>206.25</v>
          </cell>
        </row>
        <row r="782">
          <cell r="D782">
            <v>12</v>
          </cell>
          <cell r="AB782">
            <v>872.68499999999995</v>
          </cell>
        </row>
        <row r="783">
          <cell r="D783">
            <v>12</v>
          </cell>
          <cell r="AB783">
            <v>229.31040000000007</v>
          </cell>
        </row>
        <row r="784">
          <cell r="D784">
            <v>12</v>
          </cell>
          <cell r="AB784">
            <v>155.57142857142856</v>
          </cell>
        </row>
        <row r="785">
          <cell r="D785">
            <v>12</v>
          </cell>
          <cell r="AB785">
            <v>58.300000000000011</v>
          </cell>
        </row>
        <row r="786">
          <cell r="D786">
            <v>12</v>
          </cell>
          <cell r="AB786">
            <v>31.35</v>
          </cell>
        </row>
        <row r="787">
          <cell r="D787">
            <v>12</v>
          </cell>
          <cell r="AB787">
            <v>49.5</v>
          </cell>
        </row>
        <row r="788">
          <cell r="D788">
            <v>12</v>
          </cell>
          <cell r="AB788">
            <v>75.900000000000006</v>
          </cell>
        </row>
        <row r="789">
          <cell r="D789">
            <v>12</v>
          </cell>
          <cell r="AB789">
            <v>130.54800000000003</v>
          </cell>
        </row>
        <row r="790">
          <cell r="D790">
            <v>12</v>
          </cell>
          <cell r="AB790">
            <v>754.90800000000013</v>
          </cell>
        </row>
        <row r="791">
          <cell r="D791">
            <v>12</v>
          </cell>
          <cell r="AB791">
            <v>201.49799999999999</v>
          </cell>
        </row>
        <row r="792">
          <cell r="D792">
            <v>12</v>
          </cell>
          <cell r="AB792">
            <v>0</v>
          </cell>
        </row>
        <row r="793">
          <cell r="D793">
            <v>12</v>
          </cell>
          <cell r="AB793">
            <v>422.86200000000002</v>
          </cell>
        </row>
        <row r="794">
          <cell r="D794">
            <v>12</v>
          </cell>
          <cell r="AB794">
            <v>422.86200000000002</v>
          </cell>
        </row>
        <row r="795">
          <cell r="D795">
            <v>12</v>
          </cell>
          <cell r="AB795">
            <v>31.35</v>
          </cell>
        </row>
        <row r="796">
          <cell r="D796">
            <v>12</v>
          </cell>
          <cell r="AB796">
            <v>17.027999999999999</v>
          </cell>
        </row>
        <row r="797">
          <cell r="D797">
            <v>12</v>
          </cell>
          <cell r="AB797">
            <v>17.027999999999999</v>
          </cell>
        </row>
        <row r="798">
          <cell r="D798">
            <v>12</v>
          </cell>
          <cell r="AB798">
            <v>0</v>
          </cell>
        </row>
        <row r="799">
          <cell r="D799">
            <v>12</v>
          </cell>
          <cell r="AB799">
            <v>420.024</v>
          </cell>
        </row>
        <row r="800">
          <cell r="D800">
            <v>12</v>
          </cell>
          <cell r="AB800">
            <v>168.29999999999998</v>
          </cell>
        </row>
        <row r="801">
          <cell r="D801">
            <v>12</v>
          </cell>
          <cell r="AB801">
            <v>183.15</v>
          </cell>
        </row>
        <row r="802">
          <cell r="D802">
            <v>12</v>
          </cell>
          <cell r="AB802">
            <v>291.59999999999138</v>
          </cell>
          <cell r="AE802">
            <v>1</v>
          </cell>
        </row>
        <row r="803">
          <cell r="D803">
            <v>12</v>
          </cell>
          <cell r="AB803">
            <v>664.09199999999987</v>
          </cell>
        </row>
        <row r="804">
          <cell r="D804">
            <v>12</v>
          </cell>
          <cell r="AB804">
            <v>291.59999999999138</v>
          </cell>
          <cell r="AE804">
            <v>1</v>
          </cell>
        </row>
        <row r="805">
          <cell r="D805">
            <v>12</v>
          </cell>
          <cell r="AB805">
            <v>651.32099999999991</v>
          </cell>
        </row>
        <row r="806">
          <cell r="D806">
            <v>12</v>
          </cell>
          <cell r="AB806">
            <v>344.30000000000007</v>
          </cell>
        </row>
        <row r="807">
          <cell r="D807">
            <v>12</v>
          </cell>
          <cell r="AB807">
            <v>3474.24</v>
          </cell>
        </row>
        <row r="808">
          <cell r="D808">
            <v>12</v>
          </cell>
          <cell r="AB808">
            <v>358.04999999999995</v>
          </cell>
        </row>
        <row r="809">
          <cell r="D809">
            <v>12</v>
          </cell>
          <cell r="AB809">
            <v>357.58800000000002</v>
          </cell>
        </row>
        <row r="810">
          <cell r="D810">
            <v>12</v>
          </cell>
          <cell r="AB810">
            <v>217.8</v>
          </cell>
        </row>
        <row r="811">
          <cell r="D811">
            <v>12</v>
          </cell>
          <cell r="AB811">
            <v>265.8857142857143</v>
          </cell>
        </row>
        <row r="812">
          <cell r="D812">
            <v>12</v>
          </cell>
          <cell r="AB812">
            <v>237.12857142857138</v>
          </cell>
        </row>
        <row r="813">
          <cell r="D813">
            <v>12</v>
          </cell>
          <cell r="AB813">
            <v>231.41250000000002</v>
          </cell>
        </row>
        <row r="814">
          <cell r="D814">
            <v>12</v>
          </cell>
          <cell r="AB814">
            <v>155.92500000000001</v>
          </cell>
        </row>
        <row r="815">
          <cell r="D815">
            <v>12</v>
          </cell>
          <cell r="AB815">
            <v>178.20000000000002</v>
          </cell>
        </row>
        <row r="816">
          <cell r="D816">
            <v>12</v>
          </cell>
          <cell r="AB816">
            <v>221.10000000000005</v>
          </cell>
        </row>
        <row r="817">
          <cell r="D817">
            <v>12</v>
          </cell>
          <cell r="AB817">
            <v>191.09199999999998</v>
          </cell>
        </row>
        <row r="818">
          <cell r="D818">
            <v>12</v>
          </cell>
          <cell r="AB818">
            <v>231.41250000000002</v>
          </cell>
        </row>
        <row r="819">
          <cell r="D819">
            <v>12</v>
          </cell>
          <cell r="AB819">
            <v>166.32000000000002</v>
          </cell>
        </row>
        <row r="820">
          <cell r="D820">
            <v>12</v>
          </cell>
          <cell r="AB820">
            <v>17.027999999999999</v>
          </cell>
        </row>
        <row r="821">
          <cell r="D821">
            <v>12</v>
          </cell>
          <cell r="AB821">
            <v>17.027999999999999</v>
          </cell>
        </row>
        <row r="822">
          <cell r="D822">
            <v>12</v>
          </cell>
          <cell r="AB822">
            <v>31.35</v>
          </cell>
        </row>
        <row r="823">
          <cell r="D823">
            <v>12</v>
          </cell>
          <cell r="AB823">
            <v>31.35</v>
          </cell>
        </row>
        <row r="824">
          <cell r="D824">
            <v>12</v>
          </cell>
          <cell r="AB824">
            <v>0</v>
          </cell>
        </row>
        <row r="825">
          <cell r="D825">
            <v>12</v>
          </cell>
          <cell r="AB825">
            <v>681.12000000000012</v>
          </cell>
        </row>
        <row r="826">
          <cell r="D826">
            <v>12</v>
          </cell>
          <cell r="AB826">
            <v>140.25</v>
          </cell>
        </row>
        <row r="827">
          <cell r="D827">
            <v>12</v>
          </cell>
          <cell r="AB827">
            <v>56.760000000000005</v>
          </cell>
        </row>
        <row r="828">
          <cell r="D828">
            <v>12</v>
          </cell>
          <cell r="AB828">
            <v>210.012</v>
          </cell>
        </row>
        <row r="829">
          <cell r="D829">
            <v>12</v>
          </cell>
          <cell r="AB829">
            <v>561.92399999999998</v>
          </cell>
        </row>
        <row r="830">
          <cell r="D830">
            <v>12</v>
          </cell>
          <cell r="AB830">
            <v>11.55</v>
          </cell>
        </row>
        <row r="831">
          <cell r="D831">
            <v>12</v>
          </cell>
          <cell r="AB831">
            <v>56.099999999999994</v>
          </cell>
        </row>
        <row r="832">
          <cell r="D832">
            <v>12</v>
          </cell>
          <cell r="AB832">
            <v>75.900000000000006</v>
          </cell>
        </row>
        <row r="833">
          <cell r="D833">
            <v>12</v>
          </cell>
          <cell r="AB833">
            <v>58.300000000000011</v>
          </cell>
        </row>
        <row r="834">
          <cell r="D834">
            <v>12</v>
          </cell>
          <cell r="AB834">
            <v>245.30000000000004</v>
          </cell>
        </row>
        <row r="835">
          <cell r="D835">
            <v>12</v>
          </cell>
          <cell r="AB835">
            <v>1977.3600000000004</v>
          </cell>
        </row>
        <row r="836">
          <cell r="D836">
            <v>12</v>
          </cell>
          <cell r="AB836">
            <v>0</v>
          </cell>
        </row>
        <row r="837">
          <cell r="D837">
            <v>12</v>
          </cell>
          <cell r="AB837">
            <v>450.00000000001796</v>
          </cell>
          <cell r="AE837">
            <v>1</v>
          </cell>
        </row>
        <row r="838">
          <cell r="D838">
            <v>12</v>
          </cell>
          <cell r="AB838">
            <v>1061.4120000000003</v>
          </cell>
        </row>
        <row r="839">
          <cell r="D839">
            <v>12</v>
          </cell>
          <cell r="AB839">
            <v>1243.0440000000003</v>
          </cell>
        </row>
        <row r="840">
          <cell r="D840">
            <v>12</v>
          </cell>
          <cell r="AB840">
            <v>178.20000000000002</v>
          </cell>
        </row>
        <row r="841">
          <cell r="D841">
            <v>12</v>
          </cell>
          <cell r="AB841">
            <v>189.20000000000002</v>
          </cell>
        </row>
        <row r="842">
          <cell r="D842">
            <v>12</v>
          </cell>
          <cell r="AB842">
            <v>600.00000000000978</v>
          </cell>
          <cell r="AE842">
            <v>1</v>
          </cell>
        </row>
        <row r="843">
          <cell r="D843">
            <v>12</v>
          </cell>
          <cell r="AB843">
            <v>360.64285714285717</v>
          </cell>
        </row>
        <row r="844">
          <cell r="D844">
            <v>12</v>
          </cell>
          <cell r="AB844">
            <v>295.35000000000002</v>
          </cell>
        </row>
        <row r="845">
          <cell r="D845">
            <v>12</v>
          </cell>
          <cell r="AB845">
            <v>170.77500000000001</v>
          </cell>
        </row>
        <row r="846">
          <cell r="D846">
            <v>12</v>
          </cell>
          <cell r="AB846">
            <v>195.52500000000003</v>
          </cell>
        </row>
        <row r="847">
          <cell r="D847">
            <v>12</v>
          </cell>
          <cell r="AB847">
            <v>407</v>
          </cell>
        </row>
        <row r="848">
          <cell r="D848">
            <v>12</v>
          </cell>
          <cell r="AB848">
            <v>122.10000000000001</v>
          </cell>
        </row>
        <row r="849">
          <cell r="D849">
            <v>12</v>
          </cell>
          <cell r="AB849">
            <v>373.19699999999995</v>
          </cell>
        </row>
        <row r="850">
          <cell r="D850">
            <v>12</v>
          </cell>
          <cell r="AB850">
            <v>419.1</v>
          </cell>
        </row>
        <row r="851">
          <cell r="D851">
            <v>12</v>
          </cell>
          <cell r="AB851">
            <v>56.100000000000009</v>
          </cell>
        </row>
        <row r="852">
          <cell r="D852">
            <v>12</v>
          </cell>
          <cell r="AB852">
            <v>70.125</v>
          </cell>
        </row>
        <row r="853">
          <cell r="D853">
            <v>12</v>
          </cell>
          <cell r="AB853">
            <v>182.32499999999999</v>
          </cell>
        </row>
        <row r="854">
          <cell r="D854">
            <v>12</v>
          </cell>
          <cell r="AB854">
            <v>207.42857142857142</v>
          </cell>
        </row>
        <row r="855">
          <cell r="D855">
            <v>12</v>
          </cell>
          <cell r="AB855">
            <v>298.09999999999997</v>
          </cell>
        </row>
        <row r="856">
          <cell r="D856">
            <v>12</v>
          </cell>
          <cell r="AB856">
            <v>2399.9999999999982</v>
          </cell>
          <cell r="AE856">
            <v>1</v>
          </cell>
        </row>
        <row r="857">
          <cell r="D857">
            <v>12</v>
          </cell>
          <cell r="AB857">
            <v>1606.308</v>
          </cell>
        </row>
        <row r="858">
          <cell r="D858">
            <v>12</v>
          </cell>
          <cell r="AB858">
            <v>209</v>
          </cell>
        </row>
        <row r="859">
          <cell r="D859">
            <v>12</v>
          </cell>
          <cell r="AB859">
            <v>1183.4459999999999</v>
          </cell>
        </row>
        <row r="860">
          <cell r="D860">
            <v>12</v>
          </cell>
          <cell r="AB860">
            <v>242.54999999999998</v>
          </cell>
        </row>
        <row r="861">
          <cell r="D861">
            <v>12</v>
          </cell>
          <cell r="AB861">
            <v>388.84999999999991</v>
          </cell>
        </row>
        <row r="862">
          <cell r="D862">
            <v>12</v>
          </cell>
          <cell r="AB862">
            <v>648.48299999999995</v>
          </cell>
        </row>
        <row r="863">
          <cell r="D863">
            <v>12</v>
          </cell>
          <cell r="AB863">
            <v>1377.8490000000002</v>
          </cell>
        </row>
        <row r="864">
          <cell r="D864">
            <v>12</v>
          </cell>
          <cell r="AB864">
            <v>796.53200000000004</v>
          </cell>
        </row>
        <row r="865">
          <cell r="D865">
            <v>12</v>
          </cell>
          <cell r="AB865">
            <v>335.50000000000006</v>
          </cell>
        </row>
        <row r="866">
          <cell r="D866">
            <v>12</v>
          </cell>
          <cell r="AB866">
            <v>226.05</v>
          </cell>
        </row>
        <row r="867">
          <cell r="D867">
            <v>12</v>
          </cell>
          <cell r="AB867">
            <v>221.10000000000005</v>
          </cell>
        </row>
        <row r="868">
          <cell r="D868">
            <v>12</v>
          </cell>
          <cell r="AB868">
            <v>360.25</v>
          </cell>
          <cell r="AE868" t="str">
            <v>İ</v>
          </cell>
        </row>
        <row r="869">
          <cell r="D869">
            <v>12</v>
          </cell>
          <cell r="AB869">
            <v>2277</v>
          </cell>
          <cell r="AE869">
            <v>1</v>
          </cell>
        </row>
        <row r="870">
          <cell r="D870">
            <v>12</v>
          </cell>
          <cell r="AB870">
            <v>1537.8000000000002</v>
          </cell>
          <cell r="AE870">
            <v>1</v>
          </cell>
        </row>
        <row r="871">
          <cell r="D871">
            <v>12</v>
          </cell>
          <cell r="AB871">
            <v>732.20400000000018</v>
          </cell>
        </row>
        <row r="872">
          <cell r="D872">
            <v>12</v>
          </cell>
          <cell r="AB872">
            <v>54.45</v>
          </cell>
        </row>
        <row r="873">
          <cell r="D873">
            <v>12</v>
          </cell>
          <cell r="AB873">
            <v>2118.6000000000004</v>
          </cell>
          <cell r="AE873">
            <v>1</v>
          </cell>
        </row>
        <row r="874">
          <cell r="D874">
            <v>12</v>
          </cell>
          <cell r="AB874">
            <v>278.12400000000002</v>
          </cell>
        </row>
        <row r="875">
          <cell r="D875">
            <v>12</v>
          </cell>
          <cell r="AB875">
            <v>148.02857142857141</v>
          </cell>
        </row>
        <row r="876">
          <cell r="D876">
            <v>12</v>
          </cell>
          <cell r="AB876">
            <v>344.30000000000007</v>
          </cell>
        </row>
        <row r="877">
          <cell r="D877">
            <v>12</v>
          </cell>
          <cell r="AB877">
            <v>187.27499999999998</v>
          </cell>
        </row>
        <row r="878">
          <cell r="D878">
            <v>12</v>
          </cell>
          <cell r="AB878">
            <v>358.04999999999995</v>
          </cell>
        </row>
        <row r="879">
          <cell r="D879">
            <v>12</v>
          </cell>
          <cell r="AB879">
            <v>168.29999999999998</v>
          </cell>
        </row>
        <row r="880">
          <cell r="D880">
            <v>12</v>
          </cell>
          <cell r="AB880">
            <v>217.8</v>
          </cell>
        </row>
        <row r="881">
          <cell r="D881">
            <v>12</v>
          </cell>
          <cell r="AB881">
            <v>265.8857142857143</v>
          </cell>
        </row>
        <row r="882">
          <cell r="D882">
            <v>12</v>
          </cell>
          <cell r="AB882">
            <v>237.12857142857138</v>
          </cell>
        </row>
        <row r="883">
          <cell r="D883">
            <v>12</v>
          </cell>
          <cell r="AB883">
            <v>93.225000000000009</v>
          </cell>
        </row>
        <row r="884">
          <cell r="D884">
            <v>12</v>
          </cell>
          <cell r="AB884">
            <v>509.42099999999994</v>
          </cell>
        </row>
        <row r="885">
          <cell r="D885">
            <v>12</v>
          </cell>
          <cell r="AB885">
            <v>117.777</v>
          </cell>
        </row>
        <row r="886">
          <cell r="D886">
            <v>12</v>
          </cell>
          <cell r="AB886">
            <v>113.52000000000001</v>
          </cell>
        </row>
        <row r="887">
          <cell r="D887">
            <v>12</v>
          </cell>
          <cell r="AB887">
            <v>104.77500000000001</v>
          </cell>
        </row>
        <row r="888">
          <cell r="D888">
            <v>12</v>
          </cell>
          <cell r="AB888">
            <v>148.5</v>
          </cell>
        </row>
        <row r="889">
          <cell r="D889">
            <v>12</v>
          </cell>
          <cell r="AB889">
            <v>84.15</v>
          </cell>
        </row>
        <row r="890">
          <cell r="D890">
            <v>12</v>
          </cell>
          <cell r="AB890">
            <v>36.299999999999997</v>
          </cell>
        </row>
        <row r="891">
          <cell r="D891">
            <v>12</v>
          </cell>
          <cell r="AB891">
            <v>85.140000000000015</v>
          </cell>
        </row>
        <row r="892">
          <cell r="D892">
            <v>12</v>
          </cell>
          <cell r="AB892">
            <v>800.31600000000014</v>
          </cell>
        </row>
        <row r="893">
          <cell r="D893">
            <v>12</v>
          </cell>
          <cell r="AB893">
            <v>102.16800000000001</v>
          </cell>
        </row>
        <row r="894">
          <cell r="D894">
            <v>12</v>
          </cell>
          <cell r="AB894">
            <v>89.100000000000009</v>
          </cell>
        </row>
        <row r="895">
          <cell r="D895">
            <v>12</v>
          </cell>
          <cell r="AB895">
            <v>729.36599999999999</v>
          </cell>
        </row>
        <row r="896">
          <cell r="D896">
            <v>12</v>
          </cell>
          <cell r="AB896">
            <v>192.98400000000001</v>
          </cell>
        </row>
        <row r="897">
          <cell r="D897">
            <v>12</v>
          </cell>
          <cell r="AB897">
            <v>391.64400000000001</v>
          </cell>
        </row>
        <row r="898">
          <cell r="D898">
            <v>12</v>
          </cell>
          <cell r="AB898">
            <v>289.41000000000008</v>
          </cell>
        </row>
        <row r="899">
          <cell r="D899">
            <v>12</v>
          </cell>
          <cell r="AB899">
            <v>239.80000000000007</v>
          </cell>
        </row>
        <row r="900">
          <cell r="D900">
            <v>12</v>
          </cell>
          <cell r="AB900">
            <v>237.60000000000002</v>
          </cell>
        </row>
        <row r="901">
          <cell r="D901">
            <v>12</v>
          </cell>
          <cell r="AB901">
            <v>85.140000000000015</v>
          </cell>
        </row>
        <row r="902">
          <cell r="D902">
            <v>12</v>
          </cell>
          <cell r="AB902">
            <v>102.16800000000001</v>
          </cell>
        </row>
        <row r="903">
          <cell r="D903">
            <v>12</v>
          </cell>
          <cell r="AB903">
            <v>207.42857142857142</v>
          </cell>
        </row>
        <row r="904">
          <cell r="D904">
            <v>12</v>
          </cell>
          <cell r="AB904">
            <v>90.816000000000003</v>
          </cell>
        </row>
        <row r="905">
          <cell r="D905">
            <v>12</v>
          </cell>
          <cell r="AB905">
            <v>90.816000000000003</v>
          </cell>
        </row>
        <row r="906">
          <cell r="D906">
            <v>12</v>
          </cell>
          <cell r="AB906">
            <v>391.64400000000001</v>
          </cell>
        </row>
        <row r="907">
          <cell r="D907">
            <v>12</v>
          </cell>
          <cell r="AB907">
            <v>192.98400000000001</v>
          </cell>
        </row>
        <row r="908">
          <cell r="D908">
            <v>12</v>
          </cell>
          <cell r="AB908">
            <v>90.816000000000003</v>
          </cell>
        </row>
        <row r="909">
          <cell r="D909">
            <v>12</v>
          </cell>
          <cell r="AB909">
            <v>117.777</v>
          </cell>
        </row>
        <row r="910">
          <cell r="D910">
            <v>12</v>
          </cell>
          <cell r="AB910">
            <v>141.9</v>
          </cell>
        </row>
        <row r="911">
          <cell r="D911">
            <v>12</v>
          </cell>
          <cell r="AB911">
            <v>85.140000000000015</v>
          </cell>
        </row>
        <row r="912">
          <cell r="D912">
            <v>12</v>
          </cell>
          <cell r="AB912">
            <v>85.140000000000015</v>
          </cell>
        </row>
        <row r="913">
          <cell r="D913">
            <v>12</v>
          </cell>
          <cell r="AB913">
            <v>36.299999999999997</v>
          </cell>
        </row>
        <row r="914">
          <cell r="D914">
            <v>12</v>
          </cell>
          <cell r="AB914">
            <v>84.15</v>
          </cell>
        </row>
        <row r="915">
          <cell r="D915">
            <v>12</v>
          </cell>
          <cell r="AB915">
            <v>148.5</v>
          </cell>
        </row>
        <row r="916">
          <cell r="D916">
            <v>12</v>
          </cell>
          <cell r="AB916">
            <v>104.77500000000001</v>
          </cell>
        </row>
        <row r="917">
          <cell r="D917">
            <v>12</v>
          </cell>
          <cell r="AB917">
            <v>729.36599999999999</v>
          </cell>
        </row>
        <row r="918">
          <cell r="D918">
            <v>12</v>
          </cell>
          <cell r="AB918">
            <v>113.52000000000001</v>
          </cell>
        </row>
        <row r="919">
          <cell r="D919">
            <v>12</v>
          </cell>
          <cell r="AB919">
            <v>754.90800000000013</v>
          </cell>
        </row>
        <row r="920">
          <cell r="D920">
            <v>12</v>
          </cell>
          <cell r="AB920">
            <v>182.32499999999999</v>
          </cell>
        </row>
        <row r="921">
          <cell r="D921">
            <v>12</v>
          </cell>
          <cell r="AB921">
            <v>155.57142857142856</v>
          </cell>
        </row>
        <row r="922">
          <cell r="D922">
            <v>12</v>
          </cell>
          <cell r="AB922">
            <v>70.125</v>
          </cell>
        </row>
        <row r="923">
          <cell r="D923">
            <v>12</v>
          </cell>
          <cell r="AB923">
            <v>56.100000000000009</v>
          </cell>
        </row>
        <row r="924">
          <cell r="D924">
            <v>12</v>
          </cell>
          <cell r="AB924">
            <v>272.44799999999998</v>
          </cell>
        </row>
        <row r="925">
          <cell r="D925">
            <v>12</v>
          </cell>
          <cell r="AB925">
            <v>113.52000000000001</v>
          </cell>
        </row>
        <row r="926">
          <cell r="D926">
            <v>12</v>
          </cell>
          <cell r="AB926">
            <v>194.70000000000002</v>
          </cell>
        </row>
        <row r="927">
          <cell r="D927">
            <v>12</v>
          </cell>
          <cell r="AB927">
            <v>124.87200000000001</v>
          </cell>
        </row>
        <row r="928">
          <cell r="D928">
            <v>12</v>
          </cell>
          <cell r="AB928">
            <v>204.33600000000001</v>
          </cell>
        </row>
        <row r="929">
          <cell r="D929">
            <v>12</v>
          </cell>
          <cell r="AB929">
            <v>244.06800000000004</v>
          </cell>
        </row>
        <row r="930">
          <cell r="D930">
            <v>12</v>
          </cell>
          <cell r="AB930">
            <v>245.96000000000004</v>
          </cell>
        </row>
        <row r="931">
          <cell r="D931">
            <v>12</v>
          </cell>
          <cell r="AB931">
            <v>269.60999999999996</v>
          </cell>
        </row>
        <row r="932">
          <cell r="D932">
            <v>12</v>
          </cell>
          <cell r="AB932">
            <v>594.56100000000004</v>
          </cell>
        </row>
        <row r="933">
          <cell r="D933">
            <v>12</v>
          </cell>
          <cell r="AB933">
            <v>800.31600000000014</v>
          </cell>
        </row>
        <row r="934">
          <cell r="D934">
            <v>12</v>
          </cell>
          <cell r="AB934">
            <v>275.13750000000005</v>
          </cell>
        </row>
        <row r="935">
          <cell r="D935">
            <v>12</v>
          </cell>
          <cell r="AB935">
            <v>651.32099999999991</v>
          </cell>
        </row>
        <row r="936">
          <cell r="D936">
            <v>12</v>
          </cell>
          <cell r="AB936">
            <v>196.35000000000002</v>
          </cell>
        </row>
        <row r="937">
          <cell r="D937">
            <v>12</v>
          </cell>
          <cell r="AB937">
            <v>244.06800000000004</v>
          </cell>
        </row>
        <row r="938">
          <cell r="D938">
            <v>12</v>
          </cell>
          <cell r="AB938">
            <v>280.5</v>
          </cell>
        </row>
        <row r="939">
          <cell r="D939">
            <v>12</v>
          </cell>
          <cell r="AB939">
            <v>335.50000000000006</v>
          </cell>
        </row>
        <row r="940">
          <cell r="D940">
            <v>12</v>
          </cell>
          <cell r="AB940">
            <v>651.32099999999991</v>
          </cell>
        </row>
        <row r="941">
          <cell r="D941">
            <v>12</v>
          </cell>
          <cell r="AB941">
            <v>193.60000000000002</v>
          </cell>
        </row>
        <row r="942">
          <cell r="D942">
            <v>12</v>
          </cell>
          <cell r="AB942">
            <v>108.9</v>
          </cell>
        </row>
        <row r="943">
          <cell r="D943">
            <v>12</v>
          </cell>
          <cell r="AB943">
            <v>1307.3720000000001</v>
          </cell>
        </row>
        <row r="944">
          <cell r="D944">
            <v>12</v>
          </cell>
          <cell r="AB944">
            <v>732.20400000000018</v>
          </cell>
        </row>
        <row r="945">
          <cell r="D945">
            <v>12</v>
          </cell>
          <cell r="AB945">
            <v>2310</v>
          </cell>
        </row>
        <row r="946">
          <cell r="D946">
            <v>12</v>
          </cell>
          <cell r="AB946">
            <v>450.00000000001796</v>
          </cell>
          <cell r="AE946">
            <v>1</v>
          </cell>
        </row>
        <row r="947">
          <cell r="D947">
            <v>12</v>
          </cell>
          <cell r="AB947">
            <v>278.12400000000002</v>
          </cell>
        </row>
        <row r="948">
          <cell r="D948">
            <v>12</v>
          </cell>
          <cell r="AB948">
            <v>180.00000000000722</v>
          </cell>
          <cell r="AE948">
            <v>1</v>
          </cell>
        </row>
        <row r="949">
          <cell r="D949">
            <v>12</v>
          </cell>
          <cell r="AB949">
            <v>394.90000000000009</v>
          </cell>
        </row>
        <row r="950">
          <cell r="D950">
            <v>12</v>
          </cell>
          <cell r="AB950">
            <v>754.90800000000013</v>
          </cell>
        </row>
        <row r="951">
          <cell r="D951">
            <v>12</v>
          </cell>
          <cell r="AB951">
            <v>298.09999999999997</v>
          </cell>
        </row>
        <row r="952">
          <cell r="D952">
            <v>12</v>
          </cell>
          <cell r="AB952">
            <v>1125.0000000000025</v>
          </cell>
          <cell r="AE952">
            <v>1</v>
          </cell>
        </row>
        <row r="953">
          <cell r="D953">
            <v>12</v>
          </cell>
          <cell r="AB953">
            <v>183.15</v>
          </cell>
        </row>
        <row r="954">
          <cell r="D954">
            <v>12</v>
          </cell>
          <cell r="AB954">
            <v>339.9</v>
          </cell>
        </row>
        <row r="955">
          <cell r="D955">
            <v>12</v>
          </cell>
          <cell r="AB955">
            <v>624.36</v>
          </cell>
        </row>
        <row r="956">
          <cell r="D956">
            <v>12</v>
          </cell>
          <cell r="AB956">
            <v>291.59999999999138</v>
          </cell>
          <cell r="AE956">
            <v>1</v>
          </cell>
        </row>
        <row r="957">
          <cell r="D957">
            <v>12</v>
          </cell>
          <cell r="AB957">
            <v>233.75000000000006</v>
          </cell>
        </row>
        <row r="958">
          <cell r="D958">
            <v>12</v>
          </cell>
          <cell r="AB958">
            <v>291.59999999999138</v>
          </cell>
          <cell r="AE958">
            <v>1</v>
          </cell>
        </row>
        <row r="959">
          <cell r="D959">
            <v>12</v>
          </cell>
          <cell r="AB959">
            <v>254.65000000000003</v>
          </cell>
        </row>
        <row r="960">
          <cell r="D960">
            <v>12</v>
          </cell>
          <cell r="AB960">
            <v>921.40400000000011</v>
          </cell>
        </row>
        <row r="961">
          <cell r="D961">
            <v>12</v>
          </cell>
          <cell r="AB961">
            <v>54.45</v>
          </cell>
        </row>
        <row r="962">
          <cell r="D962">
            <v>12</v>
          </cell>
          <cell r="AB962">
            <v>54.45</v>
          </cell>
        </row>
        <row r="963">
          <cell r="D963">
            <v>12</v>
          </cell>
          <cell r="AB963">
            <v>74.25</v>
          </cell>
        </row>
        <row r="964">
          <cell r="D964">
            <v>12</v>
          </cell>
          <cell r="AB964">
            <v>94.600000000000023</v>
          </cell>
        </row>
        <row r="965">
          <cell r="D965">
            <v>12</v>
          </cell>
          <cell r="AB965">
            <v>89.100000000000009</v>
          </cell>
        </row>
        <row r="966">
          <cell r="D966">
            <v>12</v>
          </cell>
          <cell r="AB966">
            <v>793.221</v>
          </cell>
        </row>
        <row r="967">
          <cell r="D967">
            <v>12</v>
          </cell>
          <cell r="AB967">
            <v>237.12857142857138</v>
          </cell>
        </row>
        <row r="968">
          <cell r="D968">
            <v>12</v>
          </cell>
          <cell r="AB968">
            <v>213.26250000000005</v>
          </cell>
        </row>
        <row r="969">
          <cell r="D969">
            <v>12</v>
          </cell>
          <cell r="AB969">
            <v>344.30000000000007</v>
          </cell>
        </row>
        <row r="970">
          <cell r="D970">
            <v>12</v>
          </cell>
          <cell r="AB970">
            <v>221.10000000000005</v>
          </cell>
        </row>
        <row r="971">
          <cell r="D971">
            <v>12</v>
          </cell>
          <cell r="AB971">
            <v>358.04999999999995</v>
          </cell>
        </row>
        <row r="972">
          <cell r="D972">
            <v>12</v>
          </cell>
          <cell r="AB972">
            <v>168.29999999999998</v>
          </cell>
        </row>
        <row r="973">
          <cell r="D973">
            <v>12</v>
          </cell>
          <cell r="AB973">
            <v>522.19200000000012</v>
          </cell>
        </row>
        <row r="974">
          <cell r="D974">
            <v>12</v>
          </cell>
          <cell r="AB974">
            <v>265.8857142857143</v>
          </cell>
        </row>
        <row r="975">
          <cell r="D975">
            <v>12</v>
          </cell>
          <cell r="AB975">
            <v>249.74400000000006</v>
          </cell>
        </row>
        <row r="976">
          <cell r="D976">
            <v>12</v>
          </cell>
          <cell r="AB976">
            <v>231.41250000000002</v>
          </cell>
        </row>
        <row r="977">
          <cell r="D977">
            <v>12</v>
          </cell>
          <cell r="AB977">
            <v>155.92500000000001</v>
          </cell>
        </row>
        <row r="978">
          <cell r="D978">
            <v>12</v>
          </cell>
          <cell r="AB978">
            <v>178.20000000000002</v>
          </cell>
        </row>
        <row r="979">
          <cell r="D979">
            <v>12</v>
          </cell>
          <cell r="AB979">
            <v>422.86200000000002</v>
          </cell>
        </row>
        <row r="980">
          <cell r="D980">
            <v>12</v>
          </cell>
          <cell r="AB980">
            <v>422.86200000000002</v>
          </cell>
        </row>
        <row r="981">
          <cell r="D981">
            <v>12</v>
          </cell>
          <cell r="AB981">
            <v>229.31040000000007</v>
          </cell>
        </row>
        <row r="982">
          <cell r="D982">
            <v>12</v>
          </cell>
          <cell r="AB982">
            <v>217.8</v>
          </cell>
        </row>
        <row r="983">
          <cell r="D983">
            <v>12</v>
          </cell>
          <cell r="AB983">
            <v>1377.8490000000002</v>
          </cell>
        </row>
        <row r="984">
          <cell r="D984">
            <v>12</v>
          </cell>
          <cell r="AB984">
            <v>447</v>
          </cell>
          <cell r="AE984">
            <v>1</v>
          </cell>
        </row>
        <row r="985">
          <cell r="D985">
            <v>12</v>
          </cell>
          <cell r="AB985">
            <v>664.09199999999987</v>
          </cell>
        </row>
        <row r="986">
          <cell r="D986">
            <v>12</v>
          </cell>
          <cell r="AB986">
            <v>2079</v>
          </cell>
          <cell r="AE986">
            <v>1</v>
          </cell>
        </row>
        <row r="987">
          <cell r="D987">
            <v>12</v>
          </cell>
          <cell r="AB987">
            <v>0</v>
          </cell>
        </row>
        <row r="988">
          <cell r="D988">
            <v>12</v>
          </cell>
          <cell r="AB988">
            <v>3474.24</v>
          </cell>
        </row>
        <row r="989">
          <cell r="D989">
            <v>12</v>
          </cell>
          <cell r="AB989">
            <v>357.58800000000002</v>
          </cell>
        </row>
        <row r="990">
          <cell r="D990">
            <v>12</v>
          </cell>
          <cell r="AB990">
            <v>648.48299999999995</v>
          </cell>
        </row>
        <row r="991">
          <cell r="D991">
            <v>12</v>
          </cell>
          <cell r="AB991">
            <v>130.54800000000003</v>
          </cell>
        </row>
        <row r="992">
          <cell r="D992">
            <v>12</v>
          </cell>
          <cell r="AB992">
            <v>796.53200000000004</v>
          </cell>
        </row>
        <row r="993">
          <cell r="D993">
            <v>12</v>
          </cell>
          <cell r="AB993">
            <v>1250.6119999999999</v>
          </cell>
        </row>
        <row r="994">
          <cell r="D994">
            <v>12</v>
          </cell>
          <cell r="AB994">
            <v>1183.4459999999999</v>
          </cell>
        </row>
        <row r="995">
          <cell r="D995">
            <v>12</v>
          </cell>
          <cell r="AB995">
            <v>1606.308</v>
          </cell>
        </row>
        <row r="996">
          <cell r="D996">
            <v>12</v>
          </cell>
          <cell r="AB996">
            <v>244.06800000000004</v>
          </cell>
        </row>
        <row r="997">
          <cell r="D997">
            <v>12</v>
          </cell>
          <cell r="AB997">
            <v>85.140000000000015</v>
          </cell>
        </row>
        <row r="998">
          <cell r="D998">
            <v>12</v>
          </cell>
          <cell r="AB998">
            <v>388.84999999999991</v>
          </cell>
        </row>
        <row r="999">
          <cell r="D999">
            <v>12</v>
          </cell>
          <cell r="AB999">
            <v>1093.92</v>
          </cell>
          <cell r="AE999">
            <v>1</v>
          </cell>
        </row>
        <row r="1000">
          <cell r="D1000">
            <v>12</v>
          </cell>
          <cell r="AB1000">
            <v>239.80000000000007</v>
          </cell>
        </row>
        <row r="1001">
          <cell r="D1001">
            <v>12</v>
          </cell>
          <cell r="AB1001">
            <v>289.41000000000008</v>
          </cell>
        </row>
        <row r="1002">
          <cell r="D1002">
            <v>12</v>
          </cell>
          <cell r="AB1002">
            <v>178.20000000000002</v>
          </cell>
        </row>
        <row r="1003">
          <cell r="D1003">
            <v>12</v>
          </cell>
          <cell r="AB1003">
            <v>1557.6</v>
          </cell>
          <cell r="AE1003">
            <v>1</v>
          </cell>
        </row>
        <row r="1004">
          <cell r="D1004">
            <v>12</v>
          </cell>
          <cell r="AB1004">
            <v>1183.4459999999999</v>
          </cell>
        </row>
        <row r="1005">
          <cell r="D1005">
            <v>12</v>
          </cell>
          <cell r="AB1005">
            <v>201.49799999999999</v>
          </cell>
        </row>
        <row r="1006">
          <cell r="D1006">
            <v>12</v>
          </cell>
          <cell r="AB1006">
            <v>796.53200000000004</v>
          </cell>
        </row>
        <row r="1007">
          <cell r="D1007">
            <v>12</v>
          </cell>
          <cell r="AB1007">
            <v>148.02857142857141</v>
          </cell>
        </row>
        <row r="1008">
          <cell r="D1008">
            <v>12</v>
          </cell>
          <cell r="AB1008">
            <v>648.48299999999995</v>
          </cell>
        </row>
        <row r="1009">
          <cell r="D1009">
            <v>12</v>
          </cell>
          <cell r="AB1009">
            <v>388.84999999999991</v>
          </cell>
        </row>
        <row r="1010">
          <cell r="D1010">
            <v>12</v>
          </cell>
          <cell r="AB1010">
            <v>242.54999999999998</v>
          </cell>
        </row>
        <row r="1011">
          <cell r="D1011">
            <v>12</v>
          </cell>
          <cell r="AB1011">
            <v>419.1</v>
          </cell>
        </row>
        <row r="1012">
          <cell r="D1012">
            <v>12</v>
          </cell>
          <cell r="AB1012">
            <v>209</v>
          </cell>
        </row>
        <row r="1013">
          <cell r="D1013">
            <v>12</v>
          </cell>
          <cell r="AB1013">
            <v>226.05</v>
          </cell>
        </row>
        <row r="1014">
          <cell r="D1014">
            <v>12</v>
          </cell>
          <cell r="AB1014">
            <v>1250.6119999999999</v>
          </cell>
        </row>
        <row r="1015">
          <cell r="D1015">
            <v>12</v>
          </cell>
          <cell r="AB1015">
            <v>166.32000000000002</v>
          </cell>
        </row>
        <row r="1016">
          <cell r="D1016">
            <v>12</v>
          </cell>
          <cell r="AB1016">
            <v>600.00000000000978</v>
          </cell>
          <cell r="AE1016">
            <v>1</v>
          </cell>
        </row>
        <row r="1017">
          <cell r="D1017">
            <v>12</v>
          </cell>
          <cell r="AB1017">
            <v>75.900000000000006</v>
          </cell>
        </row>
        <row r="1018">
          <cell r="D1018">
            <v>12</v>
          </cell>
          <cell r="AB1018">
            <v>49.5</v>
          </cell>
        </row>
        <row r="1019">
          <cell r="D1019">
            <v>12</v>
          </cell>
          <cell r="AB1019">
            <v>58.300000000000011</v>
          </cell>
        </row>
        <row r="1020">
          <cell r="D1020">
            <v>12</v>
          </cell>
          <cell r="AB1020">
            <v>31.35</v>
          </cell>
        </row>
        <row r="1021">
          <cell r="D1021">
            <v>12</v>
          </cell>
          <cell r="AB1021">
            <v>31.35</v>
          </cell>
        </row>
        <row r="1022">
          <cell r="D1022">
            <v>12</v>
          </cell>
          <cell r="AB1022">
            <v>1140.0000000000186</v>
          </cell>
          <cell r="AE1022">
            <v>1</v>
          </cell>
        </row>
        <row r="1023">
          <cell r="D1023">
            <v>12</v>
          </cell>
          <cell r="AB1023">
            <v>17.027999999999999</v>
          </cell>
        </row>
        <row r="1024">
          <cell r="D1024">
            <v>12</v>
          </cell>
          <cell r="AB1024">
            <v>187.27499999999998</v>
          </cell>
        </row>
        <row r="1025">
          <cell r="D1025">
            <v>12</v>
          </cell>
          <cell r="AB1025">
            <v>0</v>
          </cell>
        </row>
        <row r="1026">
          <cell r="D1026">
            <v>12</v>
          </cell>
          <cell r="AB1026">
            <v>622.46800000000007</v>
          </cell>
        </row>
        <row r="1027">
          <cell r="D1027">
            <v>12</v>
          </cell>
          <cell r="AB1027">
            <v>272.44799999999998</v>
          </cell>
        </row>
        <row r="1028">
          <cell r="D1028">
            <v>12</v>
          </cell>
          <cell r="AB1028">
            <v>127.71000000000001</v>
          </cell>
        </row>
        <row r="1029">
          <cell r="D1029">
            <v>12</v>
          </cell>
          <cell r="AB1029">
            <v>93.225000000000009</v>
          </cell>
        </row>
        <row r="1030">
          <cell r="D1030">
            <v>12</v>
          </cell>
          <cell r="AB1030">
            <v>420.024</v>
          </cell>
        </row>
        <row r="1031">
          <cell r="D1031">
            <v>12</v>
          </cell>
          <cell r="AB1031">
            <v>17.027999999999999</v>
          </cell>
        </row>
        <row r="1032">
          <cell r="D1032">
            <v>12</v>
          </cell>
          <cell r="AB1032">
            <v>754.90800000000013</v>
          </cell>
        </row>
        <row r="1033">
          <cell r="D1033">
            <v>12</v>
          </cell>
          <cell r="AB1033">
            <v>55.000000000000007</v>
          </cell>
        </row>
        <row r="1034">
          <cell r="D1034">
            <v>12</v>
          </cell>
          <cell r="AB1034">
            <v>82.500000000000014</v>
          </cell>
        </row>
        <row r="1035">
          <cell r="D1035">
            <v>12</v>
          </cell>
          <cell r="AB1035">
            <v>418</v>
          </cell>
        </row>
        <row r="1036">
          <cell r="D1036">
            <v>12</v>
          </cell>
          <cell r="AB1036">
            <v>152.625</v>
          </cell>
        </row>
        <row r="1037">
          <cell r="D1037">
            <v>12</v>
          </cell>
          <cell r="AB1037">
            <v>158.4</v>
          </cell>
        </row>
        <row r="1038">
          <cell r="D1038">
            <v>12</v>
          </cell>
          <cell r="AB1038">
            <v>201.3</v>
          </cell>
        </row>
        <row r="1039">
          <cell r="D1039">
            <v>12</v>
          </cell>
          <cell r="AB1039">
            <v>450.00000000001796</v>
          </cell>
          <cell r="AE1039">
            <v>1</v>
          </cell>
        </row>
        <row r="1040">
          <cell r="D1040">
            <v>12</v>
          </cell>
          <cell r="AB1040">
            <v>201.3</v>
          </cell>
        </row>
        <row r="1041">
          <cell r="D1041">
            <v>12</v>
          </cell>
          <cell r="AB1041">
            <v>124.87200000000001</v>
          </cell>
        </row>
        <row r="1042">
          <cell r="D1042">
            <v>12</v>
          </cell>
          <cell r="AB1042">
            <v>2140.6000000000004</v>
          </cell>
        </row>
        <row r="1043">
          <cell r="D1043">
            <v>12</v>
          </cell>
          <cell r="AB1043">
            <v>0</v>
          </cell>
        </row>
        <row r="1044">
          <cell r="D1044">
            <v>12</v>
          </cell>
          <cell r="AB1044">
            <v>1484.2740000000003</v>
          </cell>
        </row>
        <row r="1045">
          <cell r="D1045">
            <v>12</v>
          </cell>
          <cell r="AB1045">
            <v>872.68499999999995</v>
          </cell>
        </row>
        <row r="1046">
          <cell r="D1046">
            <v>12</v>
          </cell>
          <cell r="AB1046">
            <v>291.59999999999138</v>
          </cell>
          <cell r="AE1046">
            <v>1</v>
          </cell>
        </row>
        <row r="1047">
          <cell r="D1047">
            <v>12</v>
          </cell>
          <cell r="AB1047">
            <v>11.55</v>
          </cell>
        </row>
        <row r="1048">
          <cell r="D1048">
            <v>12</v>
          </cell>
          <cell r="AB1048">
            <v>174.9</v>
          </cell>
        </row>
        <row r="1049">
          <cell r="D1049">
            <v>12</v>
          </cell>
          <cell r="AB1049">
            <v>182.32499999999999</v>
          </cell>
        </row>
        <row r="1050">
          <cell r="D1050">
            <v>12</v>
          </cell>
          <cell r="AB1050">
            <v>561.92399999999998</v>
          </cell>
        </row>
        <row r="1051">
          <cell r="D1051">
            <v>12</v>
          </cell>
          <cell r="AB1051">
            <v>210.012</v>
          </cell>
        </row>
        <row r="1052">
          <cell r="D1052">
            <v>12</v>
          </cell>
          <cell r="AB1052">
            <v>56.760000000000005</v>
          </cell>
        </row>
        <row r="1053">
          <cell r="D1053">
            <v>12</v>
          </cell>
          <cell r="AB1053">
            <v>191.09199999999998</v>
          </cell>
        </row>
        <row r="1054">
          <cell r="D1054">
            <v>12</v>
          </cell>
          <cell r="AB1054">
            <v>681.12000000000012</v>
          </cell>
        </row>
        <row r="1055">
          <cell r="D1055">
            <v>12</v>
          </cell>
          <cell r="AB1055">
            <v>291.59999999999138</v>
          </cell>
          <cell r="AE1055">
            <v>1</v>
          </cell>
        </row>
        <row r="1056">
          <cell r="D1056">
            <v>12</v>
          </cell>
          <cell r="AB1056">
            <v>56.100000000000009</v>
          </cell>
        </row>
        <row r="1057">
          <cell r="D1057">
            <v>12</v>
          </cell>
          <cell r="AB1057">
            <v>191.4</v>
          </cell>
        </row>
        <row r="1058">
          <cell r="D1058">
            <v>12</v>
          </cell>
          <cell r="AB1058">
            <v>204.33600000000001</v>
          </cell>
        </row>
        <row r="1059">
          <cell r="D1059">
            <v>12</v>
          </cell>
          <cell r="AB1059">
            <v>155.57142857142856</v>
          </cell>
        </row>
        <row r="1060">
          <cell r="D1060">
            <v>12</v>
          </cell>
          <cell r="AB1060">
            <v>70.125</v>
          </cell>
        </row>
        <row r="1061">
          <cell r="D1061">
            <v>12</v>
          </cell>
          <cell r="AB1061">
            <v>56.100000000000009</v>
          </cell>
        </row>
        <row r="1062">
          <cell r="D1062">
            <v>12</v>
          </cell>
          <cell r="AB1062">
            <v>113.52000000000001</v>
          </cell>
        </row>
        <row r="1063">
          <cell r="D1063">
            <v>12</v>
          </cell>
          <cell r="AB1063">
            <v>113.52000000000001</v>
          </cell>
        </row>
        <row r="1064">
          <cell r="D1064">
            <v>12</v>
          </cell>
          <cell r="AB1064">
            <v>226.6</v>
          </cell>
        </row>
        <row r="1065">
          <cell r="D1065">
            <v>12</v>
          </cell>
          <cell r="AB1065">
            <v>207.42857142857142</v>
          </cell>
        </row>
        <row r="1066">
          <cell r="D1066">
            <v>12</v>
          </cell>
          <cell r="AB1066">
            <v>245.96000000000004</v>
          </cell>
        </row>
        <row r="1067">
          <cell r="D1067">
            <v>12</v>
          </cell>
          <cell r="AB1067">
            <v>532.125</v>
          </cell>
        </row>
        <row r="1068">
          <cell r="D1068">
            <v>12</v>
          </cell>
          <cell r="AB1068">
            <v>485.99999999998556</v>
          </cell>
          <cell r="AE1068">
            <v>1</v>
          </cell>
        </row>
        <row r="1069">
          <cell r="D1069">
            <v>12</v>
          </cell>
          <cell r="AB1069">
            <v>1033.0319999999997</v>
          </cell>
        </row>
        <row r="1070">
          <cell r="D1070">
            <v>12</v>
          </cell>
          <cell r="AB1070">
            <v>1388.04</v>
          </cell>
          <cell r="AE1070">
            <v>1</v>
          </cell>
        </row>
        <row r="1071">
          <cell r="D1071">
            <v>12</v>
          </cell>
          <cell r="AB1071">
            <v>902.48400000000015</v>
          </cell>
        </row>
        <row r="1072">
          <cell r="D1072">
            <v>12</v>
          </cell>
          <cell r="AB1072">
            <v>722.74400000000003</v>
          </cell>
        </row>
        <row r="1073">
          <cell r="D1073">
            <v>12</v>
          </cell>
          <cell r="AB1073">
            <v>401.49999999999994</v>
          </cell>
        </row>
        <row r="1074">
          <cell r="D1074">
            <v>12</v>
          </cell>
          <cell r="AB1074">
            <v>244.06800000000004</v>
          </cell>
        </row>
        <row r="1075">
          <cell r="D1075">
            <v>12</v>
          </cell>
          <cell r="AB1075">
            <v>3009.6</v>
          </cell>
          <cell r="AE1075">
            <v>1</v>
          </cell>
        </row>
        <row r="1076">
          <cell r="D1076">
            <v>12</v>
          </cell>
          <cell r="AB1076">
            <v>269.60999999999996</v>
          </cell>
        </row>
        <row r="1077">
          <cell r="D1077">
            <v>12</v>
          </cell>
          <cell r="AB1077">
            <v>594.56100000000004</v>
          </cell>
        </row>
        <row r="1078">
          <cell r="D1078">
            <v>12</v>
          </cell>
          <cell r="AB1078">
            <v>622.46800000000007</v>
          </cell>
        </row>
        <row r="1079">
          <cell r="D1079">
            <v>12</v>
          </cell>
          <cell r="AB1079">
            <v>127.71000000000001</v>
          </cell>
        </row>
        <row r="1080">
          <cell r="D1080">
            <v>12</v>
          </cell>
          <cell r="AB1080">
            <v>141.9</v>
          </cell>
        </row>
        <row r="1081">
          <cell r="D1081">
            <v>12</v>
          </cell>
          <cell r="AB1081">
            <v>90.816000000000003</v>
          </cell>
        </row>
        <row r="1082">
          <cell r="D1082">
            <v>12</v>
          </cell>
          <cell r="AB1082">
            <v>557.05885714285728</v>
          </cell>
        </row>
        <row r="1083">
          <cell r="D1083">
            <v>12</v>
          </cell>
          <cell r="AB1083">
            <v>11.55</v>
          </cell>
        </row>
        <row r="1084">
          <cell r="D1084">
            <v>12</v>
          </cell>
          <cell r="AB1084">
            <v>231.82500000000002</v>
          </cell>
        </row>
        <row r="1085">
          <cell r="D1085">
            <v>12</v>
          </cell>
          <cell r="AB1085">
            <v>300.63</v>
          </cell>
        </row>
        <row r="1086">
          <cell r="D1086">
            <v>12</v>
          </cell>
          <cell r="AB1086">
            <v>232.10000000000002</v>
          </cell>
        </row>
        <row r="1087">
          <cell r="D1087">
            <v>12</v>
          </cell>
          <cell r="AB1087">
            <v>206.25</v>
          </cell>
        </row>
        <row r="1088">
          <cell r="D1088">
            <v>12</v>
          </cell>
          <cell r="AB1088">
            <v>183.15</v>
          </cell>
        </row>
        <row r="1089">
          <cell r="D1089">
            <v>12</v>
          </cell>
          <cell r="AB1089">
            <v>140.25</v>
          </cell>
        </row>
        <row r="1090">
          <cell r="D1090">
            <v>12</v>
          </cell>
          <cell r="AB1090">
            <v>228</v>
          </cell>
          <cell r="AE1090">
            <v>1</v>
          </cell>
        </row>
        <row r="1091">
          <cell r="D1091">
            <v>12</v>
          </cell>
          <cell r="AB1091">
            <v>56.099999999999994</v>
          </cell>
        </row>
        <row r="1092">
          <cell r="D1092">
            <v>12</v>
          </cell>
          <cell r="AB1092">
            <v>295.35000000000002</v>
          </cell>
        </row>
        <row r="1093">
          <cell r="D1093">
            <v>12</v>
          </cell>
          <cell r="AB1093">
            <v>561.92399999999998</v>
          </cell>
        </row>
        <row r="1094">
          <cell r="D1094">
            <v>12</v>
          </cell>
          <cell r="AB1094">
            <v>210.012</v>
          </cell>
        </row>
        <row r="1095">
          <cell r="D1095">
            <v>12</v>
          </cell>
          <cell r="AB1095">
            <v>56.760000000000005</v>
          </cell>
        </row>
        <row r="1096">
          <cell r="D1096">
            <v>12</v>
          </cell>
          <cell r="AB1096">
            <v>191.09199999999998</v>
          </cell>
        </row>
        <row r="1097">
          <cell r="D1097">
            <v>12</v>
          </cell>
          <cell r="AB1097">
            <v>681.12000000000012</v>
          </cell>
        </row>
        <row r="1098">
          <cell r="D1098">
            <v>12</v>
          </cell>
          <cell r="AB1098">
            <v>323.40000000000003</v>
          </cell>
        </row>
        <row r="1099">
          <cell r="D1099">
            <v>12</v>
          </cell>
          <cell r="AB1099">
            <v>298.09999999999997</v>
          </cell>
        </row>
        <row r="1100">
          <cell r="D1100">
            <v>12</v>
          </cell>
          <cell r="AB1100">
            <v>75.900000000000006</v>
          </cell>
        </row>
        <row r="1101">
          <cell r="D1101">
            <v>12</v>
          </cell>
          <cell r="AB1101">
            <v>148.02857142857141</v>
          </cell>
        </row>
        <row r="1102">
          <cell r="D1102">
            <v>12</v>
          </cell>
          <cell r="AB1102">
            <v>170.77500000000001</v>
          </cell>
        </row>
        <row r="1103">
          <cell r="D1103">
            <v>12</v>
          </cell>
          <cell r="AB1103">
            <v>195.52500000000003</v>
          </cell>
        </row>
        <row r="1104">
          <cell r="D1104">
            <v>12</v>
          </cell>
          <cell r="AB1104">
            <v>407</v>
          </cell>
        </row>
        <row r="1105">
          <cell r="D1105">
            <v>12</v>
          </cell>
          <cell r="AB1105">
            <v>509.42099999999994</v>
          </cell>
        </row>
        <row r="1106">
          <cell r="D1106">
            <v>12</v>
          </cell>
          <cell r="AB1106">
            <v>56.099999999999994</v>
          </cell>
        </row>
        <row r="1107">
          <cell r="D1107">
            <v>12</v>
          </cell>
          <cell r="AB1107">
            <v>422.86200000000002</v>
          </cell>
        </row>
        <row r="1108">
          <cell r="D1108">
            <v>12</v>
          </cell>
          <cell r="AB1108">
            <v>213.26250000000005</v>
          </cell>
        </row>
        <row r="1109">
          <cell r="D1109">
            <v>12</v>
          </cell>
          <cell r="AB1109">
            <v>229.31040000000007</v>
          </cell>
        </row>
        <row r="1110">
          <cell r="D1110">
            <v>12</v>
          </cell>
          <cell r="AB1110">
            <v>201.49799999999999</v>
          </cell>
        </row>
        <row r="1111">
          <cell r="D1111">
            <v>12</v>
          </cell>
          <cell r="AB1111">
            <v>420.024</v>
          </cell>
        </row>
        <row r="1112">
          <cell r="D1112">
            <v>12</v>
          </cell>
          <cell r="AB1112">
            <v>130.54800000000003</v>
          </cell>
        </row>
        <row r="1113">
          <cell r="D1113">
            <v>12</v>
          </cell>
          <cell r="AB1113">
            <v>75.900000000000006</v>
          </cell>
        </row>
        <row r="1114">
          <cell r="D1114">
            <v>12</v>
          </cell>
          <cell r="AB1114">
            <v>295.35000000000002</v>
          </cell>
        </row>
        <row r="1115">
          <cell r="D1115">
            <v>12</v>
          </cell>
          <cell r="AB1115">
            <v>93.225000000000009</v>
          </cell>
        </row>
        <row r="1116">
          <cell r="D1116">
            <v>12</v>
          </cell>
          <cell r="AB1116">
            <v>122.10000000000001</v>
          </cell>
        </row>
        <row r="1117">
          <cell r="D1117">
            <v>12</v>
          </cell>
          <cell r="AB1117">
            <v>187.27499999999998</v>
          </cell>
        </row>
        <row r="1118">
          <cell r="D1118">
            <v>12</v>
          </cell>
          <cell r="AB1118">
            <v>237.60000000000002</v>
          </cell>
        </row>
        <row r="1119">
          <cell r="D1119">
            <v>12</v>
          </cell>
          <cell r="AB1119">
            <v>239.80000000000007</v>
          </cell>
        </row>
        <row r="1120">
          <cell r="D1120">
            <v>12</v>
          </cell>
          <cell r="AB1120">
            <v>289.41000000000008</v>
          </cell>
        </row>
        <row r="1121">
          <cell r="D1121">
            <v>12</v>
          </cell>
          <cell r="AB1121">
            <v>178.20000000000002</v>
          </cell>
        </row>
        <row r="1122">
          <cell r="D1122">
            <v>12</v>
          </cell>
          <cell r="AB1122">
            <v>194.70000000000002</v>
          </cell>
        </row>
        <row r="1123">
          <cell r="D1123">
            <v>12</v>
          </cell>
          <cell r="AB1123">
            <v>360.25</v>
          </cell>
        </row>
        <row r="1124">
          <cell r="D1124">
            <v>12</v>
          </cell>
          <cell r="AB1124">
            <v>183.15</v>
          </cell>
        </row>
        <row r="1125">
          <cell r="D1125">
            <v>12</v>
          </cell>
          <cell r="AB1125">
            <v>339.9</v>
          </cell>
        </row>
        <row r="1126">
          <cell r="D1126">
            <v>12</v>
          </cell>
          <cell r="AB1126">
            <v>624.36</v>
          </cell>
        </row>
        <row r="1127">
          <cell r="D1127">
            <v>12</v>
          </cell>
          <cell r="AB1127">
            <v>1515.4920000000002</v>
          </cell>
        </row>
        <row r="1128">
          <cell r="D1128">
            <v>12</v>
          </cell>
          <cell r="AB1128">
            <v>793.221</v>
          </cell>
        </row>
        <row r="1129">
          <cell r="D1129">
            <v>12</v>
          </cell>
          <cell r="AB1129">
            <v>49.5</v>
          </cell>
        </row>
        <row r="1130">
          <cell r="D1130">
            <v>12</v>
          </cell>
          <cell r="AB1130">
            <v>419.1</v>
          </cell>
        </row>
        <row r="1131">
          <cell r="D1131">
            <v>12</v>
          </cell>
          <cell r="AB1131">
            <v>226.05</v>
          </cell>
        </row>
        <row r="1132">
          <cell r="D1132">
            <v>12</v>
          </cell>
          <cell r="AB1132">
            <v>754.90800000000013</v>
          </cell>
        </row>
        <row r="1133">
          <cell r="D1133">
            <v>12</v>
          </cell>
          <cell r="AB1133">
            <v>422.86200000000002</v>
          </cell>
        </row>
        <row r="1134">
          <cell r="D1134">
            <v>12</v>
          </cell>
          <cell r="AB1134">
            <v>1425.0000000000032</v>
          </cell>
          <cell r="AE1134">
            <v>1</v>
          </cell>
        </row>
        <row r="1135">
          <cell r="D1135">
            <v>12</v>
          </cell>
          <cell r="AB1135">
            <v>360.64285714285717</v>
          </cell>
        </row>
        <row r="1136">
          <cell r="D1136">
            <v>12</v>
          </cell>
          <cell r="AB1136">
            <v>1541.0340000000003</v>
          </cell>
        </row>
        <row r="1137">
          <cell r="D1137">
            <v>12</v>
          </cell>
          <cell r="AB1137">
            <v>1484.2740000000003</v>
          </cell>
        </row>
        <row r="1138">
          <cell r="D1138">
            <v>12</v>
          </cell>
          <cell r="AB1138">
            <v>872.68499999999995</v>
          </cell>
        </row>
        <row r="1139">
          <cell r="D1139">
            <v>12</v>
          </cell>
          <cell r="AB1139">
            <v>1032</v>
          </cell>
          <cell r="AE1139" t="str">
            <v>İ</v>
          </cell>
        </row>
        <row r="1140">
          <cell r="D1140">
            <v>12</v>
          </cell>
          <cell r="AB1140">
            <v>1140.0000000000186</v>
          </cell>
          <cell r="AE1140">
            <v>1</v>
          </cell>
        </row>
        <row r="1141">
          <cell r="D1141">
            <v>12</v>
          </cell>
          <cell r="AB1141">
            <v>401.49999999999994</v>
          </cell>
        </row>
        <row r="1142">
          <cell r="D1142">
            <v>12</v>
          </cell>
          <cell r="AB1142">
            <v>450.00000000001796</v>
          </cell>
          <cell r="AE1142">
            <v>1</v>
          </cell>
        </row>
        <row r="1143">
          <cell r="D1143">
            <v>12</v>
          </cell>
          <cell r="AB1143">
            <v>226.6</v>
          </cell>
        </row>
        <row r="1144">
          <cell r="D1144">
            <v>12</v>
          </cell>
          <cell r="AB1144">
            <v>209</v>
          </cell>
        </row>
        <row r="1145">
          <cell r="D1145">
            <v>12</v>
          </cell>
          <cell r="AB1145">
            <v>242.54999999999998</v>
          </cell>
        </row>
        <row r="1146">
          <cell r="D1146">
            <v>12</v>
          </cell>
          <cell r="AB1146">
            <v>206.25</v>
          </cell>
        </row>
        <row r="1147">
          <cell r="D1147">
            <v>12</v>
          </cell>
          <cell r="AB1147">
            <v>245.30000000000004</v>
          </cell>
        </row>
        <row r="1148">
          <cell r="D1148">
            <v>12</v>
          </cell>
          <cell r="AB1148">
            <v>189.20000000000002</v>
          </cell>
        </row>
        <row r="1149">
          <cell r="D1149">
            <v>12</v>
          </cell>
          <cell r="AB1149">
            <v>373.19699999999995</v>
          </cell>
        </row>
        <row r="1150">
          <cell r="D1150">
            <v>12</v>
          </cell>
          <cell r="AB1150">
            <v>1679.9999999999475</v>
          </cell>
          <cell r="AE1150">
            <v>1</v>
          </cell>
        </row>
        <row r="1151">
          <cell r="D1151">
            <v>12</v>
          </cell>
          <cell r="AB1151">
            <v>1295.9999999999616</v>
          </cell>
          <cell r="AE1151">
            <v>1</v>
          </cell>
        </row>
        <row r="1152">
          <cell r="D1152">
            <v>12</v>
          </cell>
          <cell r="AB1152">
            <v>1061.4120000000003</v>
          </cell>
        </row>
        <row r="1153">
          <cell r="D1153">
            <v>12</v>
          </cell>
          <cell r="AB1153">
            <v>75.900000000000006</v>
          </cell>
        </row>
        <row r="1154">
          <cell r="D1154">
            <v>12</v>
          </cell>
          <cell r="AB1154">
            <v>231.82500000000002</v>
          </cell>
        </row>
        <row r="1155">
          <cell r="D1155">
            <v>12</v>
          </cell>
          <cell r="AB1155">
            <v>183.15</v>
          </cell>
        </row>
        <row r="1156">
          <cell r="D1156">
            <v>12</v>
          </cell>
          <cell r="AB1156">
            <v>1977.3600000000004</v>
          </cell>
        </row>
        <row r="1157">
          <cell r="D1157">
            <v>12</v>
          </cell>
          <cell r="AB1157">
            <v>232.10000000000002</v>
          </cell>
        </row>
        <row r="1158">
          <cell r="D1158">
            <v>12</v>
          </cell>
          <cell r="AB1158">
            <v>300.63</v>
          </cell>
        </row>
        <row r="1159">
          <cell r="D1159">
            <v>12</v>
          </cell>
          <cell r="AB1159">
            <v>1135.2</v>
          </cell>
        </row>
        <row r="1160">
          <cell r="D1160">
            <v>12</v>
          </cell>
          <cell r="AB1160">
            <v>0</v>
          </cell>
        </row>
        <row r="1161">
          <cell r="D1161">
            <v>12</v>
          </cell>
          <cell r="AB1161">
            <v>140.25</v>
          </cell>
        </row>
        <row r="1162">
          <cell r="D1162">
            <v>12</v>
          </cell>
          <cell r="AB1162">
            <v>339.9</v>
          </cell>
        </row>
        <row r="1163">
          <cell r="D1163">
            <v>12</v>
          </cell>
          <cell r="AB1163">
            <v>187.27499999999998</v>
          </cell>
        </row>
        <row r="1164">
          <cell r="D1164">
            <v>12</v>
          </cell>
          <cell r="AB1164">
            <v>237.60000000000002</v>
          </cell>
        </row>
        <row r="1165">
          <cell r="D1165">
            <v>12</v>
          </cell>
          <cell r="AB1165">
            <v>239.80000000000007</v>
          </cell>
        </row>
        <row r="1166">
          <cell r="D1166">
            <v>12</v>
          </cell>
          <cell r="AB1166">
            <v>289.41000000000008</v>
          </cell>
        </row>
        <row r="1167">
          <cell r="D1167">
            <v>12</v>
          </cell>
          <cell r="AB1167">
            <v>178.20000000000002</v>
          </cell>
        </row>
        <row r="1168">
          <cell r="D1168">
            <v>12</v>
          </cell>
          <cell r="AB1168">
            <v>194.70000000000002</v>
          </cell>
        </row>
        <row r="1169">
          <cell r="D1169">
            <v>12</v>
          </cell>
          <cell r="AB1169">
            <v>1243.0440000000003</v>
          </cell>
        </row>
        <row r="1170">
          <cell r="D1170">
            <v>12</v>
          </cell>
          <cell r="AB1170">
            <v>183.15</v>
          </cell>
        </row>
        <row r="1171">
          <cell r="D1171">
            <v>12</v>
          </cell>
          <cell r="AB1171">
            <v>148.02857142857141</v>
          </cell>
        </row>
        <row r="1172">
          <cell r="D1172">
            <v>12</v>
          </cell>
          <cell r="AB1172">
            <v>1061.4120000000003</v>
          </cell>
        </row>
        <row r="1173">
          <cell r="D1173">
            <v>12</v>
          </cell>
          <cell r="AB1173">
            <v>1711.3139999999999</v>
          </cell>
        </row>
        <row r="1174">
          <cell r="D1174">
            <v>12</v>
          </cell>
          <cell r="AB1174">
            <v>360.25</v>
          </cell>
        </row>
        <row r="1175">
          <cell r="D1175">
            <v>12</v>
          </cell>
          <cell r="AB1175">
            <v>373.19699999999995</v>
          </cell>
        </row>
        <row r="1176">
          <cell r="D1176">
            <v>12</v>
          </cell>
          <cell r="AB1176">
            <v>189.20000000000002</v>
          </cell>
        </row>
        <row r="1177">
          <cell r="D1177">
            <v>12</v>
          </cell>
          <cell r="AB1177">
            <v>245.30000000000004</v>
          </cell>
        </row>
        <row r="1178">
          <cell r="D1178">
            <v>12</v>
          </cell>
          <cell r="AB1178">
            <v>295.35000000000002</v>
          </cell>
        </row>
        <row r="1179">
          <cell r="D1179">
            <v>12</v>
          </cell>
          <cell r="AB1179">
            <v>93.225000000000009</v>
          </cell>
        </row>
        <row r="1180">
          <cell r="D1180">
            <v>12</v>
          </cell>
          <cell r="AB1180">
            <v>49.5</v>
          </cell>
        </row>
        <row r="1181">
          <cell r="D1181">
            <v>12</v>
          </cell>
          <cell r="AB1181">
            <v>75.900000000000006</v>
          </cell>
        </row>
        <row r="1182">
          <cell r="D1182">
            <v>12</v>
          </cell>
          <cell r="AB1182">
            <v>201.49799999999999</v>
          </cell>
        </row>
        <row r="1183">
          <cell r="D1183">
            <v>12</v>
          </cell>
          <cell r="AB1183">
            <v>229.31040000000007</v>
          </cell>
        </row>
        <row r="1184">
          <cell r="D1184">
            <v>12</v>
          </cell>
          <cell r="AB1184">
            <v>422.86200000000002</v>
          </cell>
        </row>
        <row r="1185">
          <cell r="D1185">
            <v>12</v>
          </cell>
          <cell r="AB1185">
            <v>624.36</v>
          </cell>
        </row>
        <row r="1186">
          <cell r="D1186">
            <v>12</v>
          </cell>
          <cell r="AB1186">
            <v>422.86200000000002</v>
          </cell>
        </row>
        <row r="1187">
          <cell r="D1187">
            <v>12</v>
          </cell>
          <cell r="AB1187">
            <v>1033.0319999999997</v>
          </cell>
        </row>
        <row r="1188">
          <cell r="D1188">
            <v>12</v>
          </cell>
          <cell r="AB1188">
            <v>360.64285714285717</v>
          </cell>
        </row>
        <row r="1189">
          <cell r="D1189">
            <v>12</v>
          </cell>
          <cell r="AB1189">
            <v>754.90800000000013</v>
          </cell>
        </row>
        <row r="1190">
          <cell r="D1190">
            <v>12</v>
          </cell>
          <cell r="AB1190">
            <v>89.100000000000009</v>
          </cell>
        </row>
        <row r="1191">
          <cell r="D1191">
            <v>12</v>
          </cell>
          <cell r="AB1191">
            <v>335.50000000000006</v>
          </cell>
        </row>
        <row r="1192">
          <cell r="D1192">
            <v>12</v>
          </cell>
          <cell r="AB1192">
            <v>104.77500000000001</v>
          </cell>
        </row>
        <row r="1193">
          <cell r="D1193">
            <v>12</v>
          </cell>
          <cell r="AB1193">
            <v>148.5</v>
          </cell>
        </row>
        <row r="1194">
          <cell r="D1194">
            <v>12</v>
          </cell>
          <cell r="AB1194">
            <v>84.15</v>
          </cell>
        </row>
        <row r="1195">
          <cell r="D1195">
            <v>12</v>
          </cell>
          <cell r="AB1195">
            <v>85.140000000000015</v>
          </cell>
        </row>
        <row r="1196">
          <cell r="D1196">
            <v>12</v>
          </cell>
          <cell r="AB1196">
            <v>1451.6370000000002</v>
          </cell>
        </row>
        <row r="1197">
          <cell r="D1197">
            <v>12</v>
          </cell>
          <cell r="AB1197">
            <v>55.000000000000007</v>
          </cell>
        </row>
        <row r="1198">
          <cell r="D1198">
            <v>12</v>
          </cell>
          <cell r="AB1198">
            <v>407</v>
          </cell>
        </row>
        <row r="1199">
          <cell r="D1199">
            <v>12</v>
          </cell>
          <cell r="AB1199">
            <v>2140.6000000000004</v>
          </cell>
        </row>
        <row r="1200">
          <cell r="D1200">
            <v>12</v>
          </cell>
          <cell r="AB1200">
            <v>0</v>
          </cell>
        </row>
        <row r="1201">
          <cell r="D1201">
            <v>12</v>
          </cell>
          <cell r="AB1201">
            <v>1541.0340000000003</v>
          </cell>
        </row>
        <row r="1202">
          <cell r="D1202">
            <v>12</v>
          </cell>
          <cell r="AB1202">
            <v>1541.0340000000003</v>
          </cell>
        </row>
        <row r="1203">
          <cell r="D1203">
            <v>12</v>
          </cell>
          <cell r="AB1203">
            <v>36.299999999999997</v>
          </cell>
        </row>
        <row r="1204">
          <cell r="D1204">
            <v>12</v>
          </cell>
          <cell r="AB1204">
            <v>102.16800000000001</v>
          </cell>
        </row>
        <row r="1205">
          <cell r="D1205">
            <v>12</v>
          </cell>
          <cell r="AB1205">
            <v>56.100000000000009</v>
          </cell>
        </row>
        <row r="1206">
          <cell r="D1206">
            <v>12</v>
          </cell>
          <cell r="AB1206">
            <v>178.20000000000002</v>
          </cell>
        </row>
        <row r="1207">
          <cell r="D1207">
            <v>12</v>
          </cell>
          <cell r="AB1207">
            <v>609.40000000000009</v>
          </cell>
        </row>
        <row r="1208">
          <cell r="D1208">
            <v>12</v>
          </cell>
          <cell r="AB1208">
            <v>295.35000000000002</v>
          </cell>
        </row>
        <row r="1209">
          <cell r="D1209">
            <v>12</v>
          </cell>
          <cell r="AB1209">
            <v>323.87142857142857</v>
          </cell>
        </row>
        <row r="1210">
          <cell r="D1210">
            <v>12</v>
          </cell>
          <cell r="AB1210">
            <v>532.125</v>
          </cell>
        </row>
        <row r="1211">
          <cell r="D1211">
            <v>12</v>
          </cell>
          <cell r="AB1211">
            <v>170.77500000000001</v>
          </cell>
        </row>
        <row r="1212">
          <cell r="D1212">
            <v>12</v>
          </cell>
          <cell r="AB1212">
            <v>488.13600000000008</v>
          </cell>
        </row>
        <row r="1213">
          <cell r="D1213">
            <v>12</v>
          </cell>
          <cell r="AB1213">
            <v>108.9</v>
          </cell>
        </row>
        <row r="1214">
          <cell r="D1214">
            <v>12</v>
          </cell>
          <cell r="AB1214">
            <v>187.27499999999998</v>
          </cell>
        </row>
        <row r="1215">
          <cell r="D1215">
            <v>12</v>
          </cell>
          <cell r="AB1215">
            <v>122.10000000000001</v>
          </cell>
        </row>
        <row r="1216">
          <cell r="D1216">
            <v>12</v>
          </cell>
          <cell r="AB1216">
            <v>1494.6799999999998</v>
          </cell>
        </row>
        <row r="1217">
          <cell r="D1217">
            <v>12</v>
          </cell>
          <cell r="AB1217">
            <v>902.48400000000015</v>
          </cell>
        </row>
        <row r="1218">
          <cell r="D1218">
            <v>12</v>
          </cell>
          <cell r="AB1218">
            <v>722.74400000000003</v>
          </cell>
        </row>
        <row r="1219">
          <cell r="D1219">
            <v>12</v>
          </cell>
          <cell r="AB1219">
            <v>557.05885714285728</v>
          </cell>
        </row>
        <row r="1220">
          <cell r="D1220">
            <v>12</v>
          </cell>
          <cell r="AB1220">
            <v>754.90800000000013</v>
          </cell>
        </row>
        <row r="1221">
          <cell r="D1221">
            <v>12</v>
          </cell>
          <cell r="AB1221">
            <v>195.52500000000003</v>
          </cell>
        </row>
        <row r="1222">
          <cell r="D1222">
            <v>12</v>
          </cell>
          <cell r="AB1222">
            <v>1515.4920000000002</v>
          </cell>
        </row>
        <row r="1223">
          <cell r="D1223">
            <v>12</v>
          </cell>
          <cell r="AB1223">
            <v>249.74400000000006</v>
          </cell>
        </row>
        <row r="1224">
          <cell r="D1224">
            <v>12</v>
          </cell>
          <cell r="AB1224">
            <v>85.140000000000015</v>
          </cell>
        </row>
        <row r="1225">
          <cell r="D1225">
            <v>12</v>
          </cell>
          <cell r="AB1225">
            <v>239.80000000000007</v>
          </cell>
        </row>
        <row r="1226">
          <cell r="D1226">
            <v>12</v>
          </cell>
          <cell r="AB1226">
            <v>1977.3600000000004</v>
          </cell>
        </row>
        <row r="1227">
          <cell r="D1227">
            <v>12</v>
          </cell>
          <cell r="AB1227">
            <v>1060.8960000000002</v>
          </cell>
        </row>
        <row r="1228">
          <cell r="D1228">
            <v>12</v>
          </cell>
          <cell r="AB1228">
            <v>618.68400000000008</v>
          </cell>
        </row>
        <row r="1229">
          <cell r="D1229">
            <v>12</v>
          </cell>
          <cell r="AB1229">
            <v>488.13600000000008</v>
          </cell>
        </row>
        <row r="1230">
          <cell r="D1230">
            <v>12</v>
          </cell>
          <cell r="AB1230">
            <v>323.40000000000003</v>
          </cell>
        </row>
        <row r="1231">
          <cell r="D1231">
            <v>12</v>
          </cell>
          <cell r="AB1231">
            <v>201.3</v>
          </cell>
        </row>
        <row r="1232">
          <cell r="D1232">
            <v>12</v>
          </cell>
          <cell r="AB1232">
            <v>174.9</v>
          </cell>
        </row>
        <row r="1233">
          <cell r="D1233">
            <v>12</v>
          </cell>
          <cell r="AB1233">
            <v>201.3</v>
          </cell>
        </row>
        <row r="1234">
          <cell r="D1234">
            <v>12</v>
          </cell>
          <cell r="AB1234">
            <v>158.4</v>
          </cell>
        </row>
        <row r="1235">
          <cell r="D1235">
            <v>12</v>
          </cell>
          <cell r="AB1235">
            <v>152.625</v>
          </cell>
        </row>
        <row r="1236">
          <cell r="D1236">
            <v>12</v>
          </cell>
          <cell r="AB1236">
            <v>418</v>
          </cell>
        </row>
        <row r="1237">
          <cell r="D1237">
            <v>12</v>
          </cell>
          <cell r="AB1237">
            <v>82.500000000000014</v>
          </cell>
        </row>
        <row r="1238">
          <cell r="D1238">
            <v>12</v>
          </cell>
          <cell r="AB1238">
            <v>422.86200000000002</v>
          </cell>
        </row>
        <row r="1239">
          <cell r="D1239">
            <v>12</v>
          </cell>
          <cell r="AB1239">
            <v>11.55</v>
          </cell>
        </row>
        <row r="1240">
          <cell r="D1240">
            <v>12</v>
          </cell>
          <cell r="AB1240">
            <v>300.63</v>
          </cell>
        </row>
        <row r="1241">
          <cell r="D1241">
            <v>12</v>
          </cell>
          <cell r="AB1241">
            <v>232.10000000000002</v>
          </cell>
        </row>
        <row r="1242">
          <cell r="D1242">
            <v>12</v>
          </cell>
          <cell r="AB1242">
            <v>206.25</v>
          </cell>
        </row>
        <row r="1243">
          <cell r="D1243">
            <v>12</v>
          </cell>
          <cell r="AB1243">
            <v>183.15</v>
          </cell>
        </row>
        <row r="1244">
          <cell r="D1244">
            <v>12</v>
          </cell>
          <cell r="AB1244">
            <v>140.25</v>
          </cell>
        </row>
        <row r="1245">
          <cell r="D1245">
            <v>12</v>
          </cell>
          <cell r="AB1245">
            <v>55.000000000000007</v>
          </cell>
        </row>
        <row r="1246">
          <cell r="D1246">
            <v>12</v>
          </cell>
          <cell r="AB1246">
            <v>56.099999999999994</v>
          </cell>
        </row>
        <row r="1247">
          <cell r="D1247">
            <v>12</v>
          </cell>
          <cell r="AB1247">
            <v>56.100000000000009</v>
          </cell>
        </row>
        <row r="1248">
          <cell r="D1248">
            <v>12</v>
          </cell>
          <cell r="AB1248">
            <v>56.760000000000005</v>
          </cell>
        </row>
        <row r="1249">
          <cell r="D1249">
            <v>12</v>
          </cell>
          <cell r="AB1249">
            <v>191.09199999999998</v>
          </cell>
        </row>
        <row r="1250">
          <cell r="D1250">
            <v>12</v>
          </cell>
          <cell r="AB1250">
            <v>681.12000000000012</v>
          </cell>
        </row>
        <row r="1251">
          <cell r="D1251">
            <v>12</v>
          </cell>
          <cell r="AB1251">
            <v>522.19200000000012</v>
          </cell>
        </row>
        <row r="1252">
          <cell r="D1252">
            <v>12</v>
          </cell>
          <cell r="AB1252">
            <v>249.74400000000006</v>
          </cell>
        </row>
        <row r="1253">
          <cell r="D1253">
            <v>12</v>
          </cell>
          <cell r="AB1253">
            <v>422.86200000000002</v>
          </cell>
        </row>
        <row r="1254">
          <cell r="D1254">
            <v>12</v>
          </cell>
          <cell r="AB1254">
            <v>75.900000000000006</v>
          </cell>
        </row>
        <row r="1255">
          <cell r="D1255">
            <v>12</v>
          </cell>
          <cell r="AB1255">
            <v>522.19200000000012</v>
          </cell>
        </row>
        <row r="1256">
          <cell r="D1256">
            <v>12</v>
          </cell>
          <cell r="AB1256">
            <v>1060.8960000000002</v>
          </cell>
        </row>
        <row r="1257">
          <cell r="D1257">
            <v>12</v>
          </cell>
          <cell r="AB1257">
            <v>793.221</v>
          </cell>
        </row>
        <row r="1258">
          <cell r="D1258">
            <v>12</v>
          </cell>
          <cell r="AB1258">
            <v>1515.4920000000002</v>
          </cell>
        </row>
        <row r="1259">
          <cell r="D1259">
            <v>12</v>
          </cell>
          <cell r="AB1259">
            <v>624.36</v>
          </cell>
        </row>
        <row r="1260">
          <cell r="D1260">
            <v>12</v>
          </cell>
          <cell r="AB1260">
            <v>339.9</v>
          </cell>
        </row>
        <row r="1261">
          <cell r="D1261">
            <v>12</v>
          </cell>
          <cell r="AB1261">
            <v>183.15</v>
          </cell>
        </row>
        <row r="1262">
          <cell r="D1262">
            <v>12</v>
          </cell>
          <cell r="AB1262">
            <v>360.25</v>
          </cell>
        </row>
        <row r="1263">
          <cell r="D1263">
            <v>12</v>
          </cell>
          <cell r="AB1263">
            <v>194.70000000000002</v>
          </cell>
        </row>
        <row r="1264">
          <cell r="D1264">
            <v>12</v>
          </cell>
          <cell r="AB1264">
            <v>178.20000000000002</v>
          </cell>
        </row>
        <row r="1265">
          <cell r="D1265">
            <v>12</v>
          </cell>
          <cell r="AB1265">
            <v>289.41000000000008</v>
          </cell>
        </row>
        <row r="1266">
          <cell r="D1266">
            <v>12</v>
          </cell>
          <cell r="AB1266">
            <v>237.60000000000002</v>
          </cell>
        </row>
        <row r="1267">
          <cell r="D1267">
            <v>12</v>
          </cell>
          <cell r="AB1267">
            <v>231.82500000000002</v>
          </cell>
        </row>
        <row r="1268">
          <cell r="D1268">
            <v>12</v>
          </cell>
          <cell r="AB1268">
            <v>148.02857142857141</v>
          </cell>
        </row>
        <row r="1269">
          <cell r="D1269">
            <v>12</v>
          </cell>
          <cell r="AB1269">
            <v>0</v>
          </cell>
        </row>
        <row r="1270">
          <cell r="D1270">
            <v>12</v>
          </cell>
          <cell r="AB1270">
            <v>872.68499999999995</v>
          </cell>
        </row>
        <row r="1271">
          <cell r="D1271">
            <v>12</v>
          </cell>
          <cell r="AB1271">
            <v>229.31040000000007</v>
          </cell>
        </row>
        <row r="1272">
          <cell r="D1272">
            <v>12</v>
          </cell>
          <cell r="AB1272">
            <v>226.05</v>
          </cell>
        </row>
        <row r="1273">
          <cell r="D1273">
            <v>12</v>
          </cell>
          <cell r="AB1273">
            <v>226.6</v>
          </cell>
        </row>
        <row r="1274">
          <cell r="D1274">
            <v>12</v>
          </cell>
          <cell r="AB1274">
            <v>117.777</v>
          </cell>
        </row>
        <row r="1275">
          <cell r="D1275">
            <v>12</v>
          </cell>
          <cell r="AB1275">
            <v>504.59999999999997</v>
          </cell>
        </row>
        <row r="1276">
          <cell r="D1276">
            <v>12</v>
          </cell>
          <cell r="AB1276">
            <v>93.225000000000009</v>
          </cell>
        </row>
        <row r="1277">
          <cell r="D1277">
            <v>12</v>
          </cell>
          <cell r="AB1277">
            <v>425.7000000000001</v>
          </cell>
        </row>
        <row r="1278">
          <cell r="D1278">
            <v>12</v>
          </cell>
          <cell r="AB1278">
            <v>49.5</v>
          </cell>
        </row>
        <row r="1279">
          <cell r="D1279">
            <v>12</v>
          </cell>
          <cell r="AB1279">
            <v>357.58800000000002</v>
          </cell>
        </row>
        <row r="1280">
          <cell r="D1280">
            <v>12</v>
          </cell>
          <cell r="AB1280">
            <v>3474.24</v>
          </cell>
        </row>
        <row r="1281">
          <cell r="D1281">
            <v>12</v>
          </cell>
          <cell r="AB1281">
            <v>201.49799999999999</v>
          </cell>
        </row>
        <row r="1282">
          <cell r="D1282">
            <v>12</v>
          </cell>
          <cell r="AB1282">
            <v>0</v>
          </cell>
        </row>
        <row r="1283">
          <cell r="D1283">
            <v>12</v>
          </cell>
          <cell r="AB1283">
            <v>75.900000000000006</v>
          </cell>
        </row>
        <row r="1284">
          <cell r="D1284">
            <v>12</v>
          </cell>
          <cell r="AB1284">
            <v>618.68400000000008</v>
          </cell>
        </row>
        <row r="1285">
          <cell r="D1285">
            <v>12</v>
          </cell>
          <cell r="AB1285">
            <v>401.49999999999994</v>
          </cell>
        </row>
        <row r="1286">
          <cell r="D1286">
            <v>12</v>
          </cell>
          <cell r="AB1286">
            <v>360.64285714285717</v>
          </cell>
        </row>
        <row r="1287">
          <cell r="D1287">
            <v>12</v>
          </cell>
          <cell r="AB1287">
            <v>1014.585</v>
          </cell>
        </row>
        <row r="1288">
          <cell r="D1288">
            <v>12</v>
          </cell>
          <cell r="AB1288">
            <v>278.12400000000002</v>
          </cell>
        </row>
        <row r="1289">
          <cell r="D1289">
            <v>12</v>
          </cell>
          <cell r="AB1289">
            <v>509.42099999999994</v>
          </cell>
        </row>
        <row r="1290">
          <cell r="D1290">
            <v>12</v>
          </cell>
          <cell r="AB1290">
            <v>923.64</v>
          </cell>
          <cell r="AE1290">
            <v>1</v>
          </cell>
        </row>
        <row r="1291">
          <cell r="D1291">
            <v>12</v>
          </cell>
          <cell r="AB1291">
            <v>1243.0440000000003</v>
          </cell>
        </row>
        <row r="1292">
          <cell r="D1292">
            <v>12</v>
          </cell>
          <cell r="AB1292">
            <v>373.19699999999995</v>
          </cell>
        </row>
        <row r="1293">
          <cell r="D1293">
            <v>12</v>
          </cell>
          <cell r="AB1293">
            <v>335.50000000000006</v>
          </cell>
        </row>
        <row r="1294">
          <cell r="D1294">
            <v>12</v>
          </cell>
          <cell r="AB1294">
            <v>245.30000000000004</v>
          </cell>
        </row>
        <row r="1295">
          <cell r="D1295">
            <v>12</v>
          </cell>
          <cell r="AB1295">
            <v>800.31600000000014</v>
          </cell>
        </row>
        <row r="1296">
          <cell r="D1296">
            <v>12</v>
          </cell>
          <cell r="AB1296">
            <v>295.35000000000002</v>
          </cell>
        </row>
        <row r="1297">
          <cell r="D1297">
            <v>12</v>
          </cell>
          <cell r="AB1297">
            <v>170.77500000000001</v>
          </cell>
        </row>
        <row r="1298">
          <cell r="D1298">
            <v>12</v>
          </cell>
          <cell r="AB1298">
            <v>195.52500000000003</v>
          </cell>
        </row>
        <row r="1299">
          <cell r="D1299">
            <v>12</v>
          </cell>
          <cell r="AB1299">
            <v>407</v>
          </cell>
        </row>
        <row r="1300">
          <cell r="D1300">
            <v>12</v>
          </cell>
          <cell r="AB1300">
            <v>122.10000000000001</v>
          </cell>
        </row>
        <row r="1301">
          <cell r="D1301">
            <v>12</v>
          </cell>
          <cell r="AB1301">
            <v>108.9</v>
          </cell>
        </row>
        <row r="1302">
          <cell r="D1302">
            <v>12</v>
          </cell>
          <cell r="AB1302">
            <v>622.46800000000007</v>
          </cell>
        </row>
        <row r="1303">
          <cell r="D1303">
            <v>12</v>
          </cell>
          <cell r="AB1303">
            <v>189.20000000000002</v>
          </cell>
        </row>
        <row r="1304">
          <cell r="D1304">
            <v>12</v>
          </cell>
          <cell r="AB1304">
            <v>233.75000000000006</v>
          </cell>
        </row>
        <row r="1305">
          <cell r="D1305">
            <v>12</v>
          </cell>
          <cell r="AB1305">
            <v>207.42857142857142</v>
          </cell>
        </row>
        <row r="1306">
          <cell r="D1306">
            <v>12</v>
          </cell>
          <cell r="AB1306">
            <v>127.71000000000001</v>
          </cell>
        </row>
        <row r="1307">
          <cell r="D1307">
            <v>12</v>
          </cell>
          <cell r="AB1307">
            <v>141.9</v>
          </cell>
        </row>
        <row r="1308">
          <cell r="D1308">
            <v>12</v>
          </cell>
          <cell r="AB1308">
            <v>54.45</v>
          </cell>
        </row>
        <row r="1309">
          <cell r="D1309">
            <v>12</v>
          </cell>
          <cell r="AB1309">
            <v>54.45</v>
          </cell>
        </row>
        <row r="1310">
          <cell r="D1310">
            <v>12</v>
          </cell>
          <cell r="AB1310">
            <v>74.25</v>
          </cell>
        </row>
        <row r="1311">
          <cell r="D1311">
            <v>12</v>
          </cell>
          <cell r="AB1311">
            <v>94.600000000000023</v>
          </cell>
        </row>
        <row r="1312">
          <cell r="D1312">
            <v>12</v>
          </cell>
          <cell r="AB1312">
            <v>732.20400000000018</v>
          </cell>
        </row>
        <row r="1313">
          <cell r="D1313">
            <v>12</v>
          </cell>
          <cell r="AB1313">
            <v>254.65000000000003</v>
          </cell>
        </row>
        <row r="1314">
          <cell r="D1314">
            <v>12</v>
          </cell>
          <cell r="AB1314">
            <v>1307.3720000000001</v>
          </cell>
        </row>
        <row r="1315">
          <cell r="D1315">
            <v>12</v>
          </cell>
          <cell r="AB1315">
            <v>275.13750000000005</v>
          </cell>
        </row>
        <row r="1316">
          <cell r="D1316">
            <v>12</v>
          </cell>
          <cell r="AB1316">
            <v>191.4</v>
          </cell>
        </row>
        <row r="1317">
          <cell r="D1317">
            <v>12</v>
          </cell>
          <cell r="AB1317">
            <v>196.35000000000002</v>
          </cell>
        </row>
        <row r="1318">
          <cell r="D1318">
            <v>12</v>
          </cell>
          <cell r="AB1318">
            <v>396.41250000000002</v>
          </cell>
        </row>
        <row r="1319">
          <cell r="D1319">
            <v>12</v>
          </cell>
          <cell r="AB1319">
            <v>280.5</v>
          </cell>
        </row>
        <row r="1320">
          <cell r="D1320">
            <v>12</v>
          </cell>
          <cell r="AB1320">
            <v>394.90000000000009</v>
          </cell>
        </row>
        <row r="1321">
          <cell r="D1321">
            <v>12</v>
          </cell>
          <cell r="AB1321">
            <v>104.77500000000001</v>
          </cell>
        </row>
        <row r="1322">
          <cell r="D1322">
            <v>12</v>
          </cell>
          <cell r="AB1322">
            <v>193.60000000000002</v>
          </cell>
        </row>
        <row r="1323">
          <cell r="D1323">
            <v>12</v>
          </cell>
          <cell r="AB1323">
            <v>237.12857142857138</v>
          </cell>
        </row>
        <row r="1324">
          <cell r="D1324">
            <v>12</v>
          </cell>
          <cell r="AB1324">
            <v>1137.0920000000001</v>
          </cell>
        </row>
        <row r="1325">
          <cell r="D1325">
            <v>12</v>
          </cell>
          <cell r="AB1325">
            <v>651.32099999999991</v>
          </cell>
        </row>
        <row r="1326">
          <cell r="D1326">
            <v>12</v>
          </cell>
          <cell r="AB1326">
            <v>344.30000000000007</v>
          </cell>
        </row>
        <row r="1327">
          <cell r="D1327">
            <v>12</v>
          </cell>
          <cell r="AB1327">
            <v>221.10000000000005</v>
          </cell>
        </row>
        <row r="1328">
          <cell r="D1328">
            <v>12</v>
          </cell>
          <cell r="AB1328">
            <v>358.04999999999995</v>
          </cell>
        </row>
        <row r="1329">
          <cell r="D1329">
            <v>12</v>
          </cell>
          <cell r="AB1329">
            <v>168.29999999999998</v>
          </cell>
        </row>
        <row r="1330">
          <cell r="D1330">
            <v>12</v>
          </cell>
          <cell r="AB1330">
            <v>89.100000000000009</v>
          </cell>
        </row>
        <row r="1331">
          <cell r="D1331">
            <v>12</v>
          </cell>
          <cell r="AB1331">
            <v>265.8857142857143</v>
          </cell>
        </row>
        <row r="1332">
          <cell r="D1332">
            <v>12</v>
          </cell>
          <cell r="AB1332">
            <v>0</v>
          </cell>
        </row>
        <row r="1333">
          <cell r="D1333">
            <v>12</v>
          </cell>
          <cell r="AB1333">
            <v>231.41250000000002</v>
          </cell>
        </row>
        <row r="1334">
          <cell r="D1334">
            <v>12</v>
          </cell>
          <cell r="AB1334">
            <v>155.92500000000001</v>
          </cell>
        </row>
        <row r="1335">
          <cell r="D1335">
            <v>12</v>
          </cell>
          <cell r="AB1335">
            <v>0</v>
          </cell>
        </row>
        <row r="1336">
          <cell r="D1336">
            <v>12</v>
          </cell>
          <cell r="AB1336">
            <v>166.32000000000002</v>
          </cell>
        </row>
        <row r="1337">
          <cell r="D1337">
            <v>12</v>
          </cell>
          <cell r="AB1337">
            <v>31.35</v>
          </cell>
        </row>
        <row r="1338">
          <cell r="D1338">
            <v>12</v>
          </cell>
          <cell r="AB1338">
            <v>31.35</v>
          </cell>
        </row>
        <row r="1339">
          <cell r="D1339">
            <v>12</v>
          </cell>
          <cell r="AB1339">
            <v>58.300000000000011</v>
          </cell>
        </row>
        <row r="1340">
          <cell r="D1340">
            <v>12</v>
          </cell>
          <cell r="AB1340">
            <v>217.8</v>
          </cell>
        </row>
        <row r="1341">
          <cell r="D1341">
            <v>12</v>
          </cell>
          <cell r="AB1341">
            <v>191.09199999999998</v>
          </cell>
        </row>
        <row r="1342">
          <cell r="D1342">
            <v>12</v>
          </cell>
          <cell r="AB1342">
            <v>148.5</v>
          </cell>
        </row>
        <row r="1343">
          <cell r="D1343">
            <v>12</v>
          </cell>
          <cell r="AB1343">
            <v>84.15</v>
          </cell>
        </row>
        <row r="1344">
          <cell r="D1344">
            <v>12</v>
          </cell>
          <cell r="AB1344">
            <v>36.299999999999997</v>
          </cell>
        </row>
        <row r="1345">
          <cell r="D1345">
            <v>12</v>
          </cell>
          <cell r="AB1345">
            <v>85.140000000000015</v>
          </cell>
        </row>
        <row r="1346">
          <cell r="D1346">
            <v>12</v>
          </cell>
          <cell r="AB1346">
            <v>85.140000000000015</v>
          </cell>
        </row>
        <row r="1347">
          <cell r="D1347">
            <v>12</v>
          </cell>
          <cell r="AB1347">
            <v>102.16800000000001</v>
          </cell>
        </row>
        <row r="1348">
          <cell r="D1348">
            <v>12</v>
          </cell>
          <cell r="AB1348">
            <v>117.777</v>
          </cell>
        </row>
        <row r="1349">
          <cell r="D1349">
            <v>12</v>
          </cell>
          <cell r="AB1349">
            <v>664.09199999999987</v>
          </cell>
        </row>
        <row r="1350">
          <cell r="D1350">
            <v>12</v>
          </cell>
          <cell r="AB1350">
            <v>56.760000000000005</v>
          </cell>
        </row>
        <row r="1351">
          <cell r="D1351">
            <v>12</v>
          </cell>
          <cell r="AB1351">
            <v>696.2560000000002</v>
          </cell>
        </row>
        <row r="1352">
          <cell r="D1352">
            <v>12</v>
          </cell>
          <cell r="AB1352">
            <v>681.12000000000012</v>
          </cell>
        </row>
        <row r="1353">
          <cell r="D1353">
            <v>12</v>
          </cell>
          <cell r="AB1353">
            <v>391.64400000000001</v>
          </cell>
        </row>
        <row r="1354">
          <cell r="D1354">
            <v>12</v>
          </cell>
          <cell r="AB1354">
            <v>192.98400000000001</v>
          </cell>
        </row>
        <row r="1355">
          <cell r="D1355">
            <v>12</v>
          </cell>
          <cell r="AB1355">
            <v>729.36599999999999</v>
          </cell>
        </row>
        <row r="1356">
          <cell r="D1356">
            <v>12</v>
          </cell>
          <cell r="AB1356">
            <v>357.58800000000002</v>
          </cell>
        </row>
        <row r="1357">
          <cell r="D1357">
            <v>12</v>
          </cell>
          <cell r="AB1357">
            <v>3474.24</v>
          </cell>
        </row>
        <row r="1358">
          <cell r="D1358">
            <v>12</v>
          </cell>
          <cell r="AB1358">
            <v>793.221</v>
          </cell>
        </row>
        <row r="1359">
          <cell r="D1359">
            <v>12</v>
          </cell>
          <cell r="AB1359">
            <v>11.55</v>
          </cell>
        </row>
        <row r="1360">
          <cell r="D1360">
            <v>12</v>
          </cell>
          <cell r="AB1360">
            <v>82.500000000000014</v>
          </cell>
        </row>
        <row r="1361">
          <cell r="D1361">
            <v>12</v>
          </cell>
          <cell r="AB1361">
            <v>609.40000000000009</v>
          </cell>
        </row>
        <row r="1362">
          <cell r="D1362">
            <v>12</v>
          </cell>
          <cell r="AB1362">
            <v>1377.8490000000002</v>
          </cell>
        </row>
        <row r="1363">
          <cell r="D1363">
            <v>12</v>
          </cell>
          <cell r="AB1363">
            <v>796.53200000000004</v>
          </cell>
        </row>
        <row r="1364">
          <cell r="D1364">
            <v>12</v>
          </cell>
          <cell r="AB1364">
            <v>1250.6119999999999</v>
          </cell>
        </row>
        <row r="1365">
          <cell r="D1365">
            <v>12</v>
          </cell>
          <cell r="AB1365">
            <v>533.5440000000001</v>
          </cell>
        </row>
        <row r="1366">
          <cell r="D1366">
            <v>12</v>
          </cell>
          <cell r="AB1366">
            <v>688.21500000000003</v>
          </cell>
        </row>
        <row r="1367">
          <cell r="D1367">
            <v>12</v>
          </cell>
          <cell r="AB1367">
            <v>388.84999999999991</v>
          </cell>
        </row>
        <row r="1368">
          <cell r="D1368">
            <v>12</v>
          </cell>
          <cell r="AB1368">
            <v>664.09199999999987</v>
          </cell>
        </row>
        <row r="1369">
          <cell r="D1369">
            <v>12</v>
          </cell>
          <cell r="AB1369">
            <v>242.54999999999998</v>
          </cell>
        </row>
        <row r="1370">
          <cell r="D1370">
            <v>12</v>
          </cell>
          <cell r="AB1370">
            <v>418</v>
          </cell>
        </row>
        <row r="1371">
          <cell r="D1371">
            <v>12</v>
          </cell>
          <cell r="AB1371">
            <v>152.625</v>
          </cell>
        </row>
        <row r="1372">
          <cell r="D1372">
            <v>12</v>
          </cell>
          <cell r="AB1372">
            <v>158.4</v>
          </cell>
        </row>
        <row r="1373">
          <cell r="D1373">
            <v>12</v>
          </cell>
          <cell r="AB1373">
            <v>201.3</v>
          </cell>
        </row>
        <row r="1374">
          <cell r="D1374">
            <v>12</v>
          </cell>
          <cell r="AB1374">
            <v>174.9</v>
          </cell>
        </row>
        <row r="1375">
          <cell r="D1375">
            <v>12</v>
          </cell>
          <cell r="AB1375">
            <v>201.3</v>
          </cell>
        </row>
        <row r="1376">
          <cell r="D1376">
            <v>12</v>
          </cell>
          <cell r="AB1376">
            <v>272.44799999999998</v>
          </cell>
        </row>
        <row r="1377">
          <cell r="D1377">
            <v>12</v>
          </cell>
          <cell r="AB1377">
            <v>696.2560000000002</v>
          </cell>
        </row>
        <row r="1378">
          <cell r="D1378">
            <v>12</v>
          </cell>
          <cell r="AB1378">
            <v>70.125</v>
          </cell>
        </row>
        <row r="1379">
          <cell r="D1379">
            <v>12</v>
          </cell>
          <cell r="AB1379">
            <v>192.98400000000001</v>
          </cell>
        </row>
        <row r="1380">
          <cell r="D1380">
            <v>12</v>
          </cell>
          <cell r="AB1380">
            <v>391.64400000000001</v>
          </cell>
        </row>
        <row r="1381">
          <cell r="D1381">
            <v>12</v>
          </cell>
          <cell r="AB1381">
            <v>245.96000000000004</v>
          </cell>
        </row>
        <row r="1382">
          <cell r="D1382">
            <v>12</v>
          </cell>
          <cell r="AB1382">
            <v>244.06800000000004</v>
          </cell>
        </row>
        <row r="1383">
          <cell r="D1383">
            <v>12</v>
          </cell>
          <cell r="AB1383">
            <v>204.33600000000001</v>
          </cell>
        </row>
        <row r="1384">
          <cell r="D1384">
            <v>12</v>
          </cell>
          <cell r="AB1384">
            <v>124.87200000000001</v>
          </cell>
        </row>
        <row r="1385">
          <cell r="D1385">
            <v>12</v>
          </cell>
          <cell r="AB1385">
            <v>648.48299999999995</v>
          </cell>
        </row>
        <row r="1386">
          <cell r="D1386">
            <v>12</v>
          </cell>
          <cell r="AB1386">
            <v>56.100000000000009</v>
          </cell>
        </row>
        <row r="1387">
          <cell r="D1387">
            <v>12</v>
          </cell>
          <cell r="AB1387">
            <v>295.35000000000002</v>
          </cell>
        </row>
        <row r="1388">
          <cell r="D1388">
            <v>12</v>
          </cell>
          <cell r="AB1388">
            <v>155.57142857142856</v>
          </cell>
        </row>
        <row r="1389">
          <cell r="D1389">
            <v>12</v>
          </cell>
          <cell r="AB1389">
            <v>182.32499999999999</v>
          </cell>
        </row>
        <row r="1390">
          <cell r="D1390">
            <v>12</v>
          </cell>
          <cell r="AB1390">
            <v>213.26250000000005</v>
          </cell>
        </row>
        <row r="1391">
          <cell r="D1391">
            <v>12</v>
          </cell>
          <cell r="AB1391">
            <v>1484.2740000000003</v>
          </cell>
        </row>
        <row r="1392">
          <cell r="D1392">
            <v>12</v>
          </cell>
          <cell r="AB1392">
            <v>298.09999999999997</v>
          </cell>
        </row>
        <row r="1393">
          <cell r="D1393">
            <v>12</v>
          </cell>
          <cell r="AB1393">
            <v>209</v>
          </cell>
        </row>
        <row r="1394">
          <cell r="D1394">
            <v>12</v>
          </cell>
          <cell r="AB1394">
            <v>419.1</v>
          </cell>
        </row>
        <row r="1395">
          <cell r="D1395">
            <v>12</v>
          </cell>
          <cell r="AB1395">
            <v>206.25</v>
          </cell>
        </row>
        <row r="1396">
          <cell r="D1396">
            <v>12</v>
          </cell>
          <cell r="AB1396">
            <v>872.68499999999995</v>
          </cell>
        </row>
        <row r="1397">
          <cell r="D1397">
            <v>12</v>
          </cell>
          <cell r="AB1397">
            <v>323.40000000000003</v>
          </cell>
        </row>
        <row r="1398">
          <cell r="D1398">
            <v>12</v>
          </cell>
          <cell r="AB1398">
            <v>401.49999999999994</v>
          </cell>
        </row>
        <row r="1399">
          <cell r="D1399">
            <v>12</v>
          </cell>
          <cell r="AB1399">
            <v>504.59999999999997</v>
          </cell>
        </row>
        <row r="1400">
          <cell r="D1400">
            <v>12</v>
          </cell>
          <cell r="AB1400">
            <v>226.6</v>
          </cell>
        </row>
        <row r="1401">
          <cell r="D1401">
            <v>12</v>
          </cell>
          <cell r="AB1401">
            <v>231.82500000000002</v>
          </cell>
        </row>
        <row r="1402">
          <cell r="D1402">
            <v>12</v>
          </cell>
          <cell r="AB1402">
            <v>729.36599999999999</v>
          </cell>
        </row>
        <row r="1403">
          <cell r="D1403">
            <v>12</v>
          </cell>
          <cell r="AB1403">
            <v>232.10000000000002</v>
          </cell>
        </row>
        <row r="1404">
          <cell r="D1404">
            <v>12</v>
          </cell>
          <cell r="AB1404">
            <v>1484.2740000000003</v>
          </cell>
        </row>
        <row r="1405">
          <cell r="D1405">
            <v>12</v>
          </cell>
          <cell r="AB1405">
            <v>183.15</v>
          </cell>
        </row>
        <row r="1406">
          <cell r="D1406">
            <v>12</v>
          </cell>
          <cell r="AB1406">
            <v>140.25</v>
          </cell>
        </row>
        <row r="1407">
          <cell r="D1407">
            <v>12</v>
          </cell>
          <cell r="AB1407">
            <v>75.900000000000006</v>
          </cell>
        </row>
        <row r="1408">
          <cell r="D1408">
            <v>12</v>
          </cell>
          <cell r="AB1408">
            <v>1137.0920000000001</v>
          </cell>
        </row>
        <row r="1409">
          <cell r="D1409">
            <v>12</v>
          </cell>
          <cell r="AB1409">
            <v>56.099999999999994</v>
          </cell>
        </row>
        <row r="1410">
          <cell r="D1410">
            <v>12</v>
          </cell>
          <cell r="AB1410">
            <v>1711.3139999999999</v>
          </cell>
        </row>
        <row r="1411">
          <cell r="D1411">
            <v>12</v>
          </cell>
          <cell r="AB1411">
            <v>300.63</v>
          </cell>
        </row>
        <row r="1412">
          <cell r="D1412">
            <v>12</v>
          </cell>
          <cell r="AB1412">
            <v>557.05885714285728</v>
          </cell>
        </row>
        <row r="1413">
          <cell r="D1413">
            <v>12</v>
          </cell>
          <cell r="AB1413">
            <v>323.87142857142857</v>
          </cell>
        </row>
        <row r="1414">
          <cell r="D1414">
            <v>12</v>
          </cell>
          <cell r="AB1414">
            <v>532.125</v>
          </cell>
        </row>
        <row r="1415">
          <cell r="D1415">
            <v>12</v>
          </cell>
          <cell r="AB1415">
            <v>1451.6370000000002</v>
          </cell>
        </row>
        <row r="1416">
          <cell r="D1416">
            <v>12</v>
          </cell>
          <cell r="AB1416">
            <v>1033.0319999999997</v>
          </cell>
        </row>
        <row r="1417">
          <cell r="D1417">
            <v>12</v>
          </cell>
          <cell r="AB1417">
            <v>1494.6799999999998</v>
          </cell>
        </row>
        <row r="1418">
          <cell r="D1418">
            <v>12</v>
          </cell>
          <cell r="AB1418">
            <v>902.48400000000015</v>
          </cell>
        </row>
        <row r="1419">
          <cell r="D1419">
            <v>12</v>
          </cell>
          <cell r="AB1419">
            <v>425.7000000000001</v>
          </cell>
        </row>
        <row r="1420">
          <cell r="D1420">
            <v>12</v>
          </cell>
          <cell r="AB1420">
            <v>722.74400000000003</v>
          </cell>
        </row>
        <row r="1421">
          <cell r="D1421">
            <v>12</v>
          </cell>
          <cell r="AB1421">
            <v>1541.0340000000003</v>
          </cell>
        </row>
        <row r="1422">
          <cell r="D1422">
            <v>12</v>
          </cell>
          <cell r="AB1422">
            <v>1977.3600000000004</v>
          </cell>
        </row>
        <row r="1423">
          <cell r="D1423">
            <v>12</v>
          </cell>
          <cell r="AB1423">
            <v>0</v>
          </cell>
        </row>
        <row r="1424">
          <cell r="D1424">
            <v>12</v>
          </cell>
          <cell r="AB1424">
            <v>2140.6000000000004</v>
          </cell>
        </row>
        <row r="1425">
          <cell r="D1425">
            <v>12</v>
          </cell>
          <cell r="AB1425">
            <v>0</v>
          </cell>
        </row>
        <row r="1426">
          <cell r="D1426">
            <v>12</v>
          </cell>
          <cell r="AB1426">
            <v>1541.0340000000003</v>
          </cell>
        </row>
        <row r="1427">
          <cell r="D1427">
            <v>12</v>
          </cell>
          <cell r="AB1427">
            <v>97.199999999997118</v>
          </cell>
        </row>
        <row r="1428">
          <cell r="D1428">
            <v>12</v>
          </cell>
          <cell r="AB1428">
            <v>97.199999999997118</v>
          </cell>
        </row>
        <row r="1429">
          <cell r="D1429">
            <v>12</v>
          </cell>
          <cell r="AB1429">
            <v>97.199999999997118</v>
          </cell>
        </row>
        <row r="1430">
          <cell r="D1430">
            <v>12</v>
          </cell>
          <cell r="AB1430">
            <v>97.199999999997118</v>
          </cell>
        </row>
        <row r="1431">
          <cell r="D1431">
            <v>12</v>
          </cell>
          <cell r="AB1431">
            <v>97.199999999997118</v>
          </cell>
        </row>
        <row r="1432">
          <cell r="D1432">
            <v>12</v>
          </cell>
          <cell r="AB1432">
            <v>97.199999999997118</v>
          </cell>
        </row>
        <row r="1433">
          <cell r="D1433">
            <v>12</v>
          </cell>
          <cell r="AB1433">
            <v>97.199999999997118</v>
          </cell>
        </row>
        <row r="1434">
          <cell r="D1434">
            <v>12</v>
          </cell>
          <cell r="AB1434">
            <v>97.199999999997118</v>
          </cell>
        </row>
        <row r="1435">
          <cell r="D1435">
            <v>12</v>
          </cell>
          <cell r="AB1435">
            <v>97.199999999997118</v>
          </cell>
        </row>
        <row r="1436">
          <cell r="D1436">
            <v>12</v>
          </cell>
          <cell r="AB1436">
            <v>97.199999999997118</v>
          </cell>
        </row>
        <row r="1437">
          <cell r="D1437">
            <v>12</v>
          </cell>
          <cell r="AB1437">
            <v>97.199999999997118</v>
          </cell>
        </row>
        <row r="1438">
          <cell r="D1438">
            <v>12</v>
          </cell>
          <cell r="AB1438">
            <v>97.199999999997118</v>
          </cell>
        </row>
        <row r="1439">
          <cell r="D1439">
            <v>12</v>
          </cell>
          <cell r="AB1439">
            <v>97.199999999997118</v>
          </cell>
        </row>
        <row r="1440">
          <cell r="D1440">
            <v>12</v>
          </cell>
          <cell r="AB1440">
            <v>97.199999999997118</v>
          </cell>
        </row>
        <row r="1441">
          <cell r="D1441">
            <v>12</v>
          </cell>
          <cell r="AB1441">
            <v>97.199999999997118</v>
          </cell>
        </row>
        <row r="1442">
          <cell r="D1442">
            <v>12</v>
          </cell>
          <cell r="AB1442">
            <v>97.199999999997118</v>
          </cell>
        </row>
        <row r="1443">
          <cell r="D1443">
            <v>12</v>
          </cell>
          <cell r="AB1443">
            <v>97.199999999997118</v>
          </cell>
        </row>
        <row r="1444">
          <cell r="D1444">
            <v>12</v>
          </cell>
          <cell r="AB1444">
            <v>97.199999999997118</v>
          </cell>
        </row>
        <row r="1445">
          <cell r="D1445">
            <v>12</v>
          </cell>
          <cell r="AB1445">
            <v>97.199999999997118</v>
          </cell>
        </row>
        <row r="1446">
          <cell r="D1446">
            <v>12</v>
          </cell>
          <cell r="AB1446">
            <v>97.199999999997118</v>
          </cell>
        </row>
        <row r="1447">
          <cell r="D1447">
            <v>12</v>
          </cell>
          <cell r="AB1447">
            <v>97.199999999997118</v>
          </cell>
        </row>
        <row r="1448">
          <cell r="D1448">
            <v>12</v>
          </cell>
          <cell r="AB1448">
            <v>97.199999999997118</v>
          </cell>
        </row>
        <row r="1449">
          <cell r="D1449">
            <v>12</v>
          </cell>
          <cell r="AB1449">
            <v>97.199999999997118</v>
          </cell>
        </row>
        <row r="1450">
          <cell r="D1450">
            <v>12</v>
          </cell>
          <cell r="AB1450">
            <v>97.199999999997118</v>
          </cell>
        </row>
        <row r="1451">
          <cell r="D1451">
            <v>12</v>
          </cell>
          <cell r="AB1451">
            <v>97.199999999997118</v>
          </cell>
        </row>
        <row r="1452">
          <cell r="D1452">
            <v>12</v>
          </cell>
          <cell r="AB1452">
            <v>97.199999999997118</v>
          </cell>
        </row>
        <row r="1453">
          <cell r="D1453">
            <v>12</v>
          </cell>
          <cell r="AB1453">
            <v>97.199999999997118</v>
          </cell>
        </row>
        <row r="1454">
          <cell r="D1454">
            <v>12</v>
          </cell>
          <cell r="AB1454">
            <v>234</v>
          </cell>
          <cell r="AE1454">
            <v>1</v>
          </cell>
        </row>
        <row r="1455">
          <cell r="D1455">
            <v>12</v>
          </cell>
          <cell r="AB1455">
            <v>291.59999999999138</v>
          </cell>
          <cell r="AE1455">
            <v>1</v>
          </cell>
        </row>
        <row r="1456">
          <cell r="D1456">
            <v>12</v>
          </cell>
          <cell r="AB1456">
            <v>291.59999999999138</v>
          </cell>
        </row>
        <row r="1457">
          <cell r="D1457">
            <v>12</v>
          </cell>
          <cell r="AB1457">
            <v>291.59999999999138</v>
          </cell>
        </row>
        <row r="1458">
          <cell r="D1458">
            <v>12</v>
          </cell>
          <cell r="AB1458">
            <v>291.59999999999138</v>
          </cell>
        </row>
        <row r="1459">
          <cell r="D1459">
            <v>12</v>
          </cell>
          <cell r="AB1459">
            <v>630</v>
          </cell>
          <cell r="AE1459">
            <v>1</v>
          </cell>
        </row>
        <row r="1460">
          <cell r="D1460">
            <v>12</v>
          </cell>
          <cell r="AB1460">
            <v>363</v>
          </cell>
          <cell r="AE1460">
            <v>1</v>
          </cell>
        </row>
        <row r="1461">
          <cell r="D1461">
            <v>12</v>
          </cell>
          <cell r="AB1461">
            <v>2399.9999999999982</v>
          </cell>
          <cell r="AE1461" t="str">
            <v>İ</v>
          </cell>
        </row>
        <row r="1462">
          <cell r="D1462">
            <v>12</v>
          </cell>
          <cell r="AB1462">
            <v>1425.0000000000032</v>
          </cell>
          <cell r="AE1462">
            <v>1</v>
          </cell>
        </row>
        <row r="1463">
          <cell r="D1463">
            <v>12</v>
          </cell>
          <cell r="AB1463">
            <v>291.59999999999138</v>
          </cell>
        </row>
        <row r="1464">
          <cell r="D1464">
            <v>12</v>
          </cell>
          <cell r="AB1464">
            <v>291.59999999999138</v>
          </cell>
        </row>
        <row r="1465">
          <cell r="D1465">
            <v>12</v>
          </cell>
          <cell r="AB1465">
            <v>291.59999999999138</v>
          </cell>
        </row>
        <row r="1466">
          <cell r="D1466">
            <v>12</v>
          </cell>
          <cell r="AB1466">
            <v>291.59999999999138</v>
          </cell>
        </row>
        <row r="1467">
          <cell r="D1467">
            <v>12</v>
          </cell>
          <cell r="AB1467">
            <v>291.59999999999138</v>
          </cell>
        </row>
        <row r="1468">
          <cell r="D1468">
            <v>12</v>
          </cell>
          <cell r="AB1468">
            <v>291.59999999999138</v>
          </cell>
        </row>
        <row r="1469">
          <cell r="D1469">
            <v>12</v>
          </cell>
          <cell r="AB1469">
            <v>291.59999999999138</v>
          </cell>
        </row>
        <row r="1470">
          <cell r="D1470">
            <v>12</v>
          </cell>
          <cell r="AB1470">
            <v>291.59999999999138</v>
          </cell>
        </row>
        <row r="1471">
          <cell r="D1471">
            <v>12</v>
          </cell>
          <cell r="AB1471">
            <v>291.59999999999138</v>
          </cell>
        </row>
        <row r="1472">
          <cell r="D1472">
            <v>12</v>
          </cell>
          <cell r="AB1472">
            <v>291.59999999999138</v>
          </cell>
        </row>
        <row r="1473">
          <cell r="D1473">
            <v>12</v>
          </cell>
          <cell r="AB1473">
            <v>291.59999999999138</v>
          </cell>
        </row>
        <row r="1474">
          <cell r="D1474">
            <v>12</v>
          </cell>
          <cell r="AB1474">
            <v>291.59999999999138</v>
          </cell>
        </row>
        <row r="1475">
          <cell r="D1475">
            <v>12</v>
          </cell>
          <cell r="AB1475">
            <v>180.00000000000722</v>
          </cell>
        </row>
        <row r="1476">
          <cell r="D1476">
            <v>12</v>
          </cell>
          <cell r="AB1476">
            <v>180.00000000000722</v>
          </cell>
        </row>
        <row r="1477">
          <cell r="D1477">
            <v>12</v>
          </cell>
          <cell r="AB1477">
            <v>180.00000000000722</v>
          </cell>
        </row>
        <row r="1478">
          <cell r="D1478">
            <v>12</v>
          </cell>
          <cell r="AB1478">
            <v>180.00000000000722</v>
          </cell>
        </row>
        <row r="1479">
          <cell r="D1479">
            <v>12</v>
          </cell>
          <cell r="AB1479">
            <v>180.00000000000722</v>
          </cell>
        </row>
        <row r="1480">
          <cell r="D1480">
            <v>12</v>
          </cell>
          <cell r="AB1480">
            <v>180.00000000000722</v>
          </cell>
        </row>
        <row r="1481">
          <cell r="D1481">
            <v>12</v>
          </cell>
          <cell r="AB1481">
            <v>180.00000000000722</v>
          </cell>
        </row>
        <row r="1482">
          <cell r="D1482">
            <v>12</v>
          </cell>
          <cell r="AB1482">
            <v>180.00000000000722</v>
          </cell>
        </row>
        <row r="1483">
          <cell r="D1483">
            <v>12</v>
          </cell>
          <cell r="AB1483">
            <v>180.00000000000722</v>
          </cell>
        </row>
        <row r="1484">
          <cell r="D1484">
            <v>12</v>
          </cell>
          <cell r="AB1484">
            <v>180.00000000000722</v>
          </cell>
        </row>
        <row r="1485">
          <cell r="D1485">
            <v>12</v>
          </cell>
          <cell r="AB1485">
            <v>180.00000000000722</v>
          </cell>
        </row>
        <row r="1486">
          <cell r="D1486">
            <v>12</v>
          </cell>
          <cell r="AB1486">
            <v>180.00000000000722</v>
          </cell>
        </row>
        <row r="1487">
          <cell r="D1487">
            <v>12</v>
          </cell>
          <cell r="AB1487">
            <v>180.00000000000722</v>
          </cell>
        </row>
        <row r="1488">
          <cell r="D1488">
            <v>12</v>
          </cell>
          <cell r="AB1488">
            <v>180.00000000000722</v>
          </cell>
        </row>
        <row r="1489">
          <cell r="D1489">
            <v>12</v>
          </cell>
          <cell r="AB1489">
            <v>180.00000000000722</v>
          </cell>
        </row>
        <row r="1490">
          <cell r="D1490">
            <v>12</v>
          </cell>
          <cell r="AB1490">
            <v>180.00000000000722</v>
          </cell>
        </row>
        <row r="1491">
          <cell r="D1491">
            <v>12</v>
          </cell>
          <cell r="AB1491">
            <v>180.00000000000722</v>
          </cell>
        </row>
        <row r="1492">
          <cell r="D1492">
            <v>12</v>
          </cell>
          <cell r="AB1492">
            <v>180.00000000000722</v>
          </cell>
        </row>
        <row r="1493">
          <cell r="D1493">
            <v>12</v>
          </cell>
          <cell r="AB1493">
            <v>180.00000000000722</v>
          </cell>
        </row>
        <row r="1494">
          <cell r="D1494">
            <v>12</v>
          </cell>
          <cell r="AB1494">
            <v>180.00000000000722</v>
          </cell>
        </row>
        <row r="1495">
          <cell r="D1495">
            <v>12</v>
          </cell>
          <cell r="AB1495">
            <v>180.00000000000722</v>
          </cell>
        </row>
        <row r="1496">
          <cell r="D1496">
            <v>12</v>
          </cell>
          <cell r="AB1496">
            <v>180.00000000000722</v>
          </cell>
        </row>
        <row r="1497">
          <cell r="D1497">
            <v>12</v>
          </cell>
          <cell r="AB1497">
            <v>180.00000000000722</v>
          </cell>
        </row>
        <row r="1498">
          <cell r="D1498">
            <v>12</v>
          </cell>
          <cell r="AB1498">
            <v>180.00000000000722</v>
          </cell>
        </row>
        <row r="1499">
          <cell r="D1499">
            <v>12</v>
          </cell>
          <cell r="AB1499">
            <v>180.00000000000722</v>
          </cell>
        </row>
        <row r="1500">
          <cell r="D1500">
            <v>12</v>
          </cell>
          <cell r="AB1500">
            <v>2158.1999999999998</v>
          </cell>
          <cell r="AE1500">
            <v>1</v>
          </cell>
        </row>
        <row r="1501">
          <cell r="D1501">
            <v>12</v>
          </cell>
          <cell r="AB1501">
            <v>291.59999999999138</v>
          </cell>
        </row>
        <row r="1502">
          <cell r="D1502">
            <v>12</v>
          </cell>
          <cell r="AB1502">
            <v>291.59999999999138</v>
          </cell>
        </row>
        <row r="1503">
          <cell r="D1503">
            <v>12</v>
          </cell>
          <cell r="AB1503">
            <v>291.59999999999138</v>
          </cell>
        </row>
        <row r="1504">
          <cell r="D1504">
            <v>12</v>
          </cell>
          <cell r="AB1504">
            <v>54.00000000000216</v>
          </cell>
        </row>
        <row r="1505">
          <cell r="D1505">
            <v>12</v>
          </cell>
          <cell r="AB1505">
            <v>54.00000000000216</v>
          </cell>
        </row>
        <row r="1506">
          <cell r="D1506">
            <v>12</v>
          </cell>
          <cell r="AB1506">
            <v>54.00000000000216</v>
          </cell>
        </row>
        <row r="1507">
          <cell r="D1507">
            <v>12</v>
          </cell>
          <cell r="AB1507">
            <v>54.00000000000216</v>
          </cell>
        </row>
        <row r="1508">
          <cell r="D1508">
            <v>12</v>
          </cell>
          <cell r="AB1508">
            <v>97.199999999997118</v>
          </cell>
        </row>
        <row r="1509">
          <cell r="D1509">
            <v>12</v>
          </cell>
          <cell r="AB1509">
            <v>97.199999999997118</v>
          </cell>
        </row>
        <row r="1510">
          <cell r="D1510">
            <v>12</v>
          </cell>
          <cell r="AB1510">
            <v>97.199999999997118</v>
          </cell>
        </row>
        <row r="1511">
          <cell r="D1511">
            <v>12</v>
          </cell>
          <cell r="AB1511">
            <v>97.199999999997118</v>
          </cell>
        </row>
        <row r="1512">
          <cell r="D1512">
            <v>12</v>
          </cell>
          <cell r="AB1512">
            <v>97.199999999997118</v>
          </cell>
        </row>
        <row r="1513">
          <cell r="D1513">
            <v>12</v>
          </cell>
          <cell r="AB1513">
            <v>97.199999999997118</v>
          </cell>
        </row>
        <row r="1514">
          <cell r="D1514">
            <v>12</v>
          </cell>
          <cell r="AB1514">
            <v>97.199999999997118</v>
          </cell>
        </row>
        <row r="1515">
          <cell r="D1515">
            <v>12</v>
          </cell>
          <cell r="AB1515">
            <v>97.199999999997118</v>
          </cell>
        </row>
        <row r="1516">
          <cell r="D1516">
            <v>12</v>
          </cell>
          <cell r="AB1516">
            <v>97.199999999997118</v>
          </cell>
        </row>
        <row r="1517">
          <cell r="D1517">
            <v>12</v>
          </cell>
          <cell r="AB1517">
            <v>97.199999999997118</v>
          </cell>
        </row>
        <row r="1518">
          <cell r="D1518">
            <v>12</v>
          </cell>
          <cell r="AB1518">
            <v>97.199999999997118</v>
          </cell>
        </row>
        <row r="1519">
          <cell r="D1519">
            <v>12</v>
          </cell>
          <cell r="AB1519">
            <v>97.199999999997118</v>
          </cell>
        </row>
        <row r="1520">
          <cell r="D1520">
            <v>12</v>
          </cell>
          <cell r="AB1520">
            <v>291.59999999999138</v>
          </cell>
        </row>
        <row r="1521">
          <cell r="D1521">
            <v>12</v>
          </cell>
          <cell r="AB1521">
            <v>990.72</v>
          </cell>
          <cell r="AE1521">
            <v>1</v>
          </cell>
        </row>
        <row r="1522">
          <cell r="D1522">
            <v>12</v>
          </cell>
          <cell r="AB1522">
            <v>291.59999999999138</v>
          </cell>
        </row>
        <row r="1523">
          <cell r="D1523">
            <v>12</v>
          </cell>
          <cell r="AB1523">
            <v>291.59999999999138</v>
          </cell>
        </row>
        <row r="1524">
          <cell r="D1524">
            <v>12</v>
          </cell>
          <cell r="AB1524">
            <v>291.59999999999138</v>
          </cell>
        </row>
        <row r="1525">
          <cell r="D1525">
            <v>12</v>
          </cell>
          <cell r="AB1525">
            <v>97.199999999997118</v>
          </cell>
        </row>
        <row r="1526">
          <cell r="D1526">
            <v>12</v>
          </cell>
          <cell r="AB1526">
            <v>97.199999999997118</v>
          </cell>
        </row>
        <row r="1527">
          <cell r="D1527">
            <v>12</v>
          </cell>
          <cell r="AB1527">
            <v>97.199999999997118</v>
          </cell>
        </row>
        <row r="1528">
          <cell r="D1528">
            <v>12</v>
          </cell>
          <cell r="AB1528">
            <v>97.199999999997118</v>
          </cell>
        </row>
        <row r="1529">
          <cell r="D1529">
            <v>12</v>
          </cell>
          <cell r="AB1529">
            <v>291.59999999999138</v>
          </cell>
        </row>
        <row r="1530">
          <cell r="D1530">
            <v>12</v>
          </cell>
          <cell r="AB1530">
            <v>291.59999999999138</v>
          </cell>
        </row>
        <row r="1531">
          <cell r="D1531">
            <v>12</v>
          </cell>
          <cell r="AB1531">
            <v>570</v>
          </cell>
          <cell r="AE1531">
            <v>1</v>
          </cell>
        </row>
        <row r="1532">
          <cell r="D1532">
            <v>12</v>
          </cell>
          <cell r="AB1532">
            <v>291.59999999999138</v>
          </cell>
        </row>
        <row r="1533">
          <cell r="D1533">
            <v>12</v>
          </cell>
          <cell r="AB1533">
            <v>291.59999999999138</v>
          </cell>
        </row>
        <row r="1534">
          <cell r="D1534">
            <v>12</v>
          </cell>
          <cell r="AB1534">
            <v>291.59999999999138</v>
          </cell>
        </row>
        <row r="1535">
          <cell r="D1535">
            <v>12</v>
          </cell>
          <cell r="AB1535">
            <v>344.99999999999994</v>
          </cell>
          <cell r="AE1535" t="str">
            <v>İ</v>
          </cell>
        </row>
        <row r="1536">
          <cell r="D1536">
            <v>12</v>
          </cell>
          <cell r="AB1536">
            <v>291.59999999999138</v>
          </cell>
        </row>
        <row r="1537">
          <cell r="D1537">
            <v>12</v>
          </cell>
          <cell r="AB1537">
            <v>180.00000000000722</v>
          </cell>
        </row>
        <row r="1538">
          <cell r="D1538">
            <v>12</v>
          </cell>
          <cell r="AB1538">
            <v>180.00000000000722</v>
          </cell>
        </row>
        <row r="1539">
          <cell r="D1539">
            <v>12</v>
          </cell>
          <cell r="AB1539">
            <v>180.00000000000722</v>
          </cell>
        </row>
        <row r="1540">
          <cell r="D1540">
            <v>12</v>
          </cell>
          <cell r="AB1540">
            <v>180.00000000000722</v>
          </cell>
        </row>
        <row r="1541">
          <cell r="D1541">
            <v>12</v>
          </cell>
          <cell r="AB1541">
            <v>180.00000000000722</v>
          </cell>
        </row>
        <row r="1542">
          <cell r="D1542">
            <v>12</v>
          </cell>
          <cell r="AB1542">
            <v>97.199999999997118</v>
          </cell>
        </row>
        <row r="1543">
          <cell r="D1543">
            <v>12</v>
          </cell>
          <cell r="AB1543">
            <v>97.199999999997118</v>
          </cell>
        </row>
        <row r="1544">
          <cell r="D1544">
            <v>12</v>
          </cell>
          <cell r="AB1544">
            <v>97.199999999997118</v>
          </cell>
        </row>
        <row r="1545">
          <cell r="D1545">
            <v>12</v>
          </cell>
          <cell r="AB1545">
            <v>97.199999999997118</v>
          </cell>
        </row>
        <row r="1546">
          <cell r="D1546">
            <v>12</v>
          </cell>
          <cell r="AB1546">
            <v>97.199999999997118</v>
          </cell>
        </row>
        <row r="1547">
          <cell r="D1547">
            <v>12</v>
          </cell>
          <cell r="AB1547">
            <v>97.199999999997118</v>
          </cell>
        </row>
        <row r="1548">
          <cell r="D1548">
            <v>12</v>
          </cell>
          <cell r="AB1548">
            <v>97.199999999997118</v>
          </cell>
        </row>
        <row r="1549">
          <cell r="D1549">
            <v>12</v>
          </cell>
          <cell r="AB1549">
            <v>97.199999999997118</v>
          </cell>
        </row>
        <row r="1550">
          <cell r="D1550">
            <v>12</v>
          </cell>
          <cell r="AB1550">
            <v>97.199999999997118</v>
          </cell>
        </row>
        <row r="1551">
          <cell r="D1551">
            <v>12</v>
          </cell>
          <cell r="AB1551">
            <v>97.199999999997118</v>
          </cell>
        </row>
        <row r="1552">
          <cell r="D1552">
            <v>12</v>
          </cell>
          <cell r="AB1552">
            <v>97.199999999997118</v>
          </cell>
        </row>
        <row r="1553">
          <cell r="D1553">
            <v>12</v>
          </cell>
          <cell r="AB1553">
            <v>97.199999999997118</v>
          </cell>
        </row>
        <row r="1554">
          <cell r="D1554">
            <v>12</v>
          </cell>
          <cell r="AB1554">
            <v>97.199999999997118</v>
          </cell>
        </row>
        <row r="1555">
          <cell r="D1555">
            <v>12</v>
          </cell>
          <cell r="AB1555">
            <v>583.07999999999993</v>
          </cell>
          <cell r="AE1555">
            <v>1</v>
          </cell>
        </row>
        <row r="1556">
          <cell r="D1556">
            <v>12</v>
          </cell>
          <cell r="AB1556">
            <v>450.00000000001796</v>
          </cell>
          <cell r="AE1556" t="str">
            <v>İ</v>
          </cell>
        </row>
        <row r="1557">
          <cell r="D1557">
            <v>12</v>
          </cell>
          <cell r="AB1557">
            <v>291.59999999999138</v>
          </cell>
        </row>
        <row r="1558">
          <cell r="D1558">
            <v>12</v>
          </cell>
          <cell r="AB1558">
            <v>291.59999999999138</v>
          </cell>
        </row>
        <row r="1559">
          <cell r="D1559">
            <v>12</v>
          </cell>
          <cell r="AB1559">
            <v>2399.9999999999982</v>
          </cell>
          <cell r="AE1559">
            <v>1</v>
          </cell>
        </row>
        <row r="1560">
          <cell r="D1560">
            <v>12</v>
          </cell>
          <cell r="AB1560">
            <v>291.59999999999138</v>
          </cell>
        </row>
        <row r="1561">
          <cell r="D1561">
            <v>12</v>
          </cell>
          <cell r="AB1561">
            <v>291.59999999999138</v>
          </cell>
        </row>
        <row r="1562">
          <cell r="D1562">
            <v>12</v>
          </cell>
          <cell r="AB1562">
            <v>291.59999999999138</v>
          </cell>
        </row>
        <row r="1563">
          <cell r="D1563">
            <v>12</v>
          </cell>
          <cell r="AB1563">
            <v>291.59999999999138</v>
          </cell>
        </row>
        <row r="1564">
          <cell r="D1564">
            <v>12</v>
          </cell>
          <cell r="AB1564">
            <v>291.59999999999138</v>
          </cell>
        </row>
        <row r="1565">
          <cell r="D1565">
            <v>12</v>
          </cell>
          <cell r="AB1565">
            <v>291.59999999999138</v>
          </cell>
        </row>
        <row r="1566">
          <cell r="D1566">
            <v>12</v>
          </cell>
          <cell r="AB1566">
            <v>291.59999999999138</v>
          </cell>
        </row>
        <row r="1567">
          <cell r="D1567">
            <v>12</v>
          </cell>
          <cell r="AB1567">
            <v>291.59999999999138</v>
          </cell>
        </row>
        <row r="1568">
          <cell r="D1568">
            <v>12</v>
          </cell>
          <cell r="AB1568">
            <v>291.59999999999138</v>
          </cell>
        </row>
        <row r="1569">
          <cell r="D1569">
            <v>12</v>
          </cell>
          <cell r="AB1569">
            <v>291.59999999999138</v>
          </cell>
        </row>
        <row r="1570">
          <cell r="D1570">
            <v>12</v>
          </cell>
          <cell r="AB1570">
            <v>291.59999999999138</v>
          </cell>
        </row>
        <row r="1571">
          <cell r="D1571">
            <v>12</v>
          </cell>
          <cell r="AB1571">
            <v>291.59999999999138</v>
          </cell>
        </row>
        <row r="1572">
          <cell r="D1572">
            <v>12</v>
          </cell>
          <cell r="AB1572">
            <v>291.59999999999138</v>
          </cell>
        </row>
        <row r="1573">
          <cell r="D1573">
            <v>12</v>
          </cell>
          <cell r="AB1573">
            <v>291.59999999999138</v>
          </cell>
        </row>
        <row r="1574">
          <cell r="D1574">
            <v>12</v>
          </cell>
          <cell r="AB1574">
            <v>291.59999999999138</v>
          </cell>
        </row>
        <row r="1575">
          <cell r="D1575">
            <v>12</v>
          </cell>
          <cell r="AB1575">
            <v>291.59999999999138</v>
          </cell>
        </row>
        <row r="1576">
          <cell r="D1576">
            <v>12</v>
          </cell>
          <cell r="AB1576">
            <v>291.59999999999138</v>
          </cell>
        </row>
        <row r="1577">
          <cell r="D1577">
            <v>12</v>
          </cell>
          <cell r="AB1577">
            <v>291.59999999999138</v>
          </cell>
        </row>
        <row r="1578">
          <cell r="D1578">
            <v>12</v>
          </cell>
          <cell r="AB1578">
            <v>291.59999999999138</v>
          </cell>
        </row>
        <row r="1579">
          <cell r="D1579">
            <v>12</v>
          </cell>
          <cell r="AB1579">
            <v>720</v>
          </cell>
          <cell r="AE1579">
            <v>1</v>
          </cell>
        </row>
        <row r="1580">
          <cell r="D1580">
            <v>12</v>
          </cell>
          <cell r="AB1580">
            <v>291.59999999999138</v>
          </cell>
        </row>
        <row r="1581">
          <cell r="D1581">
            <v>12</v>
          </cell>
          <cell r="AB1581">
            <v>291.59999999999138</v>
          </cell>
        </row>
        <row r="1582">
          <cell r="D1582">
            <v>12</v>
          </cell>
          <cell r="AB1582">
            <v>291.59999999999138</v>
          </cell>
        </row>
        <row r="1583">
          <cell r="D1583">
            <v>12</v>
          </cell>
          <cell r="AB1583">
            <v>291.59999999999138</v>
          </cell>
        </row>
        <row r="1584">
          <cell r="D1584">
            <v>12</v>
          </cell>
          <cell r="AB1584">
            <v>291.59999999999138</v>
          </cell>
        </row>
        <row r="1585">
          <cell r="D1585">
            <v>12</v>
          </cell>
          <cell r="AB1585">
            <v>219</v>
          </cell>
          <cell r="AE1585">
            <v>1</v>
          </cell>
        </row>
        <row r="1586">
          <cell r="D1586">
            <v>12</v>
          </cell>
          <cell r="AB1586">
            <v>291.59999999999138</v>
          </cell>
        </row>
        <row r="1587">
          <cell r="D1587">
            <v>12</v>
          </cell>
          <cell r="AB1587">
            <v>291.59999999999138</v>
          </cell>
        </row>
        <row r="1588">
          <cell r="D1588">
            <v>12</v>
          </cell>
          <cell r="AB1588">
            <v>97.199999999997118</v>
          </cell>
        </row>
        <row r="1589">
          <cell r="D1589">
            <v>12</v>
          </cell>
          <cell r="AB1589">
            <v>97.199999999997118</v>
          </cell>
        </row>
        <row r="1590">
          <cell r="D1590">
            <v>12</v>
          </cell>
          <cell r="AB1590">
            <v>97.199999999997118</v>
          </cell>
        </row>
        <row r="1591">
          <cell r="D1591">
            <v>12</v>
          </cell>
          <cell r="AB1591">
            <v>97.199999999997118</v>
          </cell>
        </row>
        <row r="1592">
          <cell r="D1592">
            <v>12</v>
          </cell>
          <cell r="AB1592">
            <v>291.59999999999138</v>
          </cell>
        </row>
        <row r="1593">
          <cell r="D1593">
            <v>12</v>
          </cell>
          <cell r="AB1593">
            <v>291.59999999999138</v>
          </cell>
        </row>
        <row r="1594">
          <cell r="D1594">
            <v>12</v>
          </cell>
          <cell r="AB1594">
            <v>291.59999999999138</v>
          </cell>
        </row>
        <row r="1595">
          <cell r="D1595">
            <v>12</v>
          </cell>
          <cell r="AB1595">
            <v>291.59999999999138</v>
          </cell>
        </row>
        <row r="1596">
          <cell r="D1596">
            <v>12</v>
          </cell>
          <cell r="AB1596">
            <v>861.12000000000012</v>
          </cell>
          <cell r="AE1596">
            <v>1</v>
          </cell>
        </row>
        <row r="1597">
          <cell r="D1597">
            <v>12</v>
          </cell>
          <cell r="AB1597">
            <v>450.00000000001796</v>
          </cell>
        </row>
        <row r="1598">
          <cell r="D1598">
            <v>12</v>
          </cell>
          <cell r="AB1598">
            <v>180.00000000000722</v>
          </cell>
          <cell r="AE1598">
            <v>1</v>
          </cell>
        </row>
        <row r="1599">
          <cell r="D1599">
            <v>12</v>
          </cell>
          <cell r="AB1599">
            <v>97.199999999997118</v>
          </cell>
        </row>
        <row r="1600">
          <cell r="D1600">
            <v>12</v>
          </cell>
          <cell r="AB1600">
            <v>97.199999999997118</v>
          </cell>
        </row>
        <row r="1601">
          <cell r="D1601">
            <v>12</v>
          </cell>
          <cell r="AB1601">
            <v>97.199999999997118</v>
          </cell>
        </row>
        <row r="1602">
          <cell r="D1602">
            <v>12</v>
          </cell>
          <cell r="AB1602">
            <v>97.199999999997118</v>
          </cell>
        </row>
        <row r="1603">
          <cell r="D1603">
            <v>12</v>
          </cell>
          <cell r="AB1603">
            <v>97.199999999997118</v>
          </cell>
        </row>
        <row r="1604">
          <cell r="D1604">
            <v>12</v>
          </cell>
          <cell r="AB1604">
            <v>97.199999999997118</v>
          </cell>
        </row>
        <row r="1605">
          <cell r="D1605">
            <v>12</v>
          </cell>
          <cell r="AB1605">
            <v>97.199999999997118</v>
          </cell>
        </row>
        <row r="1606">
          <cell r="D1606">
            <v>12</v>
          </cell>
          <cell r="AB1606">
            <v>97.199999999997118</v>
          </cell>
        </row>
        <row r="1607">
          <cell r="D1607">
            <v>12</v>
          </cell>
          <cell r="AB1607">
            <v>97.199999999997118</v>
          </cell>
        </row>
        <row r="1608">
          <cell r="D1608">
            <v>12</v>
          </cell>
          <cell r="AB1608">
            <v>97.199999999997118</v>
          </cell>
        </row>
        <row r="1609">
          <cell r="D1609">
            <v>12</v>
          </cell>
          <cell r="AB1609">
            <v>291.59999999999138</v>
          </cell>
        </row>
        <row r="1610">
          <cell r="D1610">
            <v>12</v>
          </cell>
          <cell r="AB1610">
            <v>291.59999999999138</v>
          </cell>
        </row>
        <row r="1611">
          <cell r="D1611">
            <v>12</v>
          </cell>
          <cell r="AB1611">
            <v>291.59999999999138</v>
          </cell>
        </row>
        <row r="1612">
          <cell r="D1612">
            <v>12</v>
          </cell>
          <cell r="AB1612">
            <v>291.59999999999138</v>
          </cell>
        </row>
        <row r="1613">
          <cell r="D1613">
            <v>12</v>
          </cell>
          <cell r="AB1613">
            <v>97.199999999997118</v>
          </cell>
        </row>
        <row r="1614">
          <cell r="D1614">
            <v>12</v>
          </cell>
          <cell r="AB1614">
            <v>97.199999999997118</v>
          </cell>
        </row>
        <row r="1615">
          <cell r="D1615">
            <v>12</v>
          </cell>
          <cell r="AB1615">
            <v>97.199999999997118</v>
          </cell>
        </row>
        <row r="1616">
          <cell r="D1616">
            <v>12</v>
          </cell>
          <cell r="AB1616">
            <v>97.199999999997118</v>
          </cell>
        </row>
        <row r="1617">
          <cell r="D1617">
            <v>12</v>
          </cell>
          <cell r="AB1617">
            <v>97.199999999997118</v>
          </cell>
        </row>
        <row r="1618">
          <cell r="D1618">
            <v>12</v>
          </cell>
          <cell r="AB1618">
            <v>97.199999999997118</v>
          </cell>
        </row>
        <row r="1619">
          <cell r="D1619">
            <v>12</v>
          </cell>
          <cell r="AB1619">
            <v>97.199999999997118</v>
          </cell>
        </row>
        <row r="1620">
          <cell r="D1620">
            <v>12</v>
          </cell>
          <cell r="AB1620">
            <v>97.199999999997118</v>
          </cell>
        </row>
        <row r="1621">
          <cell r="D1621">
            <v>12</v>
          </cell>
          <cell r="AB1621">
            <v>291.59999999999138</v>
          </cell>
        </row>
        <row r="1622">
          <cell r="D1622">
            <v>12</v>
          </cell>
          <cell r="AB1622">
            <v>291.59999999999138</v>
          </cell>
        </row>
        <row r="1623">
          <cell r="D1623">
            <v>12</v>
          </cell>
          <cell r="AB1623">
            <v>291.59999999999138</v>
          </cell>
        </row>
        <row r="1624">
          <cell r="D1624">
            <v>12</v>
          </cell>
          <cell r="AB1624">
            <v>291.59999999999138</v>
          </cell>
        </row>
        <row r="1625">
          <cell r="D1625">
            <v>12</v>
          </cell>
          <cell r="AB1625">
            <v>54.00000000000216</v>
          </cell>
        </row>
        <row r="1626">
          <cell r="D1626">
            <v>12</v>
          </cell>
          <cell r="AB1626">
            <v>54.00000000000216</v>
          </cell>
        </row>
        <row r="1627">
          <cell r="D1627">
            <v>12</v>
          </cell>
          <cell r="AB1627">
            <v>54.00000000000216</v>
          </cell>
        </row>
        <row r="1628">
          <cell r="D1628">
            <v>12</v>
          </cell>
          <cell r="AB1628">
            <v>54.00000000000216</v>
          </cell>
        </row>
        <row r="1629">
          <cell r="D1629">
            <v>12</v>
          </cell>
          <cell r="AB1629">
            <v>291.59999999999138</v>
          </cell>
        </row>
        <row r="1630">
          <cell r="D1630">
            <v>12</v>
          </cell>
          <cell r="AB1630">
            <v>291.59999999999138</v>
          </cell>
        </row>
        <row r="1631">
          <cell r="D1631">
            <v>12</v>
          </cell>
          <cell r="AB1631">
            <v>291.59999999999138</v>
          </cell>
        </row>
        <row r="1632">
          <cell r="D1632">
            <v>12</v>
          </cell>
          <cell r="AB1632">
            <v>291.59999999999138</v>
          </cell>
        </row>
        <row r="1633">
          <cell r="D1633">
            <v>12</v>
          </cell>
          <cell r="AB1633">
            <v>54.00000000000216</v>
          </cell>
        </row>
        <row r="1634">
          <cell r="D1634">
            <v>12</v>
          </cell>
          <cell r="AB1634">
            <v>54.00000000000216</v>
          </cell>
        </row>
        <row r="1635">
          <cell r="D1635">
            <v>12</v>
          </cell>
          <cell r="AB1635">
            <v>54.00000000000216</v>
          </cell>
        </row>
        <row r="1636">
          <cell r="D1636">
            <v>12</v>
          </cell>
          <cell r="AB1636">
            <v>54.00000000000216</v>
          </cell>
        </row>
        <row r="1637">
          <cell r="D1637">
            <v>12</v>
          </cell>
          <cell r="AB1637">
            <v>54.00000000000216</v>
          </cell>
        </row>
        <row r="1638">
          <cell r="D1638">
            <v>12</v>
          </cell>
          <cell r="AB1638">
            <v>485.99999999998556</v>
          </cell>
        </row>
        <row r="1639">
          <cell r="D1639">
            <v>12</v>
          </cell>
          <cell r="AB1639">
            <v>180.00000000000722</v>
          </cell>
          <cell r="AE1639">
            <v>1</v>
          </cell>
        </row>
        <row r="1640">
          <cell r="D1640">
            <v>12</v>
          </cell>
          <cell r="AB1640">
            <v>485.99999999998556</v>
          </cell>
        </row>
        <row r="1641">
          <cell r="D1641">
            <v>12</v>
          </cell>
          <cell r="AB1641">
            <v>485.99999999998556</v>
          </cell>
        </row>
        <row r="1642">
          <cell r="D1642">
            <v>12</v>
          </cell>
          <cell r="AB1642">
            <v>291.59999999999138</v>
          </cell>
        </row>
        <row r="1643">
          <cell r="D1643">
            <v>12</v>
          </cell>
          <cell r="AB1643">
            <v>291.59999999999138</v>
          </cell>
        </row>
        <row r="1644">
          <cell r="D1644">
            <v>12</v>
          </cell>
          <cell r="AB1644">
            <v>291.59999999999138</v>
          </cell>
        </row>
        <row r="1645">
          <cell r="D1645">
            <v>12</v>
          </cell>
          <cell r="AB1645">
            <v>291.59999999999138</v>
          </cell>
        </row>
        <row r="1646">
          <cell r="D1646">
            <v>12</v>
          </cell>
          <cell r="AB1646">
            <v>291.59999999999138</v>
          </cell>
        </row>
        <row r="1647">
          <cell r="D1647">
            <v>12</v>
          </cell>
          <cell r="AB1647">
            <v>54.00000000000216</v>
          </cell>
        </row>
        <row r="1648">
          <cell r="D1648">
            <v>12</v>
          </cell>
          <cell r="AB1648">
            <v>54.00000000000216</v>
          </cell>
        </row>
        <row r="1649">
          <cell r="D1649">
            <v>12</v>
          </cell>
          <cell r="AB1649">
            <v>54.00000000000216</v>
          </cell>
        </row>
        <row r="1650">
          <cell r="D1650">
            <v>12</v>
          </cell>
          <cell r="AB1650">
            <v>54.00000000000216</v>
          </cell>
        </row>
        <row r="1651">
          <cell r="D1651">
            <v>12</v>
          </cell>
          <cell r="AB1651">
            <v>291.59999999999138</v>
          </cell>
        </row>
        <row r="1652">
          <cell r="D1652">
            <v>12</v>
          </cell>
          <cell r="AB1652">
            <v>291.59999999999138</v>
          </cell>
        </row>
        <row r="1653">
          <cell r="D1653">
            <v>12</v>
          </cell>
          <cell r="AB1653">
            <v>291.59999999999138</v>
          </cell>
        </row>
        <row r="1654">
          <cell r="D1654">
            <v>12</v>
          </cell>
          <cell r="AB1654">
            <v>291.59999999999138</v>
          </cell>
        </row>
        <row r="1655">
          <cell r="D1655">
            <v>12</v>
          </cell>
          <cell r="AB1655">
            <v>97.199999999997118</v>
          </cell>
        </row>
        <row r="1656">
          <cell r="D1656">
            <v>12</v>
          </cell>
          <cell r="AB1656">
            <v>97.199999999997118</v>
          </cell>
        </row>
        <row r="1657">
          <cell r="D1657">
            <v>12</v>
          </cell>
          <cell r="AB1657">
            <v>97.199999999997118</v>
          </cell>
        </row>
        <row r="1658">
          <cell r="D1658">
            <v>12</v>
          </cell>
          <cell r="AB1658">
            <v>97.199999999997118</v>
          </cell>
        </row>
        <row r="1659">
          <cell r="D1659">
            <v>12</v>
          </cell>
          <cell r="AB1659">
            <v>97.199999999997118</v>
          </cell>
        </row>
        <row r="1660">
          <cell r="D1660">
            <v>12</v>
          </cell>
          <cell r="AB1660">
            <v>97.199999999997118</v>
          </cell>
        </row>
        <row r="1661">
          <cell r="D1661">
            <v>12</v>
          </cell>
          <cell r="AB1661">
            <v>97.199999999997118</v>
          </cell>
        </row>
        <row r="1662">
          <cell r="D1662">
            <v>12</v>
          </cell>
          <cell r="AB1662">
            <v>97.199999999997118</v>
          </cell>
        </row>
        <row r="1663">
          <cell r="D1663">
            <v>12</v>
          </cell>
          <cell r="AB1663">
            <v>97.199999999997118</v>
          </cell>
        </row>
        <row r="1664">
          <cell r="D1664">
            <v>12</v>
          </cell>
          <cell r="AB1664">
            <v>97.199999999997118</v>
          </cell>
        </row>
        <row r="1665">
          <cell r="D1665">
            <v>12</v>
          </cell>
          <cell r="AB1665">
            <v>291.59999999999138</v>
          </cell>
        </row>
        <row r="1666">
          <cell r="D1666">
            <v>12</v>
          </cell>
          <cell r="AB1666">
            <v>291.59999999999138</v>
          </cell>
        </row>
        <row r="1667">
          <cell r="D1667">
            <v>12</v>
          </cell>
          <cell r="AB1667">
            <v>291.59999999999138</v>
          </cell>
        </row>
        <row r="1668">
          <cell r="D1668">
            <v>12</v>
          </cell>
          <cell r="AB1668">
            <v>291.59999999999138</v>
          </cell>
        </row>
        <row r="1669">
          <cell r="D1669">
            <v>12</v>
          </cell>
          <cell r="AB1669">
            <v>291.59999999999138</v>
          </cell>
        </row>
        <row r="1670">
          <cell r="D1670">
            <v>12</v>
          </cell>
          <cell r="AB1670">
            <v>54.00000000000216</v>
          </cell>
        </row>
        <row r="1671">
          <cell r="D1671">
            <v>12</v>
          </cell>
          <cell r="AB1671">
            <v>54.00000000000216</v>
          </cell>
        </row>
        <row r="1672">
          <cell r="D1672">
            <v>12</v>
          </cell>
          <cell r="AB1672">
            <v>54.00000000000216</v>
          </cell>
        </row>
        <row r="1673">
          <cell r="D1673">
            <v>12</v>
          </cell>
          <cell r="AB1673">
            <v>54.00000000000216</v>
          </cell>
        </row>
        <row r="1674">
          <cell r="D1674">
            <v>12</v>
          </cell>
          <cell r="AB1674">
            <v>54.00000000000216</v>
          </cell>
        </row>
        <row r="1675">
          <cell r="D1675">
            <v>12</v>
          </cell>
          <cell r="AB1675">
            <v>180.00000000000722</v>
          </cell>
        </row>
        <row r="1676">
          <cell r="D1676">
            <v>12</v>
          </cell>
          <cell r="AB1676">
            <v>180.00000000000722</v>
          </cell>
        </row>
        <row r="1677">
          <cell r="D1677">
            <v>12</v>
          </cell>
          <cell r="AB1677">
            <v>180.00000000000722</v>
          </cell>
        </row>
        <row r="1678">
          <cell r="D1678">
            <v>12</v>
          </cell>
          <cell r="AB1678">
            <v>180.00000000000722</v>
          </cell>
        </row>
        <row r="1679">
          <cell r="D1679">
            <v>12</v>
          </cell>
          <cell r="AB1679">
            <v>291.59999999999138</v>
          </cell>
        </row>
        <row r="1680">
          <cell r="D1680">
            <v>12</v>
          </cell>
          <cell r="AB1680">
            <v>291.59999999999138</v>
          </cell>
        </row>
        <row r="1681">
          <cell r="D1681">
            <v>12</v>
          </cell>
          <cell r="AB1681">
            <v>291.59999999999138</v>
          </cell>
        </row>
        <row r="1682">
          <cell r="D1682">
            <v>12</v>
          </cell>
          <cell r="AB1682">
            <v>291.59999999999138</v>
          </cell>
        </row>
        <row r="1683">
          <cell r="D1683">
            <v>12</v>
          </cell>
          <cell r="AB1683">
            <v>291.59999999999138</v>
          </cell>
        </row>
        <row r="1684">
          <cell r="D1684">
            <v>12</v>
          </cell>
          <cell r="AB1684">
            <v>809.9999999999759</v>
          </cell>
        </row>
        <row r="1685">
          <cell r="D1685">
            <v>12</v>
          </cell>
          <cell r="AB1685">
            <v>809.9999999999759</v>
          </cell>
        </row>
        <row r="1686">
          <cell r="D1686">
            <v>12</v>
          </cell>
          <cell r="AB1686">
            <v>809.9999999999759</v>
          </cell>
        </row>
        <row r="1687">
          <cell r="D1687">
            <v>12</v>
          </cell>
          <cell r="AB1687">
            <v>809.9999999999759</v>
          </cell>
        </row>
        <row r="1688">
          <cell r="D1688">
            <v>12</v>
          </cell>
          <cell r="AB1688">
            <v>291.59999999999138</v>
          </cell>
        </row>
        <row r="1689">
          <cell r="D1689">
            <v>12</v>
          </cell>
          <cell r="AB1689">
            <v>291.59999999999138</v>
          </cell>
        </row>
        <row r="1690">
          <cell r="D1690">
            <v>12</v>
          </cell>
          <cell r="AB1690">
            <v>291.59999999999138</v>
          </cell>
        </row>
        <row r="1691">
          <cell r="D1691">
            <v>12</v>
          </cell>
          <cell r="AB1691">
            <v>291.59999999999138</v>
          </cell>
        </row>
        <row r="1692">
          <cell r="D1692">
            <v>12</v>
          </cell>
          <cell r="AB1692">
            <v>485.99999999998556</v>
          </cell>
        </row>
        <row r="1693">
          <cell r="D1693">
            <v>12</v>
          </cell>
          <cell r="AB1693">
            <v>485.99999999998556</v>
          </cell>
        </row>
        <row r="1694">
          <cell r="D1694">
            <v>12</v>
          </cell>
          <cell r="AB1694">
            <v>485.99999999998556</v>
          </cell>
        </row>
        <row r="1695">
          <cell r="D1695">
            <v>12</v>
          </cell>
          <cell r="AB1695">
            <v>485.99999999998556</v>
          </cell>
        </row>
        <row r="1696">
          <cell r="D1696">
            <v>12</v>
          </cell>
          <cell r="AB1696">
            <v>485.99999999998556</v>
          </cell>
        </row>
        <row r="1697">
          <cell r="D1697">
            <v>12</v>
          </cell>
          <cell r="AB1697">
            <v>485.99999999998556</v>
          </cell>
        </row>
        <row r="1698">
          <cell r="D1698">
            <v>12</v>
          </cell>
          <cell r="AB1698">
            <v>485.99999999998556</v>
          </cell>
        </row>
        <row r="1699">
          <cell r="D1699">
            <v>12</v>
          </cell>
          <cell r="AB1699">
            <v>485.99999999998556</v>
          </cell>
        </row>
        <row r="1700">
          <cell r="D1700">
            <v>12</v>
          </cell>
          <cell r="AB1700">
            <v>485.99999999998556</v>
          </cell>
        </row>
        <row r="1701">
          <cell r="D1701">
            <v>12</v>
          </cell>
          <cell r="AB1701">
            <v>485.99999999998556</v>
          </cell>
        </row>
        <row r="1702">
          <cell r="D1702">
            <v>12</v>
          </cell>
          <cell r="AB1702">
            <v>485.99999999998556</v>
          </cell>
        </row>
        <row r="1703">
          <cell r="D1703">
            <v>12</v>
          </cell>
          <cell r="AB1703">
            <v>485.99999999998556</v>
          </cell>
        </row>
        <row r="1704">
          <cell r="D1704">
            <v>12</v>
          </cell>
          <cell r="AB1704">
            <v>485.99999999998556</v>
          </cell>
        </row>
        <row r="1705">
          <cell r="D1705">
            <v>12</v>
          </cell>
          <cell r="AB1705">
            <v>485.99999999998556</v>
          </cell>
        </row>
        <row r="1706">
          <cell r="D1706">
            <v>12</v>
          </cell>
          <cell r="AB1706">
            <v>291.59999999999138</v>
          </cell>
        </row>
        <row r="1707">
          <cell r="D1707">
            <v>12</v>
          </cell>
          <cell r="AB1707">
            <v>291.59999999999138</v>
          </cell>
        </row>
        <row r="1708">
          <cell r="D1708">
            <v>12</v>
          </cell>
          <cell r="AB1708">
            <v>291.59999999999138</v>
          </cell>
        </row>
        <row r="1709">
          <cell r="D1709">
            <v>12</v>
          </cell>
          <cell r="AB1709">
            <v>291.59999999999138</v>
          </cell>
        </row>
        <row r="1710">
          <cell r="D1710">
            <v>12</v>
          </cell>
          <cell r="AB1710">
            <v>450.00000000001796</v>
          </cell>
        </row>
        <row r="1711">
          <cell r="D1711">
            <v>12</v>
          </cell>
          <cell r="AB1711">
            <v>450.00000000001796</v>
          </cell>
        </row>
        <row r="1712">
          <cell r="D1712">
            <v>12</v>
          </cell>
          <cell r="AB1712">
            <v>450.00000000001796</v>
          </cell>
        </row>
        <row r="1713">
          <cell r="D1713">
            <v>12</v>
          </cell>
          <cell r="AB1713">
            <v>450.00000000001796</v>
          </cell>
        </row>
        <row r="1714">
          <cell r="D1714">
            <v>12</v>
          </cell>
          <cell r="AB1714">
            <v>485.99999999998556</v>
          </cell>
        </row>
        <row r="1715">
          <cell r="D1715">
            <v>12</v>
          </cell>
          <cell r="AB1715">
            <v>485.99999999998556</v>
          </cell>
        </row>
        <row r="1716">
          <cell r="D1716">
            <v>12</v>
          </cell>
          <cell r="AB1716">
            <v>485.99999999998556</v>
          </cell>
        </row>
        <row r="1717">
          <cell r="D1717">
            <v>12</v>
          </cell>
          <cell r="AB1717">
            <v>485.99999999998556</v>
          </cell>
        </row>
        <row r="1718">
          <cell r="D1718">
            <v>12</v>
          </cell>
          <cell r="AB1718">
            <v>291.59999999999138</v>
          </cell>
        </row>
        <row r="1719">
          <cell r="D1719">
            <v>12</v>
          </cell>
          <cell r="AB1719">
            <v>291.59999999999138</v>
          </cell>
        </row>
        <row r="1720">
          <cell r="D1720">
            <v>12</v>
          </cell>
          <cell r="AB1720">
            <v>291.59999999999138</v>
          </cell>
        </row>
        <row r="1721">
          <cell r="D1721">
            <v>12</v>
          </cell>
          <cell r="AB1721">
            <v>291.59999999999138</v>
          </cell>
        </row>
        <row r="1722">
          <cell r="D1722">
            <v>12</v>
          </cell>
          <cell r="AB1722">
            <v>291.59999999999138</v>
          </cell>
        </row>
        <row r="1723">
          <cell r="D1723">
            <v>12</v>
          </cell>
          <cell r="AB1723">
            <v>809.9999999999759</v>
          </cell>
        </row>
        <row r="1724">
          <cell r="D1724">
            <v>12</v>
          </cell>
          <cell r="AB1724">
            <v>809.9999999999759</v>
          </cell>
        </row>
        <row r="1725">
          <cell r="D1725">
            <v>12</v>
          </cell>
          <cell r="AB1725">
            <v>809.9999999999759</v>
          </cell>
        </row>
        <row r="1726">
          <cell r="D1726">
            <v>12</v>
          </cell>
          <cell r="AB1726">
            <v>809.9999999999759</v>
          </cell>
        </row>
        <row r="1727">
          <cell r="D1727">
            <v>12</v>
          </cell>
          <cell r="AB1727">
            <v>291.59999999999138</v>
          </cell>
        </row>
        <row r="1728">
          <cell r="D1728">
            <v>12</v>
          </cell>
          <cell r="AB1728">
            <v>291.59999999999138</v>
          </cell>
        </row>
        <row r="1729">
          <cell r="D1729">
            <v>12</v>
          </cell>
          <cell r="AB1729">
            <v>291.59999999999138</v>
          </cell>
        </row>
        <row r="1730">
          <cell r="D1730">
            <v>12</v>
          </cell>
          <cell r="AB1730">
            <v>291.59999999999138</v>
          </cell>
        </row>
        <row r="1731">
          <cell r="D1731">
            <v>12</v>
          </cell>
          <cell r="AB1731">
            <v>291.59999999999138</v>
          </cell>
        </row>
        <row r="1732">
          <cell r="D1732">
            <v>12</v>
          </cell>
          <cell r="AB1732">
            <v>180.00000000000722</v>
          </cell>
        </row>
        <row r="1733">
          <cell r="D1733">
            <v>12</v>
          </cell>
          <cell r="AB1733">
            <v>180.00000000000722</v>
          </cell>
        </row>
        <row r="1734">
          <cell r="D1734">
            <v>12</v>
          </cell>
          <cell r="AB1734">
            <v>180.00000000000722</v>
          </cell>
        </row>
        <row r="1735">
          <cell r="D1735">
            <v>12</v>
          </cell>
          <cell r="AB1735">
            <v>180.00000000000722</v>
          </cell>
        </row>
        <row r="1736">
          <cell r="D1736">
            <v>12</v>
          </cell>
          <cell r="AB1736">
            <v>180.00000000000722</v>
          </cell>
        </row>
        <row r="1737">
          <cell r="D1737">
            <v>12</v>
          </cell>
          <cell r="AB1737">
            <v>809.9999999999759</v>
          </cell>
        </row>
        <row r="1738">
          <cell r="D1738">
            <v>12</v>
          </cell>
          <cell r="AB1738">
            <v>809.9999999999759</v>
          </cell>
        </row>
        <row r="1739">
          <cell r="D1739">
            <v>12</v>
          </cell>
          <cell r="AB1739">
            <v>809.9999999999759</v>
          </cell>
        </row>
        <row r="1740">
          <cell r="D1740">
            <v>12</v>
          </cell>
          <cell r="AB1740">
            <v>809.9999999999759</v>
          </cell>
        </row>
        <row r="1741">
          <cell r="D1741">
            <v>12</v>
          </cell>
          <cell r="AB1741">
            <v>809.9999999999759</v>
          </cell>
        </row>
        <row r="1742">
          <cell r="D1742">
            <v>12</v>
          </cell>
          <cell r="AB1742">
            <v>1140.0000000000186</v>
          </cell>
          <cell r="AE1742">
            <v>1</v>
          </cell>
        </row>
        <row r="1743">
          <cell r="D1743">
            <v>12</v>
          </cell>
          <cell r="AB1743">
            <v>1619.9999999999518</v>
          </cell>
        </row>
        <row r="1744">
          <cell r="D1744">
            <v>12</v>
          </cell>
          <cell r="AB1744">
            <v>1049.999999999967</v>
          </cell>
        </row>
        <row r="1745">
          <cell r="D1745">
            <v>12</v>
          </cell>
          <cell r="AB1745">
            <v>1619.9999999999518</v>
          </cell>
        </row>
        <row r="1746">
          <cell r="D1746">
            <v>12</v>
          </cell>
          <cell r="AB1746">
            <v>180.00000000000722</v>
          </cell>
        </row>
        <row r="1747">
          <cell r="D1747">
            <v>12</v>
          </cell>
          <cell r="AB1747">
            <v>180.00000000000722</v>
          </cell>
        </row>
        <row r="1748">
          <cell r="D1748">
            <v>12</v>
          </cell>
          <cell r="AB1748">
            <v>180.00000000000722</v>
          </cell>
        </row>
        <row r="1749">
          <cell r="D1749">
            <v>12</v>
          </cell>
          <cell r="AB1749">
            <v>180.00000000000722</v>
          </cell>
        </row>
        <row r="1750">
          <cell r="D1750">
            <v>12</v>
          </cell>
          <cell r="AB1750">
            <v>180.00000000000722</v>
          </cell>
        </row>
        <row r="1751">
          <cell r="D1751">
            <v>12</v>
          </cell>
          <cell r="AB1751">
            <v>291.59999999999138</v>
          </cell>
        </row>
        <row r="1752">
          <cell r="D1752">
            <v>12</v>
          </cell>
          <cell r="AB1752">
            <v>291.59999999999138</v>
          </cell>
        </row>
        <row r="1753">
          <cell r="D1753">
            <v>12</v>
          </cell>
          <cell r="AB1753">
            <v>291.59999999999138</v>
          </cell>
        </row>
        <row r="1754">
          <cell r="D1754">
            <v>12</v>
          </cell>
          <cell r="AB1754">
            <v>291.59999999999138</v>
          </cell>
        </row>
        <row r="1755">
          <cell r="D1755">
            <v>12</v>
          </cell>
          <cell r="AB1755">
            <v>291.59999999999138</v>
          </cell>
        </row>
        <row r="1756">
          <cell r="D1756">
            <v>12</v>
          </cell>
          <cell r="AB1756">
            <v>180.00000000000722</v>
          </cell>
        </row>
        <row r="1757">
          <cell r="D1757">
            <v>12</v>
          </cell>
          <cell r="AB1757">
            <v>180.00000000000722</v>
          </cell>
        </row>
        <row r="1758">
          <cell r="D1758">
            <v>12</v>
          </cell>
          <cell r="AB1758">
            <v>180.00000000000722</v>
          </cell>
        </row>
        <row r="1759">
          <cell r="D1759">
            <v>12</v>
          </cell>
          <cell r="AB1759">
            <v>180.00000000000722</v>
          </cell>
        </row>
        <row r="1760">
          <cell r="D1760">
            <v>12</v>
          </cell>
          <cell r="AB1760">
            <v>180.00000000000722</v>
          </cell>
          <cell r="AE1760">
            <v>1</v>
          </cell>
        </row>
        <row r="1761">
          <cell r="D1761">
            <v>12</v>
          </cell>
          <cell r="AB1761">
            <v>450.00000000001796</v>
          </cell>
        </row>
        <row r="1762">
          <cell r="D1762">
            <v>12</v>
          </cell>
          <cell r="AB1762">
            <v>600.00000000000978</v>
          </cell>
          <cell r="AE1762" t="str">
            <v>İ</v>
          </cell>
        </row>
        <row r="1763">
          <cell r="D1763">
            <v>12</v>
          </cell>
          <cell r="AB1763">
            <v>54.00000000000216</v>
          </cell>
        </row>
        <row r="1764">
          <cell r="D1764">
            <v>12</v>
          </cell>
          <cell r="AB1764">
            <v>54.00000000000216</v>
          </cell>
        </row>
        <row r="1765">
          <cell r="D1765">
            <v>12</v>
          </cell>
          <cell r="AB1765">
            <v>54.00000000000216</v>
          </cell>
        </row>
        <row r="1766">
          <cell r="D1766">
            <v>12</v>
          </cell>
          <cell r="AB1766">
            <v>54.00000000000216</v>
          </cell>
        </row>
        <row r="1767">
          <cell r="D1767">
            <v>12</v>
          </cell>
          <cell r="AB1767">
            <v>485.99999999998556</v>
          </cell>
        </row>
        <row r="1768">
          <cell r="D1768">
            <v>12</v>
          </cell>
          <cell r="AB1768">
            <v>485.99999999998556</v>
          </cell>
        </row>
        <row r="1769">
          <cell r="D1769">
            <v>12</v>
          </cell>
          <cell r="AB1769">
            <v>485.99999999998556</v>
          </cell>
        </row>
        <row r="1770">
          <cell r="D1770">
            <v>12</v>
          </cell>
          <cell r="AB1770">
            <v>485.99999999998556</v>
          </cell>
        </row>
        <row r="1771">
          <cell r="D1771">
            <v>12</v>
          </cell>
          <cell r="AB1771">
            <v>485.99999999998556</v>
          </cell>
        </row>
        <row r="1772">
          <cell r="D1772">
            <v>12</v>
          </cell>
          <cell r="AB1772">
            <v>465</v>
          </cell>
          <cell r="AE1772">
            <v>1</v>
          </cell>
        </row>
        <row r="1773">
          <cell r="D1773">
            <v>12</v>
          </cell>
          <cell r="AB1773">
            <v>180.00000000000722</v>
          </cell>
        </row>
        <row r="1774">
          <cell r="D1774">
            <v>12</v>
          </cell>
          <cell r="AB1774">
            <v>180.00000000000722</v>
          </cell>
        </row>
        <row r="1775">
          <cell r="D1775">
            <v>12</v>
          </cell>
          <cell r="AB1775">
            <v>180.00000000000722</v>
          </cell>
        </row>
        <row r="1776">
          <cell r="D1776">
            <v>12</v>
          </cell>
          <cell r="AB1776">
            <v>291.59999999999138</v>
          </cell>
        </row>
        <row r="1777">
          <cell r="D1777">
            <v>12</v>
          </cell>
          <cell r="AB1777">
            <v>291.59999999999138</v>
          </cell>
        </row>
        <row r="1778">
          <cell r="D1778">
            <v>12</v>
          </cell>
          <cell r="AB1778">
            <v>291.59999999999138</v>
          </cell>
        </row>
        <row r="1779">
          <cell r="D1779">
            <v>12</v>
          </cell>
          <cell r="AB1779">
            <v>291.59999999999138</v>
          </cell>
        </row>
        <row r="1780">
          <cell r="D1780">
            <v>12</v>
          </cell>
          <cell r="AB1780">
            <v>54.00000000000216</v>
          </cell>
        </row>
        <row r="1781">
          <cell r="D1781">
            <v>12</v>
          </cell>
          <cell r="AB1781">
            <v>54.00000000000216</v>
          </cell>
        </row>
        <row r="1782">
          <cell r="D1782">
            <v>12</v>
          </cell>
          <cell r="AB1782">
            <v>54.00000000000216</v>
          </cell>
        </row>
        <row r="1783">
          <cell r="D1783">
            <v>12</v>
          </cell>
          <cell r="AB1783">
            <v>54.00000000000216</v>
          </cell>
        </row>
        <row r="1784">
          <cell r="D1784">
            <v>12</v>
          </cell>
          <cell r="AB1784">
            <v>54.00000000000216</v>
          </cell>
        </row>
        <row r="1785">
          <cell r="D1785">
            <v>12</v>
          </cell>
          <cell r="AB1785">
            <v>54.00000000000216</v>
          </cell>
        </row>
        <row r="1786">
          <cell r="D1786">
            <v>12</v>
          </cell>
          <cell r="AB1786">
            <v>54.00000000000216</v>
          </cell>
        </row>
        <row r="1787">
          <cell r="D1787">
            <v>12</v>
          </cell>
          <cell r="AB1787">
            <v>54.00000000000216</v>
          </cell>
        </row>
        <row r="1788">
          <cell r="D1788">
            <v>12</v>
          </cell>
          <cell r="AB1788">
            <v>54.00000000000216</v>
          </cell>
        </row>
        <row r="1789">
          <cell r="D1789">
            <v>12</v>
          </cell>
          <cell r="AB1789">
            <v>291.59999999999138</v>
          </cell>
        </row>
        <row r="1790">
          <cell r="D1790">
            <v>12</v>
          </cell>
          <cell r="AB1790">
            <v>291.59999999999138</v>
          </cell>
        </row>
        <row r="1791">
          <cell r="D1791">
            <v>12</v>
          </cell>
          <cell r="AB1791">
            <v>291.59999999999138</v>
          </cell>
        </row>
        <row r="1792">
          <cell r="D1792">
            <v>12</v>
          </cell>
          <cell r="AB1792">
            <v>291.59999999999138</v>
          </cell>
        </row>
        <row r="1793">
          <cell r="D1793">
            <v>12</v>
          </cell>
          <cell r="AB1793">
            <v>54.00000000000216</v>
          </cell>
        </row>
        <row r="1794">
          <cell r="D1794">
            <v>12</v>
          </cell>
          <cell r="AB1794">
            <v>54.00000000000216</v>
          </cell>
        </row>
        <row r="1795">
          <cell r="D1795">
            <v>12</v>
          </cell>
          <cell r="AB1795">
            <v>54.00000000000216</v>
          </cell>
        </row>
        <row r="1796">
          <cell r="D1796">
            <v>12</v>
          </cell>
          <cell r="AB1796">
            <v>54.00000000000216</v>
          </cell>
        </row>
        <row r="1797">
          <cell r="D1797">
            <v>12</v>
          </cell>
          <cell r="AB1797">
            <v>809.9999999999759</v>
          </cell>
        </row>
        <row r="1798">
          <cell r="D1798">
            <v>12</v>
          </cell>
          <cell r="AB1798">
            <v>809.9999999999759</v>
          </cell>
        </row>
        <row r="1799">
          <cell r="D1799">
            <v>12</v>
          </cell>
          <cell r="AB1799">
            <v>809.9999999999759</v>
          </cell>
        </row>
        <row r="1800">
          <cell r="D1800">
            <v>12</v>
          </cell>
          <cell r="AB1800">
            <v>809.9999999999759</v>
          </cell>
        </row>
        <row r="1801">
          <cell r="D1801">
            <v>12</v>
          </cell>
          <cell r="AB1801">
            <v>492</v>
          </cell>
          <cell r="AE1801">
            <v>1</v>
          </cell>
        </row>
        <row r="1802">
          <cell r="D1802">
            <v>12</v>
          </cell>
          <cell r="AB1802">
            <v>180.00000000000722</v>
          </cell>
        </row>
        <row r="1803">
          <cell r="D1803">
            <v>12</v>
          </cell>
          <cell r="AB1803">
            <v>291.59999999999138</v>
          </cell>
          <cell r="AE1803">
            <v>1</v>
          </cell>
        </row>
        <row r="1804">
          <cell r="D1804">
            <v>12</v>
          </cell>
          <cell r="AB1804">
            <v>180.00000000000722</v>
          </cell>
        </row>
        <row r="1805">
          <cell r="D1805">
            <v>12</v>
          </cell>
          <cell r="AB1805">
            <v>180.00000000000722</v>
          </cell>
        </row>
        <row r="1806">
          <cell r="D1806">
            <v>12</v>
          </cell>
          <cell r="AB1806">
            <v>291.59999999999138</v>
          </cell>
        </row>
        <row r="1807">
          <cell r="D1807">
            <v>12</v>
          </cell>
          <cell r="AB1807">
            <v>291.59999999999138</v>
          </cell>
        </row>
        <row r="1808">
          <cell r="D1808">
            <v>12</v>
          </cell>
          <cell r="AB1808">
            <v>291.59999999999138</v>
          </cell>
        </row>
        <row r="1809">
          <cell r="D1809">
            <v>12</v>
          </cell>
          <cell r="AB1809">
            <v>291.59999999999138</v>
          </cell>
        </row>
        <row r="1810">
          <cell r="D1810">
            <v>12</v>
          </cell>
          <cell r="AB1810">
            <v>291.59999999999138</v>
          </cell>
        </row>
        <row r="1811">
          <cell r="D1811">
            <v>12</v>
          </cell>
          <cell r="AB1811">
            <v>291.59999999999138</v>
          </cell>
        </row>
        <row r="1812">
          <cell r="D1812">
            <v>12</v>
          </cell>
          <cell r="AB1812">
            <v>291.59999999999138</v>
          </cell>
        </row>
        <row r="1813">
          <cell r="D1813">
            <v>12</v>
          </cell>
          <cell r="AB1813">
            <v>291.59999999999138</v>
          </cell>
        </row>
        <row r="1814">
          <cell r="D1814">
            <v>12</v>
          </cell>
          <cell r="AB1814">
            <v>291.59999999999138</v>
          </cell>
        </row>
        <row r="1815">
          <cell r="D1815">
            <v>12</v>
          </cell>
          <cell r="AB1815">
            <v>180.00000000000722</v>
          </cell>
        </row>
        <row r="1816">
          <cell r="D1816">
            <v>12</v>
          </cell>
          <cell r="AB1816">
            <v>180.00000000000722</v>
          </cell>
        </row>
        <row r="1817">
          <cell r="D1817">
            <v>12</v>
          </cell>
          <cell r="AB1817">
            <v>180.00000000000722</v>
          </cell>
        </row>
        <row r="1818">
          <cell r="D1818">
            <v>12</v>
          </cell>
          <cell r="AB1818">
            <v>180.00000000000722</v>
          </cell>
        </row>
        <row r="1819">
          <cell r="D1819">
            <v>12</v>
          </cell>
          <cell r="AB1819">
            <v>180.00000000000722</v>
          </cell>
        </row>
        <row r="1820">
          <cell r="D1820">
            <v>12</v>
          </cell>
          <cell r="AB1820">
            <v>291.59999999999138</v>
          </cell>
        </row>
        <row r="1821">
          <cell r="D1821">
            <v>12</v>
          </cell>
          <cell r="AB1821">
            <v>291.59999999999138</v>
          </cell>
        </row>
        <row r="1822">
          <cell r="D1822">
            <v>12</v>
          </cell>
          <cell r="AB1822">
            <v>291.59999999999138</v>
          </cell>
        </row>
        <row r="1823">
          <cell r="D1823">
            <v>12</v>
          </cell>
          <cell r="AB1823">
            <v>291.59999999999138</v>
          </cell>
        </row>
        <row r="1824">
          <cell r="D1824">
            <v>12</v>
          </cell>
          <cell r="AB1824">
            <v>180.00000000000722</v>
          </cell>
        </row>
        <row r="1825">
          <cell r="D1825">
            <v>12</v>
          </cell>
          <cell r="AB1825">
            <v>180.00000000000722</v>
          </cell>
        </row>
        <row r="1826">
          <cell r="D1826">
            <v>12</v>
          </cell>
          <cell r="AB1826">
            <v>180.00000000000722</v>
          </cell>
        </row>
        <row r="1827">
          <cell r="D1827">
            <v>12</v>
          </cell>
          <cell r="AB1827">
            <v>180.00000000000722</v>
          </cell>
        </row>
        <row r="1828">
          <cell r="D1828">
            <v>12</v>
          </cell>
          <cell r="AB1828">
            <v>291.59999999999138</v>
          </cell>
        </row>
        <row r="1829">
          <cell r="D1829">
            <v>12</v>
          </cell>
          <cell r="AB1829">
            <v>291.59999999999138</v>
          </cell>
        </row>
        <row r="1830">
          <cell r="D1830">
            <v>12</v>
          </cell>
          <cell r="AB1830">
            <v>291.59999999999138</v>
          </cell>
        </row>
        <row r="1831">
          <cell r="D1831">
            <v>12</v>
          </cell>
          <cell r="AB1831">
            <v>291.59999999999138</v>
          </cell>
        </row>
        <row r="1832">
          <cell r="D1832">
            <v>12</v>
          </cell>
          <cell r="AB1832">
            <v>291.59999999999138</v>
          </cell>
        </row>
        <row r="1833">
          <cell r="D1833">
            <v>12</v>
          </cell>
          <cell r="AB1833">
            <v>963.59999999999991</v>
          </cell>
          <cell r="AE1833">
            <v>1</v>
          </cell>
        </row>
        <row r="1834">
          <cell r="D1834">
            <v>12</v>
          </cell>
          <cell r="AB1834">
            <v>450.00000000001796</v>
          </cell>
        </row>
        <row r="1835">
          <cell r="D1835">
            <v>12</v>
          </cell>
          <cell r="AB1835">
            <v>1577.16</v>
          </cell>
          <cell r="AE1835">
            <v>1</v>
          </cell>
        </row>
        <row r="1836">
          <cell r="D1836">
            <v>12</v>
          </cell>
          <cell r="AB1836">
            <v>450.00000000001796</v>
          </cell>
        </row>
        <row r="1837">
          <cell r="D1837">
            <v>12</v>
          </cell>
          <cell r="AB1837">
            <v>450.00000000001796</v>
          </cell>
        </row>
        <row r="1838">
          <cell r="D1838">
            <v>12</v>
          </cell>
          <cell r="AB1838">
            <v>450.00000000001796</v>
          </cell>
        </row>
        <row r="1839">
          <cell r="D1839">
            <v>12</v>
          </cell>
          <cell r="AB1839">
            <v>450.00000000001796</v>
          </cell>
        </row>
        <row r="1840">
          <cell r="D1840">
            <v>12</v>
          </cell>
          <cell r="AB1840">
            <v>450.00000000001796</v>
          </cell>
        </row>
        <row r="1841">
          <cell r="D1841">
            <v>12</v>
          </cell>
          <cell r="AB1841">
            <v>450.00000000001796</v>
          </cell>
        </row>
        <row r="1842">
          <cell r="D1842">
            <v>12</v>
          </cell>
          <cell r="AB1842">
            <v>450.00000000001796</v>
          </cell>
        </row>
        <row r="1843">
          <cell r="D1843">
            <v>12</v>
          </cell>
          <cell r="AB1843">
            <v>450.00000000001796</v>
          </cell>
          <cell r="AE1843">
            <v>1</v>
          </cell>
        </row>
        <row r="1844">
          <cell r="D1844">
            <v>12</v>
          </cell>
          <cell r="AB1844">
            <v>450.00000000001796</v>
          </cell>
        </row>
        <row r="1845">
          <cell r="D1845">
            <v>12</v>
          </cell>
          <cell r="AB1845">
            <v>180.00000000000722</v>
          </cell>
          <cell r="AE1845">
            <v>1</v>
          </cell>
        </row>
        <row r="1846">
          <cell r="D1846">
            <v>12</v>
          </cell>
          <cell r="AB1846">
            <v>1619.9999999999518</v>
          </cell>
        </row>
        <row r="1847">
          <cell r="D1847">
            <v>12</v>
          </cell>
          <cell r="AB1847">
            <v>1619.9999999999518</v>
          </cell>
        </row>
        <row r="1848">
          <cell r="D1848">
            <v>12</v>
          </cell>
          <cell r="AB1848">
            <v>1619.9999999999518</v>
          </cell>
        </row>
        <row r="1849">
          <cell r="D1849">
            <v>12</v>
          </cell>
          <cell r="AB1849">
            <v>1619.9999999999518</v>
          </cell>
        </row>
        <row r="1850">
          <cell r="D1850">
            <v>12</v>
          </cell>
          <cell r="AB1850">
            <v>900.00000000001478</v>
          </cell>
          <cell r="AE1850">
            <v>1</v>
          </cell>
        </row>
        <row r="1851">
          <cell r="D1851">
            <v>12</v>
          </cell>
          <cell r="AB1851">
            <v>180.00000000000722</v>
          </cell>
        </row>
        <row r="1852">
          <cell r="D1852">
            <v>12</v>
          </cell>
          <cell r="AB1852">
            <v>1425.0000000000032</v>
          </cell>
          <cell r="AE1852">
            <v>1</v>
          </cell>
        </row>
        <row r="1853">
          <cell r="D1853">
            <v>12</v>
          </cell>
          <cell r="AB1853">
            <v>180.00000000000722</v>
          </cell>
        </row>
        <row r="1854">
          <cell r="D1854">
            <v>12</v>
          </cell>
          <cell r="AB1854">
            <v>180.00000000000722</v>
          </cell>
        </row>
        <row r="1855">
          <cell r="D1855">
            <v>12</v>
          </cell>
          <cell r="AB1855">
            <v>54.00000000000216</v>
          </cell>
        </row>
        <row r="1856">
          <cell r="D1856">
            <v>12</v>
          </cell>
          <cell r="AB1856">
            <v>54.00000000000216</v>
          </cell>
        </row>
        <row r="1857">
          <cell r="D1857">
            <v>12</v>
          </cell>
          <cell r="AB1857">
            <v>54.00000000000216</v>
          </cell>
        </row>
        <row r="1858">
          <cell r="D1858">
            <v>12</v>
          </cell>
          <cell r="AB1858">
            <v>54.00000000000216</v>
          </cell>
        </row>
        <row r="1859">
          <cell r="D1859">
            <v>12</v>
          </cell>
          <cell r="AB1859">
            <v>54.00000000000216</v>
          </cell>
        </row>
        <row r="1860">
          <cell r="D1860">
            <v>12</v>
          </cell>
          <cell r="AB1860">
            <v>180.00000000000722</v>
          </cell>
        </row>
        <row r="1861">
          <cell r="D1861">
            <v>12</v>
          </cell>
          <cell r="AB1861">
            <v>180.00000000000722</v>
          </cell>
        </row>
        <row r="1862">
          <cell r="D1862">
            <v>12</v>
          </cell>
          <cell r="AB1862">
            <v>180.00000000000722</v>
          </cell>
        </row>
        <row r="1863">
          <cell r="D1863">
            <v>12</v>
          </cell>
          <cell r="AB1863">
            <v>180.00000000000722</v>
          </cell>
        </row>
        <row r="1864">
          <cell r="D1864">
            <v>12</v>
          </cell>
          <cell r="AB1864">
            <v>180.00000000000722</v>
          </cell>
        </row>
        <row r="1865">
          <cell r="D1865">
            <v>12</v>
          </cell>
          <cell r="AB1865">
            <v>291.59999999999138</v>
          </cell>
        </row>
        <row r="1866">
          <cell r="D1866">
            <v>12</v>
          </cell>
          <cell r="AB1866">
            <v>291.59999999999138</v>
          </cell>
        </row>
        <row r="1867">
          <cell r="D1867">
            <v>12</v>
          </cell>
          <cell r="AB1867">
            <v>291.59999999999138</v>
          </cell>
        </row>
        <row r="1868">
          <cell r="D1868">
            <v>12</v>
          </cell>
          <cell r="AB1868">
            <v>291.59999999999138</v>
          </cell>
        </row>
        <row r="1869">
          <cell r="D1869">
            <v>12</v>
          </cell>
          <cell r="AB1869">
            <v>1049.999999999967</v>
          </cell>
          <cell r="AE1869">
            <v>1</v>
          </cell>
        </row>
        <row r="1870">
          <cell r="D1870">
            <v>12</v>
          </cell>
          <cell r="AB1870">
            <v>450.00000000001796</v>
          </cell>
        </row>
        <row r="1871">
          <cell r="D1871">
            <v>12</v>
          </cell>
          <cell r="AB1871">
            <v>577.92000000000007</v>
          </cell>
          <cell r="AE1871">
            <v>1</v>
          </cell>
        </row>
        <row r="1872">
          <cell r="D1872">
            <v>12</v>
          </cell>
          <cell r="AB1872">
            <v>450.00000000001796</v>
          </cell>
        </row>
        <row r="1873">
          <cell r="D1873">
            <v>12</v>
          </cell>
          <cell r="AB1873">
            <v>809.9999999999759</v>
          </cell>
        </row>
        <row r="1874">
          <cell r="D1874">
            <v>12</v>
          </cell>
          <cell r="AB1874">
            <v>809.9999999999759</v>
          </cell>
        </row>
        <row r="1875">
          <cell r="D1875">
            <v>12</v>
          </cell>
          <cell r="AB1875">
            <v>809.9999999999759</v>
          </cell>
        </row>
        <row r="1876">
          <cell r="D1876">
            <v>12</v>
          </cell>
          <cell r="AB1876">
            <v>809.9999999999759</v>
          </cell>
        </row>
        <row r="1877">
          <cell r="D1877">
            <v>12</v>
          </cell>
          <cell r="AB1877">
            <v>180.00000000000722</v>
          </cell>
        </row>
        <row r="1878">
          <cell r="D1878">
            <v>12</v>
          </cell>
          <cell r="AB1878">
            <v>180.00000000000722</v>
          </cell>
        </row>
        <row r="1879">
          <cell r="D1879">
            <v>12</v>
          </cell>
          <cell r="AB1879">
            <v>1248.72</v>
          </cell>
          <cell r="AE1879">
            <v>1</v>
          </cell>
        </row>
        <row r="1880">
          <cell r="D1880">
            <v>12</v>
          </cell>
          <cell r="AB1880">
            <v>1825.1999999999998</v>
          </cell>
          <cell r="AE1880">
            <v>1</v>
          </cell>
        </row>
        <row r="1881">
          <cell r="D1881">
            <v>12</v>
          </cell>
          <cell r="AB1881">
            <v>180.00000000000722</v>
          </cell>
        </row>
        <row r="1882">
          <cell r="D1882">
            <v>12</v>
          </cell>
          <cell r="AB1882">
            <v>1619.9999999999518</v>
          </cell>
        </row>
        <row r="1883">
          <cell r="D1883">
            <v>12</v>
          </cell>
          <cell r="AB1883">
            <v>1619.9999999999518</v>
          </cell>
        </row>
        <row r="1884">
          <cell r="D1884">
            <v>12</v>
          </cell>
          <cell r="AB1884">
            <v>2399.9999999999982</v>
          </cell>
        </row>
        <row r="1885">
          <cell r="D1885">
            <v>12</v>
          </cell>
          <cell r="AB1885">
            <v>1619.9999999999518</v>
          </cell>
        </row>
        <row r="1886">
          <cell r="D1886">
            <v>12</v>
          </cell>
          <cell r="AB1886">
            <v>180.00000000000722</v>
          </cell>
        </row>
        <row r="1887">
          <cell r="D1887">
            <v>12</v>
          </cell>
          <cell r="AB1887">
            <v>180.00000000000722</v>
          </cell>
        </row>
        <row r="1888">
          <cell r="D1888">
            <v>12</v>
          </cell>
          <cell r="AB1888">
            <v>1465.2</v>
          </cell>
          <cell r="AE1888">
            <v>1</v>
          </cell>
        </row>
        <row r="1889">
          <cell r="D1889">
            <v>12</v>
          </cell>
          <cell r="AB1889">
            <v>180.00000000000722</v>
          </cell>
        </row>
        <row r="1890">
          <cell r="D1890">
            <v>12</v>
          </cell>
          <cell r="AB1890">
            <v>180.00000000000722</v>
          </cell>
        </row>
        <row r="1891">
          <cell r="D1891">
            <v>12</v>
          </cell>
          <cell r="AB1891">
            <v>450.00000000001796</v>
          </cell>
          <cell r="AE1891">
            <v>1</v>
          </cell>
        </row>
        <row r="1892">
          <cell r="D1892">
            <v>12</v>
          </cell>
          <cell r="AB1892">
            <v>450.00000000001796</v>
          </cell>
        </row>
        <row r="1893">
          <cell r="D1893">
            <v>12</v>
          </cell>
          <cell r="AB1893">
            <v>450.00000000001796</v>
          </cell>
        </row>
        <row r="1894">
          <cell r="D1894">
            <v>12</v>
          </cell>
          <cell r="AB1894">
            <v>450.00000000001796</v>
          </cell>
        </row>
        <row r="1895">
          <cell r="D1895">
            <v>12</v>
          </cell>
          <cell r="AB1895">
            <v>450.00000000001796</v>
          </cell>
        </row>
        <row r="1896">
          <cell r="D1896">
            <v>12</v>
          </cell>
          <cell r="AB1896">
            <v>291.59999999999138</v>
          </cell>
        </row>
        <row r="1897">
          <cell r="D1897">
            <v>12</v>
          </cell>
          <cell r="AB1897">
            <v>291.59999999999138</v>
          </cell>
        </row>
        <row r="1898">
          <cell r="D1898">
            <v>12</v>
          </cell>
          <cell r="AB1898">
            <v>291.59999999999138</v>
          </cell>
        </row>
        <row r="1899">
          <cell r="D1899">
            <v>12</v>
          </cell>
          <cell r="AB1899">
            <v>291.59999999999138</v>
          </cell>
        </row>
        <row r="1900">
          <cell r="D1900">
            <v>12</v>
          </cell>
          <cell r="AB1900">
            <v>291.59999999999138</v>
          </cell>
        </row>
        <row r="1901">
          <cell r="D1901">
            <v>12</v>
          </cell>
          <cell r="AB1901">
            <v>323.99999999999039</v>
          </cell>
        </row>
        <row r="1902">
          <cell r="D1902">
            <v>12</v>
          </cell>
          <cell r="AB1902">
            <v>323.99999999999039</v>
          </cell>
        </row>
        <row r="1903">
          <cell r="D1903">
            <v>12</v>
          </cell>
          <cell r="AB1903">
            <v>323.99999999999039</v>
          </cell>
        </row>
        <row r="1904">
          <cell r="D1904">
            <v>12</v>
          </cell>
          <cell r="AB1904">
            <v>323.99999999999039</v>
          </cell>
        </row>
        <row r="1905">
          <cell r="D1905">
            <v>12</v>
          </cell>
          <cell r="AB1905">
            <v>323.99999999999039</v>
          </cell>
        </row>
        <row r="1906">
          <cell r="D1906">
            <v>12</v>
          </cell>
          <cell r="AB1906">
            <v>323.99999999999039</v>
          </cell>
        </row>
        <row r="1907">
          <cell r="D1907">
            <v>12</v>
          </cell>
          <cell r="AB1907">
            <v>323.99999999999039</v>
          </cell>
        </row>
        <row r="1908">
          <cell r="D1908">
            <v>12</v>
          </cell>
          <cell r="AB1908">
            <v>323.99999999999039</v>
          </cell>
        </row>
        <row r="1909">
          <cell r="D1909">
            <v>12</v>
          </cell>
          <cell r="AB1909">
            <v>809.9999999999759</v>
          </cell>
        </row>
        <row r="1910">
          <cell r="D1910">
            <v>12</v>
          </cell>
          <cell r="AB1910">
            <v>809.9999999999759</v>
          </cell>
        </row>
        <row r="1911">
          <cell r="D1911">
            <v>12</v>
          </cell>
          <cell r="AB1911">
            <v>809.9999999999759</v>
          </cell>
        </row>
        <row r="1912">
          <cell r="D1912">
            <v>12</v>
          </cell>
          <cell r="AB1912">
            <v>809.9999999999759</v>
          </cell>
        </row>
        <row r="1913">
          <cell r="D1913">
            <v>12</v>
          </cell>
          <cell r="AB1913">
            <v>809.9999999999759</v>
          </cell>
        </row>
        <row r="1914">
          <cell r="D1914">
            <v>12</v>
          </cell>
          <cell r="AB1914">
            <v>485.99999999998556</v>
          </cell>
        </row>
        <row r="1915">
          <cell r="D1915">
            <v>12</v>
          </cell>
          <cell r="AB1915">
            <v>485.99999999998556</v>
          </cell>
        </row>
        <row r="1916">
          <cell r="D1916">
            <v>12</v>
          </cell>
          <cell r="AB1916">
            <v>485.99999999998556</v>
          </cell>
        </row>
        <row r="1917">
          <cell r="D1917">
            <v>12</v>
          </cell>
          <cell r="AB1917">
            <v>485.99999999998556</v>
          </cell>
        </row>
        <row r="1918">
          <cell r="D1918">
            <v>12</v>
          </cell>
          <cell r="AB1918">
            <v>485.99999999998556</v>
          </cell>
        </row>
        <row r="1919">
          <cell r="D1919">
            <v>12</v>
          </cell>
          <cell r="AB1919">
            <v>180.00000000000722</v>
          </cell>
        </row>
        <row r="1920">
          <cell r="D1920">
            <v>12</v>
          </cell>
          <cell r="AB1920">
            <v>180.00000000000722</v>
          </cell>
        </row>
        <row r="1921">
          <cell r="D1921">
            <v>12</v>
          </cell>
          <cell r="AB1921">
            <v>180.00000000000722</v>
          </cell>
        </row>
        <row r="1922">
          <cell r="D1922">
            <v>12</v>
          </cell>
          <cell r="AB1922">
            <v>180.00000000000722</v>
          </cell>
        </row>
        <row r="1923">
          <cell r="D1923">
            <v>12</v>
          </cell>
          <cell r="AB1923">
            <v>1425.0000000000032</v>
          </cell>
          <cell r="AE1923">
            <v>1</v>
          </cell>
        </row>
        <row r="1924">
          <cell r="D1924">
            <v>12</v>
          </cell>
          <cell r="AB1924">
            <v>600.00000000000978</v>
          </cell>
          <cell r="AE1924" t="str">
            <v>İ</v>
          </cell>
        </row>
        <row r="1925">
          <cell r="D1925">
            <v>12</v>
          </cell>
          <cell r="AB1925">
            <v>450.00000000001796</v>
          </cell>
          <cell r="AE1925">
            <v>1</v>
          </cell>
        </row>
        <row r="1926">
          <cell r="D1926">
            <v>12</v>
          </cell>
          <cell r="AB1926">
            <v>1619.9999999999518</v>
          </cell>
        </row>
        <row r="1927">
          <cell r="D1927">
            <v>12</v>
          </cell>
          <cell r="AB1927">
            <v>1619.9999999999518</v>
          </cell>
        </row>
        <row r="1928">
          <cell r="D1928">
            <v>12</v>
          </cell>
          <cell r="AB1928">
            <v>450.00000000001796</v>
          </cell>
        </row>
        <row r="1929">
          <cell r="D1929">
            <v>12</v>
          </cell>
          <cell r="AB1929">
            <v>450.00000000001796</v>
          </cell>
        </row>
        <row r="1930">
          <cell r="D1930">
            <v>12</v>
          </cell>
          <cell r="AB1930">
            <v>450.00000000001796</v>
          </cell>
        </row>
        <row r="1931">
          <cell r="D1931">
            <v>12</v>
          </cell>
          <cell r="AB1931">
            <v>450.00000000001796</v>
          </cell>
        </row>
        <row r="1932">
          <cell r="D1932">
            <v>12</v>
          </cell>
          <cell r="AB1932">
            <v>180.00000000000722</v>
          </cell>
        </row>
        <row r="1933">
          <cell r="D1933">
            <v>12</v>
          </cell>
          <cell r="AB1933">
            <v>180.00000000000722</v>
          </cell>
        </row>
        <row r="1934">
          <cell r="D1934">
            <v>12</v>
          </cell>
          <cell r="AB1934">
            <v>180.00000000000722</v>
          </cell>
        </row>
        <row r="1935">
          <cell r="D1935">
            <v>12</v>
          </cell>
          <cell r="AB1935">
            <v>180.00000000000722</v>
          </cell>
        </row>
        <row r="1936">
          <cell r="D1936">
            <v>12</v>
          </cell>
          <cell r="AB1936">
            <v>291.59999999999138</v>
          </cell>
        </row>
        <row r="1937">
          <cell r="D1937">
            <v>12</v>
          </cell>
          <cell r="AB1937">
            <v>291.59999999999138</v>
          </cell>
        </row>
        <row r="1938">
          <cell r="D1938">
            <v>12</v>
          </cell>
          <cell r="AB1938">
            <v>291.59999999999138</v>
          </cell>
        </row>
        <row r="1939">
          <cell r="D1939">
            <v>12</v>
          </cell>
          <cell r="AB1939">
            <v>291.59999999999138</v>
          </cell>
        </row>
        <row r="1940">
          <cell r="D1940">
            <v>12</v>
          </cell>
          <cell r="AB1940">
            <v>291.59999999999138</v>
          </cell>
        </row>
        <row r="1941">
          <cell r="D1941">
            <v>12</v>
          </cell>
          <cell r="AB1941">
            <v>291.59999999999138</v>
          </cell>
        </row>
        <row r="1942">
          <cell r="D1942">
            <v>12</v>
          </cell>
          <cell r="AB1942">
            <v>291.59999999999138</v>
          </cell>
        </row>
        <row r="1943">
          <cell r="D1943">
            <v>12</v>
          </cell>
          <cell r="AB1943">
            <v>291.59999999999138</v>
          </cell>
        </row>
        <row r="1944">
          <cell r="D1944">
            <v>12</v>
          </cell>
          <cell r="AB1944">
            <v>450.00000000001796</v>
          </cell>
        </row>
        <row r="1945">
          <cell r="D1945">
            <v>12</v>
          </cell>
          <cell r="AB1945">
            <v>450.00000000001796</v>
          </cell>
        </row>
        <row r="1946">
          <cell r="D1946">
            <v>12</v>
          </cell>
          <cell r="AB1946">
            <v>1016.52</v>
          </cell>
          <cell r="AE1946">
            <v>1</v>
          </cell>
        </row>
        <row r="1947">
          <cell r="D1947">
            <v>12</v>
          </cell>
          <cell r="AB1947">
            <v>450.00000000001796</v>
          </cell>
        </row>
        <row r="1948">
          <cell r="D1948">
            <v>12</v>
          </cell>
          <cell r="AB1948">
            <v>291.59999999999138</v>
          </cell>
        </row>
        <row r="1949">
          <cell r="D1949">
            <v>12</v>
          </cell>
          <cell r="AB1949">
            <v>291.59999999999138</v>
          </cell>
        </row>
        <row r="1950">
          <cell r="D1950">
            <v>12</v>
          </cell>
          <cell r="AB1950">
            <v>291.59999999999138</v>
          </cell>
        </row>
        <row r="1951">
          <cell r="D1951">
            <v>12</v>
          </cell>
          <cell r="AB1951">
            <v>291.59999999999138</v>
          </cell>
        </row>
        <row r="1952">
          <cell r="D1952">
            <v>12</v>
          </cell>
          <cell r="AB1952">
            <v>291.59999999999138</v>
          </cell>
        </row>
        <row r="1953">
          <cell r="D1953">
            <v>12</v>
          </cell>
          <cell r="AB1953">
            <v>291.59999999999138</v>
          </cell>
        </row>
        <row r="1954">
          <cell r="D1954">
            <v>12</v>
          </cell>
          <cell r="AB1954">
            <v>291.59999999999138</v>
          </cell>
        </row>
        <row r="1955">
          <cell r="D1955">
            <v>12</v>
          </cell>
          <cell r="AB1955">
            <v>291.59999999999138</v>
          </cell>
        </row>
        <row r="1956">
          <cell r="D1956">
            <v>12</v>
          </cell>
          <cell r="AB1956">
            <v>291.59999999999138</v>
          </cell>
        </row>
        <row r="1957">
          <cell r="D1957">
            <v>12</v>
          </cell>
          <cell r="AB1957">
            <v>291.59999999999138</v>
          </cell>
        </row>
        <row r="1958">
          <cell r="D1958">
            <v>12</v>
          </cell>
          <cell r="AB1958">
            <v>1295.9999999999616</v>
          </cell>
        </row>
        <row r="1959">
          <cell r="D1959">
            <v>12</v>
          </cell>
          <cell r="AB1959">
            <v>995.87999999999988</v>
          </cell>
          <cell r="AE1959">
            <v>1</v>
          </cell>
        </row>
        <row r="1960">
          <cell r="D1960">
            <v>12</v>
          </cell>
          <cell r="AB1960">
            <v>1295.9999999999616</v>
          </cell>
        </row>
        <row r="1961">
          <cell r="D1961">
            <v>12</v>
          </cell>
          <cell r="AB1961">
            <v>1295.9999999999616</v>
          </cell>
        </row>
        <row r="1962">
          <cell r="D1962">
            <v>12</v>
          </cell>
          <cell r="AB1962">
            <v>291.59999999999138</v>
          </cell>
        </row>
        <row r="1963">
          <cell r="D1963">
            <v>12</v>
          </cell>
          <cell r="AB1963">
            <v>291.59999999999138</v>
          </cell>
        </row>
        <row r="1964">
          <cell r="D1964">
            <v>12</v>
          </cell>
          <cell r="AB1964">
            <v>291.59999999999138</v>
          </cell>
        </row>
        <row r="1965">
          <cell r="D1965">
            <v>12</v>
          </cell>
          <cell r="AB1965">
            <v>291.59999999999138</v>
          </cell>
        </row>
        <row r="1966">
          <cell r="D1966">
            <v>12</v>
          </cell>
          <cell r="AB1966">
            <v>291.59999999999138</v>
          </cell>
        </row>
        <row r="1967">
          <cell r="D1967">
            <v>12</v>
          </cell>
          <cell r="AB1967">
            <v>180.00000000000722</v>
          </cell>
        </row>
        <row r="1968">
          <cell r="D1968">
            <v>12</v>
          </cell>
          <cell r="AB1968">
            <v>180.00000000000722</v>
          </cell>
        </row>
        <row r="1969">
          <cell r="D1969">
            <v>12</v>
          </cell>
          <cell r="AB1969">
            <v>1775.3999999999999</v>
          </cell>
          <cell r="AE1969">
            <v>1</v>
          </cell>
        </row>
        <row r="1970">
          <cell r="D1970">
            <v>12</v>
          </cell>
          <cell r="AB1970">
            <v>180.00000000000722</v>
          </cell>
        </row>
        <row r="1971">
          <cell r="D1971">
            <v>12</v>
          </cell>
          <cell r="AB1971">
            <v>180.00000000000722</v>
          </cell>
        </row>
        <row r="1972">
          <cell r="D1972">
            <v>12</v>
          </cell>
          <cell r="AB1972">
            <v>1619.9999999999518</v>
          </cell>
        </row>
        <row r="1973">
          <cell r="D1973">
            <v>12</v>
          </cell>
          <cell r="AB1973">
            <v>1619.9999999999518</v>
          </cell>
        </row>
        <row r="1974">
          <cell r="D1974">
            <v>12</v>
          </cell>
          <cell r="AB1974">
            <v>291.59999999999138</v>
          </cell>
          <cell r="AE1974">
            <v>1</v>
          </cell>
        </row>
        <row r="1975">
          <cell r="D1975">
            <v>12</v>
          </cell>
          <cell r="AB1975">
            <v>1619.9999999999518</v>
          </cell>
        </row>
        <row r="1976">
          <cell r="D1976">
            <v>12</v>
          </cell>
          <cell r="AB1976">
            <v>1619.9999999999518</v>
          </cell>
        </row>
        <row r="1977">
          <cell r="D1977">
            <v>12</v>
          </cell>
          <cell r="AB1977">
            <v>180.00000000000722</v>
          </cell>
        </row>
        <row r="1978">
          <cell r="D1978">
            <v>12</v>
          </cell>
          <cell r="AB1978">
            <v>180.00000000000722</v>
          </cell>
        </row>
        <row r="1979">
          <cell r="D1979">
            <v>12</v>
          </cell>
          <cell r="AB1979">
            <v>180.00000000000722</v>
          </cell>
        </row>
        <row r="1980">
          <cell r="D1980">
            <v>12</v>
          </cell>
          <cell r="AB1980">
            <v>180.00000000000722</v>
          </cell>
        </row>
        <row r="1981">
          <cell r="D1981">
            <v>12</v>
          </cell>
          <cell r="AB1981">
            <v>180.00000000000722</v>
          </cell>
        </row>
        <row r="1982">
          <cell r="D1982">
            <v>12</v>
          </cell>
          <cell r="AB1982">
            <v>485.99999999998556</v>
          </cell>
        </row>
        <row r="1983">
          <cell r="D1983">
            <v>12</v>
          </cell>
          <cell r="AB1983">
            <v>485.99999999998556</v>
          </cell>
        </row>
        <row r="1984">
          <cell r="D1984">
            <v>12</v>
          </cell>
          <cell r="AB1984">
            <v>485.99999999998556</v>
          </cell>
        </row>
        <row r="1985">
          <cell r="D1985">
            <v>12</v>
          </cell>
          <cell r="AB1985">
            <v>485.99999999998556</v>
          </cell>
        </row>
        <row r="1986">
          <cell r="D1986">
            <v>12</v>
          </cell>
          <cell r="AB1986">
            <v>180.00000000000722</v>
          </cell>
        </row>
        <row r="1987">
          <cell r="D1987">
            <v>12</v>
          </cell>
          <cell r="AB1987">
            <v>180.00000000000722</v>
          </cell>
        </row>
        <row r="1988">
          <cell r="D1988">
            <v>12</v>
          </cell>
          <cell r="AB1988">
            <v>180.00000000000722</v>
          </cell>
        </row>
        <row r="1989">
          <cell r="D1989">
            <v>12</v>
          </cell>
          <cell r="AB1989">
            <v>180.00000000000722</v>
          </cell>
        </row>
        <row r="1990">
          <cell r="D1990">
            <v>12</v>
          </cell>
          <cell r="AB1990">
            <v>180.00000000000722</v>
          </cell>
        </row>
        <row r="1991">
          <cell r="D1991">
            <v>12</v>
          </cell>
          <cell r="AB1991">
            <v>485.99999999998556</v>
          </cell>
        </row>
        <row r="1992">
          <cell r="D1992">
            <v>12</v>
          </cell>
          <cell r="AB1992">
            <v>485.99999999998556</v>
          </cell>
        </row>
        <row r="1993">
          <cell r="D1993">
            <v>12</v>
          </cell>
          <cell r="AB1993">
            <v>485.99999999998556</v>
          </cell>
        </row>
        <row r="1994">
          <cell r="D1994">
            <v>12</v>
          </cell>
          <cell r="AB1994">
            <v>485.99999999998556</v>
          </cell>
        </row>
        <row r="1995">
          <cell r="D1995">
            <v>12</v>
          </cell>
          <cell r="AB1995">
            <v>180.00000000000722</v>
          </cell>
        </row>
        <row r="1996">
          <cell r="D1996">
            <v>12</v>
          </cell>
          <cell r="AB1996">
            <v>180.00000000000722</v>
          </cell>
        </row>
        <row r="1997">
          <cell r="D1997">
            <v>12</v>
          </cell>
          <cell r="AB1997">
            <v>180.00000000000722</v>
          </cell>
        </row>
        <row r="1998">
          <cell r="D1998">
            <v>12</v>
          </cell>
          <cell r="AB1998">
            <v>180.00000000000722</v>
          </cell>
        </row>
        <row r="1999">
          <cell r="D1999">
            <v>12</v>
          </cell>
          <cell r="AB1999">
            <v>2399.9999999999982</v>
          </cell>
        </row>
        <row r="2000">
          <cell r="D2000">
            <v>12</v>
          </cell>
          <cell r="AB2000">
            <v>180.00000000000722</v>
          </cell>
        </row>
        <row r="2001">
          <cell r="D2001">
            <v>12</v>
          </cell>
          <cell r="AB2001">
            <v>180.00000000000722</v>
          </cell>
        </row>
        <row r="2002">
          <cell r="D2002">
            <v>12</v>
          </cell>
          <cell r="AB2002">
            <v>180.00000000000722</v>
          </cell>
        </row>
        <row r="2003">
          <cell r="D2003">
            <v>12</v>
          </cell>
          <cell r="AB2003">
            <v>180.00000000000722</v>
          </cell>
        </row>
        <row r="2004">
          <cell r="D2004">
            <v>12</v>
          </cell>
          <cell r="AB2004">
            <v>767.52</v>
          </cell>
          <cell r="AE2004">
            <v>1</v>
          </cell>
        </row>
        <row r="2005">
          <cell r="D2005">
            <v>12</v>
          </cell>
          <cell r="AB2005">
            <v>180.00000000000722</v>
          </cell>
          <cell r="AE2005">
            <v>1</v>
          </cell>
        </row>
        <row r="2006">
          <cell r="D2006">
            <v>12</v>
          </cell>
          <cell r="AB2006">
            <v>600.00000000000978</v>
          </cell>
          <cell r="AE2006">
            <v>1</v>
          </cell>
        </row>
        <row r="2007">
          <cell r="D2007">
            <v>12</v>
          </cell>
          <cell r="AB2007">
            <v>180.00000000000722</v>
          </cell>
          <cell r="AE2007">
            <v>1</v>
          </cell>
        </row>
        <row r="2008">
          <cell r="D2008">
            <v>12</v>
          </cell>
          <cell r="AB2008">
            <v>1619.9999999999518</v>
          </cell>
        </row>
        <row r="2009">
          <cell r="D2009">
            <v>12</v>
          </cell>
          <cell r="AB2009">
            <v>1619.9999999999518</v>
          </cell>
        </row>
        <row r="2010">
          <cell r="D2010">
            <v>12</v>
          </cell>
          <cell r="AB2010">
            <v>1619.9999999999518</v>
          </cell>
        </row>
        <row r="2011">
          <cell r="D2011">
            <v>12</v>
          </cell>
          <cell r="AB2011">
            <v>450.00000000001796</v>
          </cell>
          <cell r="AE2011">
            <v>1</v>
          </cell>
        </row>
        <row r="2012">
          <cell r="D2012">
            <v>12</v>
          </cell>
          <cell r="AB2012">
            <v>450.00000000001796</v>
          </cell>
          <cell r="AE2012">
            <v>1</v>
          </cell>
        </row>
        <row r="2013">
          <cell r="D2013">
            <v>12</v>
          </cell>
          <cell r="AB2013">
            <v>2399.9999999999982</v>
          </cell>
          <cell r="AE2013">
            <v>1</v>
          </cell>
        </row>
        <row r="2014">
          <cell r="D2014">
            <v>12</v>
          </cell>
          <cell r="AB2014">
            <v>809.9999999999759</v>
          </cell>
        </row>
        <row r="2015">
          <cell r="D2015">
            <v>12</v>
          </cell>
          <cell r="AB2015">
            <v>809.9999999999759</v>
          </cell>
        </row>
        <row r="2016">
          <cell r="D2016">
            <v>12</v>
          </cell>
          <cell r="AB2016">
            <v>54.00000000000216</v>
          </cell>
        </row>
        <row r="2017">
          <cell r="D2017">
            <v>12</v>
          </cell>
          <cell r="AB2017">
            <v>54.00000000000216</v>
          </cell>
        </row>
        <row r="2018">
          <cell r="D2018">
            <v>12</v>
          </cell>
          <cell r="AB2018">
            <v>54.00000000000216</v>
          </cell>
        </row>
        <row r="2019">
          <cell r="D2019">
            <v>12</v>
          </cell>
          <cell r="AB2019">
            <v>54.00000000000216</v>
          </cell>
        </row>
        <row r="2020">
          <cell r="D2020">
            <v>12</v>
          </cell>
          <cell r="AB2020">
            <v>180.00000000000722</v>
          </cell>
        </row>
        <row r="2021">
          <cell r="D2021">
            <v>12</v>
          </cell>
          <cell r="AB2021">
            <v>180.00000000000722</v>
          </cell>
        </row>
        <row r="2022">
          <cell r="D2022">
            <v>12</v>
          </cell>
          <cell r="AB2022">
            <v>180.00000000000722</v>
          </cell>
        </row>
        <row r="2023">
          <cell r="D2023">
            <v>12</v>
          </cell>
          <cell r="AB2023">
            <v>180.00000000000722</v>
          </cell>
        </row>
        <row r="2024">
          <cell r="D2024">
            <v>12</v>
          </cell>
          <cell r="AB2024">
            <v>450.00000000001796</v>
          </cell>
        </row>
        <row r="2025">
          <cell r="D2025">
            <v>12</v>
          </cell>
          <cell r="AB2025">
            <v>450.00000000001796</v>
          </cell>
        </row>
        <row r="2026">
          <cell r="D2026">
            <v>12</v>
          </cell>
          <cell r="AB2026">
            <v>450.00000000001796</v>
          </cell>
        </row>
        <row r="2027">
          <cell r="D2027">
            <v>12</v>
          </cell>
          <cell r="AB2027">
            <v>450.00000000001796</v>
          </cell>
        </row>
        <row r="2028">
          <cell r="D2028">
            <v>12</v>
          </cell>
          <cell r="AB2028">
            <v>485.99999999998556</v>
          </cell>
        </row>
        <row r="2029">
          <cell r="D2029">
            <v>12</v>
          </cell>
          <cell r="AB2029">
            <v>485.99999999998556</v>
          </cell>
        </row>
        <row r="2030">
          <cell r="D2030">
            <v>12</v>
          </cell>
          <cell r="AB2030">
            <v>485.99999999998556</v>
          </cell>
        </row>
        <row r="2031">
          <cell r="D2031">
            <v>12</v>
          </cell>
          <cell r="AB2031">
            <v>485.99999999998556</v>
          </cell>
        </row>
        <row r="2032">
          <cell r="D2032">
            <v>12</v>
          </cell>
          <cell r="AB2032">
            <v>97.199999999997118</v>
          </cell>
        </row>
        <row r="2033">
          <cell r="D2033">
            <v>12</v>
          </cell>
          <cell r="AB2033">
            <v>97.199999999997118</v>
          </cell>
        </row>
        <row r="2034">
          <cell r="D2034">
            <v>12</v>
          </cell>
          <cell r="AB2034">
            <v>97.199999999997118</v>
          </cell>
        </row>
        <row r="2035">
          <cell r="D2035">
            <v>12</v>
          </cell>
          <cell r="AB2035">
            <v>97.199999999997118</v>
          </cell>
        </row>
        <row r="2036">
          <cell r="D2036">
            <v>12</v>
          </cell>
          <cell r="AB2036">
            <v>324.00000000001296</v>
          </cell>
        </row>
        <row r="2037">
          <cell r="D2037">
            <v>12</v>
          </cell>
          <cell r="AB2037">
            <v>324.00000000001296</v>
          </cell>
        </row>
        <row r="2038">
          <cell r="D2038">
            <v>12</v>
          </cell>
          <cell r="AB2038">
            <v>324.00000000001296</v>
          </cell>
        </row>
        <row r="2039">
          <cell r="D2039">
            <v>12</v>
          </cell>
          <cell r="AB2039">
            <v>324.00000000001296</v>
          </cell>
        </row>
        <row r="2040">
          <cell r="D2040">
            <v>12</v>
          </cell>
          <cell r="AB2040">
            <v>450.00000000001796</v>
          </cell>
        </row>
        <row r="2041">
          <cell r="D2041">
            <v>12</v>
          </cell>
          <cell r="AB2041">
            <v>450.00000000001796</v>
          </cell>
        </row>
        <row r="2042">
          <cell r="D2042">
            <v>12</v>
          </cell>
          <cell r="AB2042">
            <v>450.00000000001796</v>
          </cell>
        </row>
        <row r="2043">
          <cell r="D2043">
            <v>12</v>
          </cell>
          <cell r="AB2043">
            <v>450.00000000001796</v>
          </cell>
        </row>
        <row r="2044">
          <cell r="D2044">
            <v>12</v>
          </cell>
          <cell r="AB2044">
            <v>450.00000000001796</v>
          </cell>
        </row>
        <row r="2045">
          <cell r="D2045">
            <v>12</v>
          </cell>
          <cell r="AB2045">
            <v>1295.9999999999616</v>
          </cell>
        </row>
        <row r="2046">
          <cell r="D2046">
            <v>12</v>
          </cell>
          <cell r="AB2046">
            <v>1295.9999999999616</v>
          </cell>
        </row>
        <row r="2047">
          <cell r="D2047">
            <v>12</v>
          </cell>
          <cell r="AB2047">
            <v>1295.9999999999616</v>
          </cell>
        </row>
        <row r="2048">
          <cell r="D2048">
            <v>12</v>
          </cell>
          <cell r="AB2048">
            <v>1295.9999999999616</v>
          </cell>
        </row>
        <row r="2049">
          <cell r="D2049">
            <v>12</v>
          </cell>
          <cell r="AB2049">
            <v>450.00000000001796</v>
          </cell>
        </row>
        <row r="2050">
          <cell r="D2050">
            <v>12</v>
          </cell>
          <cell r="AB2050">
            <v>450.00000000001796</v>
          </cell>
        </row>
        <row r="2051">
          <cell r="D2051">
            <v>12</v>
          </cell>
          <cell r="AB2051">
            <v>450.00000000001796</v>
          </cell>
        </row>
        <row r="2052">
          <cell r="D2052">
            <v>12</v>
          </cell>
          <cell r="AB2052">
            <v>450.00000000001796</v>
          </cell>
        </row>
        <row r="2053">
          <cell r="D2053">
            <v>12</v>
          </cell>
          <cell r="AB2053">
            <v>450.00000000001796</v>
          </cell>
        </row>
        <row r="2054">
          <cell r="D2054">
            <v>12</v>
          </cell>
          <cell r="AB2054">
            <v>180.00000000000722</v>
          </cell>
        </row>
        <row r="2055">
          <cell r="D2055">
            <v>12</v>
          </cell>
          <cell r="AB2055">
            <v>180.00000000000722</v>
          </cell>
        </row>
        <row r="2056">
          <cell r="D2056">
            <v>12</v>
          </cell>
          <cell r="AB2056">
            <v>180.00000000000722</v>
          </cell>
        </row>
        <row r="2057">
          <cell r="D2057">
            <v>12</v>
          </cell>
          <cell r="AB2057">
            <v>180.00000000000722</v>
          </cell>
        </row>
        <row r="2058">
          <cell r="D2058">
            <v>12</v>
          </cell>
          <cell r="AB2058">
            <v>855.00000000003433</v>
          </cell>
        </row>
        <row r="2059">
          <cell r="D2059">
            <v>12</v>
          </cell>
          <cell r="AB2059">
            <v>855.00000000003433</v>
          </cell>
        </row>
        <row r="2060">
          <cell r="D2060">
            <v>12</v>
          </cell>
          <cell r="AB2060">
            <v>855.00000000003433</v>
          </cell>
        </row>
        <row r="2061">
          <cell r="D2061">
            <v>12</v>
          </cell>
          <cell r="AB2061">
            <v>855.00000000003433</v>
          </cell>
        </row>
        <row r="2062">
          <cell r="D2062">
            <v>12</v>
          </cell>
          <cell r="AB2062">
            <v>180.00000000000722</v>
          </cell>
        </row>
        <row r="2063">
          <cell r="D2063">
            <v>12</v>
          </cell>
          <cell r="AB2063">
            <v>180.00000000000722</v>
          </cell>
        </row>
        <row r="2064">
          <cell r="D2064">
            <v>12</v>
          </cell>
          <cell r="AB2064">
            <v>180.00000000000722</v>
          </cell>
        </row>
        <row r="2065">
          <cell r="D2065">
            <v>12</v>
          </cell>
          <cell r="AB2065">
            <v>180.00000000000722</v>
          </cell>
        </row>
        <row r="2066">
          <cell r="D2066">
            <v>12</v>
          </cell>
          <cell r="AB2066">
            <v>450.00000000001796</v>
          </cell>
        </row>
        <row r="2067">
          <cell r="D2067">
            <v>12</v>
          </cell>
          <cell r="AB2067">
            <v>450.00000000001796</v>
          </cell>
        </row>
        <row r="2068">
          <cell r="D2068">
            <v>12</v>
          </cell>
          <cell r="AB2068">
            <v>450.00000000001796</v>
          </cell>
        </row>
        <row r="2069">
          <cell r="D2069">
            <v>12</v>
          </cell>
          <cell r="AB2069">
            <v>450.00000000001796</v>
          </cell>
        </row>
        <row r="2070">
          <cell r="D2070">
            <v>12</v>
          </cell>
          <cell r="AB2070">
            <v>450.00000000001796</v>
          </cell>
        </row>
        <row r="2071">
          <cell r="D2071">
            <v>12</v>
          </cell>
          <cell r="AB2071">
            <v>450.00000000001796</v>
          </cell>
        </row>
        <row r="2072">
          <cell r="D2072">
            <v>12</v>
          </cell>
          <cell r="AB2072">
            <v>450.00000000001796</v>
          </cell>
        </row>
        <row r="2073">
          <cell r="D2073">
            <v>12</v>
          </cell>
          <cell r="AB2073">
            <v>450.00000000001796</v>
          </cell>
        </row>
        <row r="2074">
          <cell r="D2074">
            <v>12</v>
          </cell>
          <cell r="AB2074">
            <v>855.00000000003433</v>
          </cell>
        </row>
        <row r="2075">
          <cell r="D2075">
            <v>12</v>
          </cell>
          <cell r="AB2075">
            <v>855.00000000003433</v>
          </cell>
        </row>
        <row r="2076">
          <cell r="D2076">
            <v>12</v>
          </cell>
          <cell r="AB2076">
            <v>855.00000000003433</v>
          </cell>
        </row>
        <row r="2077">
          <cell r="D2077">
            <v>12</v>
          </cell>
          <cell r="AB2077">
            <v>855.00000000003433</v>
          </cell>
        </row>
        <row r="2078">
          <cell r="D2078">
            <v>12</v>
          </cell>
          <cell r="AB2078">
            <v>855.00000000003433</v>
          </cell>
        </row>
        <row r="2079">
          <cell r="D2079">
            <v>12</v>
          </cell>
          <cell r="AB2079">
            <v>180.00000000000722</v>
          </cell>
          <cell r="AE2079">
            <v>1</v>
          </cell>
        </row>
        <row r="2080">
          <cell r="D2080">
            <v>12</v>
          </cell>
          <cell r="AB2080">
            <v>180.00000000000722</v>
          </cell>
        </row>
        <row r="2081">
          <cell r="D2081">
            <v>12</v>
          </cell>
          <cell r="AB2081">
            <v>344.99999999999994</v>
          </cell>
          <cell r="AE2081">
            <v>1</v>
          </cell>
        </row>
        <row r="2082">
          <cell r="D2082">
            <v>12</v>
          </cell>
          <cell r="AB2082">
            <v>180.00000000000722</v>
          </cell>
        </row>
        <row r="2083">
          <cell r="D2083">
            <v>12</v>
          </cell>
          <cell r="AB2083">
            <v>180.00000000000722</v>
          </cell>
        </row>
        <row r="2084">
          <cell r="D2084">
            <v>12</v>
          </cell>
          <cell r="AB2084">
            <v>180.00000000000722</v>
          </cell>
        </row>
        <row r="2085">
          <cell r="D2085">
            <v>12</v>
          </cell>
          <cell r="AB2085">
            <v>180.00000000000722</v>
          </cell>
        </row>
        <row r="2086">
          <cell r="D2086">
            <v>12</v>
          </cell>
          <cell r="AB2086">
            <v>180.00000000000722</v>
          </cell>
        </row>
        <row r="2087">
          <cell r="D2087">
            <v>12</v>
          </cell>
          <cell r="AB2087">
            <v>180.00000000000722</v>
          </cell>
        </row>
        <row r="2088">
          <cell r="D2088">
            <v>12</v>
          </cell>
          <cell r="AB2088">
            <v>180.00000000000722</v>
          </cell>
        </row>
        <row r="2089">
          <cell r="D2089">
            <v>12</v>
          </cell>
          <cell r="AB2089">
            <v>180.00000000000722</v>
          </cell>
        </row>
        <row r="2090">
          <cell r="D2090">
            <v>12</v>
          </cell>
          <cell r="AB2090">
            <v>180.00000000000722</v>
          </cell>
        </row>
        <row r="2091">
          <cell r="D2091">
            <v>12</v>
          </cell>
          <cell r="AB2091">
            <v>180.00000000000722</v>
          </cell>
        </row>
        <row r="2092">
          <cell r="D2092">
            <v>12</v>
          </cell>
          <cell r="AB2092">
            <v>1452.0000000000002</v>
          </cell>
          <cell r="AE2092">
            <v>1</v>
          </cell>
        </row>
        <row r="2093">
          <cell r="D2093">
            <v>12</v>
          </cell>
          <cell r="AB2093">
            <v>855.00000000003433</v>
          </cell>
        </row>
        <row r="2094">
          <cell r="D2094">
            <v>12</v>
          </cell>
          <cell r="AB2094">
            <v>2099.9999999999341</v>
          </cell>
          <cell r="AE2094" t="str">
            <v>İ</v>
          </cell>
        </row>
        <row r="2095">
          <cell r="D2095">
            <v>12</v>
          </cell>
          <cell r="AB2095">
            <v>1679.9999999999475</v>
          </cell>
          <cell r="AE2095">
            <v>1</v>
          </cell>
        </row>
        <row r="2096">
          <cell r="D2096">
            <v>12</v>
          </cell>
          <cell r="AB2096">
            <v>855.00000000003433</v>
          </cell>
        </row>
        <row r="2097">
          <cell r="D2097">
            <v>12</v>
          </cell>
          <cell r="AB2097">
            <v>1619.9999999999518</v>
          </cell>
        </row>
        <row r="2098">
          <cell r="D2098">
            <v>12</v>
          </cell>
          <cell r="AB2098">
            <v>1619.9999999999518</v>
          </cell>
        </row>
        <row r="2099">
          <cell r="D2099">
            <v>12</v>
          </cell>
          <cell r="AB2099">
            <v>1619.9999999999518</v>
          </cell>
        </row>
        <row r="2100">
          <cell r="D2100">
            <v>12</v>
          </cell>
          <cell r="AB2100">
            <v>1619.9999999999518</v>
          </cell>
        </row>
        <row r="2101">
          <cell r="D2101">
            <v>12</v>
          </cell>
          <cell r="AB2101">
            <v>600.00000000000978</v>
          </cell>
        </row>
        <row r="2102">
          <cell r="D2102">
            <v>12</v>
          </cell>
          <cell r="AB2102">
            <v>450.00000000001796</v>
          </cell>
        </row>
        <row r="2103">
          <cell r="D2103">
            <v>12</v>
          </cell>
          <cell r="AB2103">
            <v>450.00000000001796</v>
          </cell>
        </row>
        <row r="2104">
          <cell r="D2104">
            <v>12</v>
          </cell>
          <cell r="AB2104">
            <v>450.00000000001796</v>
          </cell>
        </row>
        <row r="2105">
          <cell r="D2105">
            <v>12</v>
          </cell>
          <cell r="AB2105">
            <v>97.199999999997118</v>
          </cell>
        </row>
        <row r="2106">
          <cell r="D2106">
            <v>12</v>
          </cell>
          <cell r="AB2106">
            <v>97.199999999997118</v>
          </cell>
        </row>
        <row r="2107">
          <cell r="D2107">
            <v>12</v>
          </cell>
          <cell r="AB2107">
            <v>97.199999999997118</v>
          </cell>
        </row>
        <row r="2108">
          <cell r="D2108">
            <v>12</v>
          </cell>
          <cell r="AB2108">
            <v>97.199999999997118</v>
          </cell>
        </row>
        <row r="2109">
          <cell r="D2109">
            <v>12</v>
          </cell>
          <cell r="AB2109">
            <v>97.199999999997118</v>
          </cell>
        </row>
        <row r="2110">
          <cell r="D2110">
            <v>12</v>
          </cell>
          <cell r="AB2110">
            <v>180.00000000000722</v>
          </cell>
        </row>
        <row r="2111">
          <cell r="D2111">
            <v>12</v>
          </cell>
          <cell r="AB2111">
            <v>180.00000000000722</v>
          </cell>
        </row>
        <row r="2112">
          <cell r="D2112">
            <v>12</v>
          </cell>
          <cell r="AB2112">
            <v>180.00000000000722</v>
          </cell>
        </row>
        <row r="2113">
          <cell r="D2113">
            <v>12</v>
          </cell>
          <cell r="AB2113">
            <v>180.00000000000722</v>
          </cell>
        </row>
        <row r="2114">
          <cell r="D2114">
            <v>12</v>
          </cell>
          <cell r="AB2114">
            <v>180.00000000000722</v>
          </cell>
        </row>
        <row r="2115">
          <cell r="D2115">
            <v>12</v>
          </cell>
          <cell r="AB2115">
            <v>180.00000000000722</v>
          </cell>
        </row>
        <row r="2116">
          <cell r="D2116">
            <v>12</v>
          </cell>
          <cell r="AB2116">
            <v>180.00000000000722</v>
          </cell>
        </row>
        <row r="2117">
          <cell r="D2117">
            <v>12</v>
          </cell>
          <cell r="AB2117">
            <v>180.00000000000722</v>
          </cell>
        </row>
        <row r="2118">
          <cell r="D2118">
            <v>12</v>
          </cell>
          <cell r="AB2118">
            <v>180.00000000000722</v>
          </cell>
        </row>
        <row r="2119">
          <cell r="D2119">
            <v>12</v>
          </cell>
          <cell r="AB2119">
            <v>450.00000000001796</v>
          </cell>
        </row>
        <row r="2120">
          <cell r="D2120">
            <v>12</v>
          </cell>
          <cell r="AB2120">
            <v>450.00000000001796</v>
          </cell>
        </row>
        <row r="2121">
          <cell r="D2121">
            <v>12</v>
          </cell>
          <cell r="AB2121">
            <v>210</v>
          </cell>
          <cell r="AE2121">
            <v>1</v>
          </cell>
        </row>
        <row r="2122">
          <cell r="D2122">
            <v>12</v>
          </cell>
          <cell r="AB2122">
            <v>450.00000000001796</v>
          </cell>
        </row>
        <row r="2123">
          <cell r="D2123">
            <v>12</v>
          </cell>
          <cell r="AB2123">
            <v>450.00000000001796</v>
          </cell>
        </row>
        <row r="2124">
          <cell r="D2124">
            <v>12</v>
          </cell>
          <cell r="AB2124">
            <v>1619.9999999999518</v>
          </cell>
        </row>
        <row r="2125">
          <cell r="D2125">
            <v>12</v>
          </cell>
          <cell r="AB2125">
            <v>1619.9999999999518</v>
          </cell>
        </row>
        <row r="2126">
          <cell r="D2126">
            <v>12</v>
          </cell>
          <cell r="AB2126">
            <v>1619.9999999999518</v>
          </cell>
        </row>
        <row r="2127">
          <cell r="D2127">
            <v>12</v>
          </cell>
          <cell r="AB2127">
            <v>1619.9999999999518</v>
          </cell>
        </row>
        <row r="2128">
          <cell r="D2128">
            <v>12</v>
          </cell>
          <cell r="AB2128">
            <v>180.00000000000722</v>
          </cell>
        </row>
        <row r="2129">
          <cell r="D2129">
            <v>12</v>
          </cell>
          <cell r="AB2129">
            <v>180.00000000000722</v>
          </cell>
        </row>
        <row r="2130">
          <cell r="D2130">
            <v>12</v>
          </cell>
          <cell r="AB2130">
            <v>180.00000000000722</v>
          </cell>
        </row>
        <row r="2131">
          <cell r="D2131">
            <v>12</v>
          </cell>
          <cell r="AB2131">
            <v>180.00000000000722</v>
          </cell>
        </row>
        <row r="2132">
          <cell r="D2132">
            <v>12</v>
          </cell>
          <cell r="AB2132">
            <v>1619.9999999999518</v>
          </cell>
        </row>
        <row r="2133">
          <cell r="D2133">
            <v>12</v>
          </cell>
          <cell r="AB2133">
            <v>1619.9999999999518</v>
          </cell>
        </row>
        <row r="2134">
          <cell r="D2134">
            <v>12</v>
          </cell>
          <cell r="AB2134">
            <v>1619.9999999999518</v>
          </cell>
        </row>
        <row r="2135">
          <cell r="D2135">
            <v>12</v>
          </cell>
          <cell r="AB2135">
            <v>1619.9999999999518</v>
          </cell>
        </row>
        <row r="2136">
          <cell r="D2136">
            <v>12</v>
          </cell>
          <cell r="AB2136">
            <v>1619.9999999999518</v>
          </cell>
        </row>
        <row r="2137">
          <cell r="D2137">
            <v>12</v>
          </cell>
          <cell r="AB2137">
            <v>600.00000000000978</v>
          </cell>
          <cell r="AE2137" t="str">
            <v>İ</v>
          </cell>
        </row>
        <row r="2138">
          <cell r="D2138">
            <v>12</v>
          </cell>
          <cell r="AB2138">
            <v>1295.9999999999616</v>
          </cell>
        </row>
        <row r="2139">
          <cell r="D2139">
            <v>12</v>
          </cell>
          <cell r="AB2139">
            <v>1295.9999999999616</v>
          </cell>
        </row>
        <row r="2140">
          <cell r="D2140">
            <v>12</v>
          </cell>
          <cell r="AB2140">
            <v>1295.9999999999616</v>
          </cell>
        </row>
        <row r="2141">
          <cell r="D2141">
            <v>12</v>
          </cell>
          <cell r="AB2141">
            <v>809.9999999999759</v>
          </cell>
        </row>
        <row r="2142">
          <cell r="D2142">
            <v>12</v>
          </cell>
          <cell r="AB2142">
            <v>809.9999999999759</v>
          </cell>
        </row>
        <row r="2143">
          <cell r="D2143">
            <v>12</v>
          </cell>
          <cell r="AB2143">
            <v>809.9999999999759</v>
          </cell>
        </row>
        <row r="2144">
          <cell r="D2144">
            <v>12</v>
          </cell>
          <cell r="AB2144">
            <v>809.9999999999759</v>
          </cell>
        </row>
        <row r="2145">
          <cell r="D2145">
            <v>12</v>
          </cell>
          <cell r="AB2145">
            <v>809.9999999999759</v>
          </cell>
        </row>
        <row r="2146">
          <cell r="D2146">
            <v>12</v>
          </cell>
          <cell r="AB2146">
            <v>54.00000000000216</v>
          </cell>
        </row>
        <row r="2147">
          <cell r="D2147">
            <v>12</v>
          </cell>
          <cell r="AB2147">
            <v>54.00000000000216</v>
          </cell>
        </row>
        <row r="2148">
          <cell r="D2148">
            <v>12</v>
          </cell>
          <cell r="AB2148">
            <v>54.00000000000216</v>
          </cell>
        </row>
        <row r="2149">
          <cell r="D2149">
            <v>12</v>
          </cell>
          <cell r="AB2149">
            <v>54.00000000000216</v>
          </cell>
        </row>
        <row r="2150">
          <cell r="D2150">
            <v>12</v>
          </cell>
          <cell r="AB2150">
            <v>1295.9999999999616</v>
          </cell>
        </row>
        <row r="2151">
          <cell r="D2151">
            <v>12</v>
          </cell>
          <cell r="AB2151">
            <v>1295.9999999999616</v>
          </cell>
        </row>
        <row r="2152">
          <cell r="D2152">
            <v>12</v>
          </cell>
          <cell r="AB2152">
            <v>1295.9999999999616</v>
          </cell>
        </row>
        <row r="2153">
          <cell r="D2153">
            <v>12</v>
          </cell>
          <cell r="AB2153">
            <v>1295.9999999999616</v>
          </cell>
        </row>
        <row r="2154">
          <cell r="D2154">
            <v>12</v>
          </cell>
          <cell r="AB2154">
            <v>180.00000000000722</v>
          </cell>
        </row>
        <row r="2155">
          <cell r="D2155">
            <v>12</v>
          </cell>
          <cell r="AB2155">
            <v>180.00000000000722</v>
          </cell>
        </row>
        <row r="2156">
          <cell r="D2156">
            <v>12</v>
          </cell>
          <cell r="AB2156">
            <v>180.00000000000722</v>
          </cell>
        </row>
        <row r="2157">
          <cell r="D2157">
            <v>12</v>
          </cell>
          <cell r="AB2157">
            <v>180.00000000000722</v>
          </cell>
        </row>
        <row r="2158">
          <cell r="D2158">
            <v>12</v>
          </cell>
          <cell r="AB2158">
            <v>180.00000000000722</v>
          </cell>
        </row>
        <row r="2159">
          <cell r="D2159">
            <v>12</v>
          </cell>
          <cell r="AB2159">
            <v>180.00000000000722</v>
          </cell>
        </row>
        <row r="2160">
          <cell r="D2160">
            <v>12</v>
          </cell>
          <cell r="AB2160">
            <v>180.00000000000722</v>
          </cell>
        </row>
        <row r="2161">
          <cell r="D2161">
            <v>12</v>
          </cell>
          <cell r="AB2161">
            <v>180.00000000000722</v>
          </cell>
        </row>
        <row r="2162">
          <cell r="D2162">
            <v>12</v>
          </cell>
          <cell r="AB2162">
            <v>180.00000000000722</v>
          </cell>
        </row>
        <row r="2163">
          <cell r="D2163">
            <v>12</v>
          </cell>
          <cell r="AB2163">
            <v>180.00000000000722</v>
          </cell>
        </row>
        <row r="2164">
          <cell r="D2164">
            <v>12</v>
          </cell>
          <cell r="AB2164">
            <v>450.00000000001796</v>
          </cell>
        </row>
        <row r="2165">
          <cell r="D2165">
            <v>12</v>
          </cell>
          <cell r="AB2165">
            <v>450.00000000001796</v>
          </cell>
        </row>
        <row r="2166">
          <cell r="D2166">
            <v>12</v>
          </cell>
          <cell r="AB2166">
            <v>450.00000000001796</v>
          </cell>
        </row>
        <row r="2167">
          <cell r="D2167">
            <v>12</v>
          </cell>
          <cell r="AB2167">
            <v>450.00000000001796</v>
          </cell>
        </row>
        <row r="2168">
          <cell r="D2168">
            <v>12</v>
          </cell>
          <cell r="AB2168">
            <v>450.00000000001796</v>
          </cell>
        </row>
        <row r="2169">
          <cell r="D2169">
            <v>12</v>
          </cell>
          <cell r="AB2169">
            <v>97.199999999997118</v>
          </cell>
        </row>
        <row r="2170">
          <cell r="D2170">
            <v>12</v>
          </cell>
          <cell r="AB2170">
            <v>97.199999999997118</v>
          </cell>
        </row>
        <row r="2171">
          <cell r="D2171">
            <v>12</v>
          </cell>
          <cell r="AB2171">
            <v>97.199999999997118</v>
          </cell>
        </row>
        <row r="2172">
          <cell r="D2172">
            <v>12</v>
          </cell>
          <cell r="AB2172">
            <v>97.199999999997118</v>
          </cell>
        </row>
        <row r="2173">
          <cell r="D2173">
            <v>12</v>
          </cell>
          <cell r="AB2173">
            <v>1295.9999999999616</v>
          </cell>
        </row>
        <row r="2174">
          <cell r="D2174">
            <v>12</v>
          </cell>
          <cell r="AB2174">
            <v>1295.9999999999616</v>
          </cell>
        </row>
        <row r="2175">
          <cell r="D2175">
            <v>12</v>
          </cell>
          <cell r="AB2175">
            <v>1295.9999999999616</v>
          </cell>
        </row>
        <row r="2176">
          <cell r="D2176">
            <v>12</v>
          </cell>
          <cell r="AB2176">
            <v>1295.9999999999616</v>
          </cell>
        </row>
        <row r="2177">
          <cell r="D2177">
            <v>12</v>
          </cell>
          <cell r="AB2177">
            <v>97.199999999997118</v>
          </cell>
        </row>
        <row r="2178">
          <cell r="D2178">
            <v>12</v>
          </cell>
          <cell r="AB2178">
            <v>97.199999999997118</v>
          </cell>
        </row>
        <row r="2179">
          <cell r="D2179">
            <v>12</v>
          </cell>
          <cell r="AB2179">
            <v>97.199999999997118</v>
          </cell>
        </row>
        <row r="2180">
          <cell r="D2180">
            <v>12</v>
          </cell>
          <cell r="AB2180">
            <v>97.199999999997118</v>
          </cell>
        </row>
        <row r="2181">
          <cell r="D2181">
            <v>12</v>
          </cell>
          <cell r="AB2181">
            <v>180.00000000000722</v>
          </cell>
        </row>
        <row r="2182">
          <cell r="D2182">
            <v>12</v>
          </cell>
          <cell r="AB2182">
            <v>180.00000000000722</v>
          </cell>
        </row>
        <row r="2183">
          <cell r="D2183">
            <v>12</v>
          </cell>
          <cell r="AB2183">
            <v>180.00000000000722</v>
          </cell>
        </row>
        <row r="2184">
          <cell r="D2184">
            <v>12</v>
          </cell>
          <cell r="AB2184">
            <v>180.00000000000722</v>
          </cell>
        </row>
        <row r="2185">
          <cell r="D2185">
            <v>12</v>
          </cell>
          <cell r="AB2185">
            <v>180.00000000000722</v>
          </cell>
        </row>
        <row r="2186">
          <cell r="D2186">
            <v>12</v>
          </cell>
          <cell r="AB2186">
            <v>180.00000000000722</v>
          </cell>
        </row>
        <row r="2187">
          <cell r="D2187">
            <v>12</v>
          </cell>
          <cell r="AB2187">
            <v>180.00000000000722</v>
          </cell>
        </row>
        <row r="2188">
          <cell r="D2188">
            <v>12</v>
          </cell>
          <cell r="AB2188">
            <v>180.00000000000722</v>
          </cell>
        </row>
        <row r="2189">
          <cell r="D2189">
            <v>12</v>
          </cell>
          <cell r="AB2189">
            <v>291.59999999999138</v>
          </cell>
        </row>
        <row r="2190">
          <cell r="D2190">
            <v>12</v>
          </cell>
          <cell r="AB2190">
            <v>291.59999999999138</v>
          </cell>
        </row>
        <row r="2191">
          <cell r="D2191">
            <v>12</v>
          </cell>
          <cell r="AB2191">
            <v>291.59999999999138</v>
          </cell>
        </row>
        <row r="2192">
          <cell r="D2192">
            <v>12</v>
          </cell>
          <cell r="AB2192">
            <v>291.59999999999138</v>
          </cell>
        </row>
        <row r="2193">
          <cell r="D2193">
            <v>12</v>
          </cell>
          <cell r="AB2193">
            <v>291.59999999999138</v>
          </cell>
        </row>
        <row r="2194">
          <cell r="D2194">
            <v>12</v>
          </cell>
          <cell r="AB2194">
            <v>97.199999999997118</v>
          </cell>
        </row>
        <row r="2195">
          <cell r="D2195">
            <v>12</v>
          </cell>
          <cell r="AB2195">
            <v>97.199999999997118</v>
          </cell>
        </row>
        <row r="2196">
          <cell r="D2196">
            <v>12</v>
          </cell>
          <cell r="AB2196">
            <v>97.199999999997118</v>
          </cell>
        </row>
        <row r="2197">
          <cell r="D2197">
            <v>12</v>
          </cell>
          <cell r="AB2197">
            <v>97.199999999997118</v>
          </cell>
        </row>
        <row r="2198">
          <cell r="D2198">
            <v>12</v>
          </cell>
          <cell r="AB2198">
            <v>809.9999999999759</v>
          </cell>
        </row>
        <row r="2199">
          <cell r="D2199">
            <v>12</v>
          </cell>
          <cell r="AB2199">
            <v>809.9999999999759</v>
          </cell>
        </row>
        <row r="2200">
          <cell r="D2200">
            <v>12</v>
          </cell>
          <cell r="AB2200">
            <v>809.9999999999759</v>
          </cell>
        </row>
        <row r="2201">
          <cell r="D2201">
            <v>12</v>
          </cell>
          <cell r="AB2201">
            <v>809.9999999999759</v>
          </cell>
        </row>
        <row r="2202">
          <cell r="D2202">
            <v>12</v>
          </cell>
          <cell r="AB2202">
            <v>809.9999999999759</v>
          </cell>
        </row>
        <row r="2203">
          <cell r="D2203">
            <v>12</v>
          </cell>
          <cell r="AB2203">
            <v>54.00000000000216</v>
          </cell>
        </row>
        <row r="2204">
          <cell r="D2204">
            <v>12</v>
          </cell>
          <cell r="AB2204">
            <v>54.00000000000216</v>
          </cell>
        </row>
        <row r="2205">
          <cell r="D2205">
            <v>12</v>
          </cell>
          <cell r="AB2205">
            <v>54.00000000000216</v>
          </cell>
        </row>
        <row r="2206">
          <cell r="D2206">
            <v>12</v>
          </cell>
          <cell r="AB2206">
            <v>54.00000000000216</v>
          </cell>
        </row>
        <row r="2207">
          <cell r="D2207">
            <v>12</v>
          </cell>
          <cell r="AB2207">
            <v>450.00000000001796</v>
          </cell>
        </row>
        <row r="2208">
          <cell r="D2208">
            <v>12</v>
          </cell>
          <cell r="AB2208">
            <v>450.00000000001796</v>
          </cell>
        </row>
        <row r="2209">
          <cell r="D2209">
            <v>12</v>
          </cell>
          <cell r="AB2209">
            <v>450.00000000001796</v>
          </cell>
        </row>
        <row r="2210">
          <cell r="D2210">
            <v>12</v>
          </cell>
          <cell r="AB2210">
            <v>450.00000000001796</v>
          </cell>
        </row>
        <row r="2211">
          <cell r="D2211">
            <v>12</v>
          </cell>
          <cell r="AB2211">
            <v>1295.9999999999616</v>
          </cell>
        </row>
        <row r="2212">
          <cell r="D2212">
            <v>12</v>
          </cell>
          <cell r="AB2212">
            <v>1295.9999999999616</v>
          </cell>
        </row>
        <row r="2213">
          <cell r="D2213">
            <v>12</v>
          </cell>
          <cell r="AB2213">
            <v>1295.9999999999616</v>
          </cell>
        </row>
        <row r="2214">
          <cell r="D2214">
            <v>12</v>
          </cell>
          <cell r="AB2214">
            <v>1295.9999999999616</v>
          </cell>
        </row>
        <row r="2215">
          <cell r="D2215">
            <v>12</v>
          </cell>
          <cell r="AB2215">
            <v>1295.9999999999616</v>
          </cell>
        </row>
        <row r="2216">
          <cell r="D2216">
            <v>12</v>
          </cell>
          <cell r="AB2216">
            <v>809.9999999999759</v>
          </cell>
        </row>
        <row r="2217">
          <cell r="D2217">
            <v>12</v>
          </cell>
          <cell r="AB2217">
            <v>809.9999999999759</v>
          </cell>
        </row>
        <row r="2218">
          <cell r="D2218">
            <v>12</v>
          </cell>
          <cell r="AB2218">
            <v>809.9999999999759</v>
          </cell>
        </row>
        <row r="2219">
          <cell r="D2219">
            <v>12</v>
          </cell>
          <cell r="AB2219">
            <v>809.9999999999759</v>
          </cell>
        </row>
        <row r="2220">
          <cell r="D2220">
            <v>12</v>
          </cell>
          <cell r="AB2220">
            <v>323.99999999999039</v>
          </cell>
        </row>
        <row r="2221">
          <cell r="D2221">
            <v>12</v>
          </cell>
          <cell r="AB2221">
            <v>323.99999999999039</v>
          </cell>
        </row>
        <row r="2222">
          <cell r="D2222">
            <v>12</v>
          </cell>
          <cell r="AB2222">
            <v>323.99999999999039</v>
          </cell>
        </row>
        <row r="2223">
          <cell r="D2223">
            <v>12</v>
          </cell>
          <cell r="AB2223">
            <v>323.99999999999039</v>
          </cell>
        </row>
        <row r="2224">
          <cell r="D2224">
            <v>12</v>
          </cell>
          <cell r="AB2224">
            <v>323.99999999999039</v>
          </cell>
        </row>
        <row r="2225">
          <cell r="D2225">
            <v>12</v>
          </cell>
          <cell r="AB2225">
            <v>323.99999999999039</v>
          </cell>
        </row>
        <row r="2226">
          <cell r="D2226">
            <v>12</v>
          </cell>
          <cell r="AB2226">
            <v>323.99999999999039</v>
          </cell>
        </row>
        <row r="2227">
          <cell r="D2227">
            <v>12</v>
          </cell>
          <cell r="AB2227">
            <v>323.99999999999039</v>
          </cell>
        </row>
        <row r="2228">
          <cell r="D2228">
            <v>12</v>
          </cell>
          <cell r="AB2228">
            <v>180.00000000000722</v>
          </cell>
        </row>
        <row r="2229">
          <cell r="D2229">
            <v>12</v>
          </cell>
          <cell r="AB2229">
            <v>180.00000000000722</v>
          </cell>
        </row>
        <row r="2230">
          <cell r="D2230">
            <v>12</v>
          </cell>
          <cell r="AB2230">
            <v>180.00000000000722</v>
          </cell>
        </row>
        <row r="2231">
          <cell r="D2231">
            <v>12</v>
          </cell>
          <cell r="AB2231">
            <v>180.00000000000722</v>
          </cell>
        </row>
        <row r="2232">
          <cell r="D2232">
            <v>12</v>
          </cell>
          <cell r="AB2232">
            <v>180.00000000000722</v>
          </cell>
        </row>
        <row r="2233">
          <cell r="D2233">
            <v>12</v>
          </cell>
          <cell r="AB2233">
            <v>809.9999999999759</v>
          </cell>
        </row>
        <row r="2234">
          <cell r="D2234">
            <v>12</v>
          </cell>
          <cell r="AB2234">
            <v>809.9999999999759</v>
          </cell>
        </row>
        <row r="2235">
          <cell r="D2235">
            <v>12</v>
          </cell>
          <cell r="AB2235">
            <v>809.9999999999759</v>
          </cell>
        </row>
        <row r="2236">
          <cell r="D2236">
            <v>12</v>
          </cell>
          <cell r="AB2236">
            <v>809.9999999999759</v>
          </cell>
        </row>
        <row r="2237">
          <cell r="D2237">
            <v>12</v>
          </cell>
          <cell r="AB2237">
            <v>450.00000000001796</v>
          </cell>
        </row>
        <row r="2238">
          <cell r="D2238">
            <v>12</v>
          </cell>
          <cell r="AB2238">
            <v>450.00000000001796</v>
          </cell>
        </row>
        <row r="2239">
          <cell r="D2239">
            <v>12</v>
          </cell>
          <cell r="AB2239">
            <v>450.00000000001796</v>
          </cell>
        </row>
        <row r="2240">
          <cell r="D2240">
            <v>12</v>
          </cell>
          <cell r="AB2240">
            <v>450.00000000001796</v>
          </cell>
        </row>
        <row r="2241">
          <cell r="D2241">
            <v>12</v>
          </cell>
          <cell r="AB2241">
            <v>1619.9999999999518</v>
          </cell>
        </row>
        <row r="2242">
          <cell r="D2242">
            <v>12</v>
          </cell>
          <cell r="AB2242">
            <v>1619.9999999999518</v>
          </cell>
        </row>
        <row r="2243">
          <cell r="D2243">
            <v>12</v>
          </cell>
          <cell r="AB2243">
            <v>1619.9999999999518</v>
          </cell>
        </row>
        <row r="2244">
          <cell r="D2244">
            <v>12</v>
          </cell>
          <cell r="AB2244">
            <v>323.99999999999039</v>
          </cell>
        </row>
        <row r="2245">
          <cell r="D2245">
            <v>12</v>
          </cell>
          <cell r="AB2245">
            <v>323.99999999999039</v>
          </cell>
        </row>
        <row r="2246">
          <cell r="D2246">
            <v>12</v>
          </cell>
          <cell r="AB2246">
            <v>323.99999999999039</v>
          </cell>
        </row>
        <row r="2247">
          <cell r="D2247">
            <v>12</v>
          </cell>
          <cell r="AB2247">
            <v>323.99999999999039</v>
          </cell>
        </row>
        <row r="2248">
          <cell r="D2248">
            <v>12</v>
          </cell>
          <cell r="AB2248">
            <v>323.99999999999039</v>
          </cell>
        </row>
        <row r="2249">
          <cell r="D2249">
            <v>12</v>
          </cell>
          <cell r="AB2249">
            <v>323.99999999999039</v>
          </cell>
        </row>
        <row r="2250">
          <cell r="D2250">
            <v>12</v>
          </cell>
          <cell r="AB2250">
            <v>323.99999999999039</v>
          </cell>
        </row>
        <row r="2251">
          <cell r="D2251">
            <v>12</v>
          </cell>
          <cell r="AB2251">
            <v>323.99999999999039</v>
          </cell>
        </row>
        <row r="2252">
          <cell r="D2252">
            <v>12</v>
          </cell>
          <cell r="AB2252">
            <v>323.99999999999039</v>
          </cell>
        </row>
        <row r="2253">
          <cell r="D2253">
            <v>12</v>
          </cell>
          <cell r="AB2253">
            <v>323.99999999999039</v>
          </cell>
        </row>
        <row r="2254">
          <cell r="D2254">
            <v>12</v>
          </cell>
          <cell r="AB2254">
            <v>97.199999999997118</v>
          </cell>
        </row>
        <row r="2255">
          <cell r="D2255">
            <v>12</v>
          </cell>
          <cell r="AB2255">
            <v>97.199999999997118</v>
          </cell>
        </row>
        <row r="2256">
          <cell r="D2256">
            <v>12</v>
          </cell>
          <cell r="AB2256">
            <v>97.199999999997118</v>
          </cell>
        </row>
        <row r="2257">
          <cell r="D2257">
            <v>12</v>
          </cell>
          <cell r="AB2257">
            <v>97.199999999997118</v>
          </cell>
        </row>
        <row r="2258">
          <cell r="D2258">
            <v>12</v>
          </cell>
          <cell r="AB2258">
            <v>180.00000000000722</v>
          </cell>
        </row>
        <row r="2259">
          <cell r="D2259">
            <v>12</v>
          </cell>
          <cell r="AB2259">
            <v>180.00000000000722</v>
          </cell>
        </row>
        <row r="2260">
          <cell r="D2260">
            <v>12</v>
          </cell>
          <cell r="AB2260">
            <v>180.00000000000722</v>
          </cell>
        </row>
        <row r="2261">
          <cell r="D2261">
            <v>12</v>
          </cell>
          <cell r="AB2261">
            <v>180.00000000000722</v>
          </cell>
        </row>
        <row r="2262">
          <cell r="D2262">
            <v>12</v>
          </cell>
          <cell r="AB2262">
            <v>180.00000000000722</v>
          </cell>
        </row>
        <row r="2263">
          <cell r="D2263">
            <v>12</v>
          </cell>
          <cell r="AB2263">
            <v>180.00000000000722</v>
          </cell>
        </row>
        <row r="2264">
          <cell r="D2264">
            <v>12</v>
          </cell>
          <cell r="AB2264">
            <v>180.00000000000722</v>
          </cell>
        </row>
        <row r="2265">
          <cell r="D2265">
            <v>12</v>
          </cell>
          <cell r="AB2265">
            <v>180.00000000000722</v>
          </cell>
        </row>
        <row r="2266">
          <cell r="D2266">
            <v>12</v>
          </cell>
          <cell r="AB2266">
            <v>54.00000000000216</v>
          </cell>
        </row>
        <row r="2267">
          <cell r="D2267">
            <v>12</v>
          </cell>
          <cell r="AB2267">
            <v>54.00000000000216</v>
          </cell>
        </row>
        <row r="2268">
          <cell r="D2268">
            <v>12</v>
          </cell>
          <cell r="AB2268">
            <v>54.00000000000216</v>
          </cell>
        </row>
        <row r="2269">
          <cell r="D2269">
            <v>12</v>
          </cell>
          <cell r="AB2269">
            <v>54.00000000000216</v>
          </cell>
        </row>
        <row r="2270">
          <cell r="D2270">
            <v>12</v>
          </cell>
          <cell r="AB2270">
            <v>54.00000000000216</v>
          </cell>
        </row>
        <row r="2271">
          <cell r="D2271">
            <v>12</v>
          </cell>
          <cell r="AB2271">
            <v>855.00000000003433</v>
          </cell>
        </row>
        <row r="2272">
          <cell r="D2272">
            <v>12</v>
          </cell>
          <cell r="AB2272">
            <v>900.00000000001478</v>
          </cell>
          <cell r="AE2272">
            <v>1</v>
          </cell>
        </row>
        <row r="2273">
          <cell r="D2273">
            <v>12</v>
          </cell>
          <cell r="AB2273">
            <v>1140.0000000000186</v>
          </cell>
          <cell r="AE2273">
            <v>1</v>
          </cell>
        </row>
        <row r="2274">
          <cell r="D2274">
            <v>12</v>
          </cell>
          <cell r="AB2274">
            <v>450.00000000001796</v>
          </cell>
        </row>
        <row r="2275">
          <cell r="D2275">
            <v>12</v>
          </cell>
          <cell r="AB2275">
            <v>855.00000000003433</v>
          </cell>
        </row>
        <row r="2276">
          <cell r="D2276">
            <v>12</v>
          </cell>
          <cell r="AB2276">
            <v>855.00000000003433</v>
          </cell>
        </row>
        <row r="2277">
          <cell r="D2277">
            <v>12</v>
          </cell>
          <cell r="AB2277">
            <v>450.00000000001796</v>
          </cell>
        </row>
        <row r="2278">
          <cell r="D2278">
            <v>12</v>
          </cell>
          <cell r="AB2278">
            <v>450.00000000001796</v>
          </cell>
        </row>
        <row r="2279">
          <cell r="D2279">
            <v>12</v>
          </cell>
          <cell r="AB2279">
            <v>450.00000000001796</v>
          </cell>
          <cell r="AE2279">
            <v>1</v>
          </cell>
        </row>
        <row r="2280">
          <cell r="D2280">
            <v>12</v>
          </cell>
          <cell r="AB2280">
            <v>450.00000000001796</v>
          </cell>
        </row>
        <row r="2281">
          <cell r="D2281">
            <v>12</v>
          </cell>
          <cell r="AB2281">
            <v>450.00000000001796</v>
          </cell>
        </row>
        <row r="2282">
          <cell r="D2282">
            <v>12</v>
          </cell>
          <cell r="AB2282">
            <v>809.9999999999759</v>
          </cell>
        </row>
        <row r="2283">
          <cell r="D2283">
            <v>12</v>
          </cell>
          <cell r="AB2283">
            <v>809.9999999999759</v>
          </cell>
        </row>
        <row r="2284">
          <cell r="D2284">
            <v>12</v>
          </cell>
          <cell r="AB2284">
            <v>809.9999999999759</v>
          </cell>
        </row>
        <row r="2285">
          <cell r="D2285">
            <v>12</v>
          </cell>
          <cell r="AB2285">
            <v>809.9999999999759</v>
          </cell>
        </row>
        <row r="2286">
          <cell r="D2286">
            <v>12</v>
          </cell>
          <cell r="AB2286">
            <v>1619.9999999999518</v>
          </cell>
        </row>
        <row r="2287">
          <cell r="D2287">
            <v>12</v>
          </cell>
          <cell r="AB2287">
            <v>1619.9999999999518</v>
          </cell>
        </row>
        <row r="2288">
          <cell r="D2288">
            <v>12</v>
          </cell>
          <cell r="AB2288">
            <v>1619.9999999999518</v>
          </cell>
        </row>
        <row r="2289">
          <cell r="D2289">
            <v>12</v>
          </cell>
          <cell r="AB2289">
            <v>1619.9999999999518</v>
          </cell>
        </row>
        <row r="2290">
          <cell r="D2290">
            <v>12</v>
          </cell>
          <cell r="AB2290">
            <v>1619.9999999999518</v>
          </cell>
        </row>
        <row r="2291">
          <cell r="D2291">
            <v>12</v>
          </cell>
          <cell r="AB2291">
            <v>855.00000000003433</v>
          </cell>
        </row>
        <row r="2292">
          <cell r="D2292">
            <v>12</v>
          </cell>
          <cell r="AB2292">
            <v>855.00000000003433</v>
          </cell>
        </row>
        <row r="2293">
          <cell r="D2293">
            <v>12</v>
          </cell>
          <cell r="AB2293">
            <v>855.00000000003433</v>
          </cell>
        </row>
        <row r="2294">
          <cell r="D2294">
            <v>12</v>
          </cell>
          <cell r="AB2294">
            <v>855.00000000003433</v>
          </cell>
        </row>
        <row r="2295">
          <cell r="D2295">
            <v>12</v>
          </cell>
          <cell r="AB2295">
            <v>855.00000000003433</v>
          </cell>
        </row>
        <row r="2296">
          <cell r="D2296">
            <v>12</v>
          </cell>
          <cell r="AB2296">
            <v>2508</v>
          </cell>
        </row>
        <row r="2297">
          <cell r="D2297">
            <v>12</v>
          </cell>
          <cell r="AB2297">
            <v>855.00000000003433</v>
          </cell>
        </row>
        <row r="2298">
          <cell r="D2298">
            <v>12</v>
          </cell>
          <cell r="AB2298">
            <v>855.00000000003433</v>
          </cell>
        </row>
        <row r="2299">
          <cell r="D2299">
            <v>12</v>
          </cell>
          <cell r="AB2299">
            <v>675.00000000002706</v>
          </cell>
        </row>
        <row r="2300">
          <cell r="D2300">
            <v>12</v>
          </cell>
          <cell r="AB2300">
            <v>675.00000000002706</v>
          </cell>
        </row>
        <row r="2301">
          <cell r="D2301">
            <v>12</v>
          </cell>
          <cell r="AB2301">
            <v>675.00000000002706</v>
          </cell>
        </row>
        <row r="2302">
          <cell r="D2302">
            <v>12</v>
          </cell>
          <cell r="AB2302">
            <v>675.00000000002706</v>
          </cell>
        </row>
        <row r="2303">
          <cell r="D2303">
            <v>12</v>
          </cell>
          <cell r="AB2303">
            <v>450.00000000001796</v>
          </cell>
        </row>
        <row r="2304">
          <cell r="D2304">
            <v>12</v>
          </cell>
          <cell r="AB2304">
            <v>1140.0000000000186</v>
          </cell>
          <cell r="AE2304">
            <v>1</v>
          </cell>
        </row>
        <row r="2305">
          <cell r="D2305">
            <v>12</v>
          </cell>
          <cell r="AB2305">
            <v>1425.0000000000032</v>
          </cell>
          <cell r="AE2305">
            <v>1</v>
          </cell>
        </row>
        <row r="2306">
          <cell r="D2306">
            <v>12</v>
          </cell>
          <cell r="AB2306">
            <v>1212.5999999999999</v>
          </cell>
          <cell r="AE2306">
            <v>1</v>
          </cell>
        </row>
        <row r="2307">
          <cell r="D2307">
            <v>12</v>
          </cell>
          <cell r="AB2307">
            <v>2399.9999999999982</v>
          </cell>
        </row>
        <row r="2308">
          <cell r="D2308">
            <v>12</v>
          </cell>
          <cell r="AB2308">
            <v>450.00000000001796</v>
          </cell>
        </row>
        <row r="2309">
          <cell r="D2309">
            <v>12</v>
          </cell>
          <cell r="AB2309">
            <v>97.199999999997118</v>
          </cell>
        </row>
        <row r="2310">
          <cell r="D2310">
            <v>12</v>
          </cell>
          <cell r="AB2310">
            <v>97.199999999997118</v>
          </cell>
        </row>
        <row r="2311">
          <cell r="D2311">
            <v>12</v>
          </cell>
          <cell r="AB2311">
            <v>97.199999999997118</v>
          </cell>
        </row>
        <row r="2312">
          <cell r="D2312">
            <v>12</v>
          </cell>
          <cell r="AB2312">
            <v>97.199999999997118</v>
          </cell>
        </row>
        <row r="2313">
          <cell r="D2313">
            <v>12</v>
          </cell>
          <cell r="AB2313">
            <v>97.199999999997118</v>
          </cell>
        </row>
        <row r="2314">
          <cell r="D2314">
            <v>12</v>
          </cell>
          <cell r="AB2314">
            <v>1295.9999999999616</v>
          </cell>
        </row>
        <row r="2315">
          <cell r="D2315">
            <v>12</v>
          </cell>
          <cell r="AB2315">
            <v>1295.9999999999616</v>
          </cell>
        </row>
        <row r="2316">
          <cell r="D2316">
            <v>12</v>
          </cell>
          <cell r="AB2316">
            <v>1295.9999999999616</v>
          </cell>
        </row>
        <row r="2317">
          <cell r="D2317">
            <v>12</v>
          </cell>
          <cell r="AB2317">
            <v>1295.9999999999616</v>
          </cell>
        </row>
        <row r="2318">
          <cell r="D2318">
            <v>12</v>
          </cell>
          <cell r="AB2318">
            <v>675.00000000002706</v>
          </cell>
        </row>
        <row r="2319">
          <cell r="D2319">
            <v>12</v>
          </cell>
          <cell r="AB2319">
            <v>675.00000000002706</v>
          </cell>
        </row>
        <row r="2320">
          <cell r="D2320">
            <v>12</v>
          </cell>
          <cell r="AB2320">
            <v>180.00000000000722</v>
          </cell>
        </row>
        <row r="2321">
          <cell r="D2321">
            <v>12</v>
          </cell>
          <cell r="AB2321">
            <v>675.00000000002706</v>
          </cell>
        </row>
        <row r="2322">
          <cell r="D2322">
            <v>12</v>
          </cell>
          <cell r="AB2322">
            <v>675.00000000002706</v>
          </cell>
        </row>
        <row r="2323">
          <cell r="D2323">
            <v>12</v>
          </cell>
          <cell r="AB2323">
            <v>675.00000000002706</v>
          </cell>
        </row>
        <row r="2324">
          <cell r="D2324">
            <v>12</v>
          </cell>
          <cell r="AB2324">
            <v>675.00000000002706</v>
          </cell>
        </row>
        <row r="2325">
          <cell r="D2325">
            <v>12</v>
          </cell>
          <cell r="AB2325">
            <v>675.00000000002706</v>
          </cell>
        </row>
        <row r="2326">
          <cell r="D2326">
            <v>12</v>
          </cell>
          <cell r="AB2326">
            <v>1295.9999999999616</v>
          </cell>
        </row>
        <row r="2327">
          <cell r="D2327">
            <v>12</v>
          </cell>
          <cell r="AB2327">
            <v>1295.9999999999616</v>
          </cell>
        </row>
        <row r="2328">
          <cell r="D2328">
            <v>12</v>
          </cell>
          <cell r="AB2328">
            <v>1295.9999999999616</v>
          </cell>
        </row>
        <row r="2329">
          <cell r="D2329">
            <v>12</v>
          </cell>
          <cell r="AB2329">
            <v>1295.9999999999616</v>
          </cell>
        </row>
        <row r="2330">
          <cell r="D2330">
            <v>12</v>
          </cell>
          <cell r="AB2330">
            <v>1295.9999999999616</v>
          </cell>
        </row>
        <row r="2331">
          <cell r="D2331">
            <v>12</v>
          </cell>
          <cell r="AB2331">
            <v>1295.9999999999616</v>
          </cell>
        </row>
        <row r="2332">
          <cell r="D2332">
            <v>12</v>
          </cell>
          <cell r="AB2332">
            <v>1295.9999999999616</v>
          </cell>
        </row>
        <row r="2333">
          <cell r="D2333">
            <v>12</v>
          </cell>
          <cell r="AB2333">
            <v>1295.9999999999616</v>
          </cell>
        </row>
        <row r="2334">
          <cell r="D2334">
            <v>12</v>
          </cell>
          <cell r="AB2334">
            <v>1295.9999999999616</v>
          </cell>
        </row>
        <row r="2335">
          <cell r="D2335">
            <v>12</v>
          </cell>
          <cell r="AB2335">
            <v>450.00000000001796</v>
          </cell>
        </row>
        <row r="2336">
          <cell r="D2336">
            <v>12</v>
          </cell>
          <cell r="AB2336">
            <v>450.00000000001796</v>
          </cell>
        </row>
        <row r="2337">
          <cell r="D2337">
            <v>12</v>
          </cell>
          <cell r="AB2337">
            <v>450.00000000001796</v>
          </cell>
        </row>
        <row r="2338">
          <cell r="D2338">
            <v>12</v>
          </cell>
          <cell r="AB2338">
            <v>450.00000000001796</v>
          </cell>
        </row>
        <row r="2339">
          <cell r="D2339">
            <v>12</v>
          </cell>
          <cell r="AB2339">
            <v>180.00000000000722</v>
          </cell>
        </row>
        <row r="2340">
          <cell r="D2340">
            <v>12</v>
          </cell>
          <cell r="AB2340">
            <v>180.00000000000722</v>
          </cell>
        </row>
        <row r="2341">
          <cell r="D2341">
            <v>12</v>
          </cell>
          <cell r="AB2341">
            <v>180.00000000000722</v>
          </cell>
        </row>
        <row r="2342">
          <cell r="D2342">
            <v>12</v>
          </cell>
          <cell r="AB2342">
            <v>180.00000000000722</v>
          </cell>
        </row>
        <row r="2343">
          <cell r="D2343">
            <v>12</v>
          </cell>
          <cell r="AB2343">
            <v>180.00000000000722</v>
          </cell>
        </row>
        <row r="2344">
          <cell r="D2344">
            <v>12</v>
          </cell>
          <cell r="AB2344">
            <v>1619.9999999999518</v>
          </cell>
        </row>
        <row r="2345">
          <cell r="D2345">
            <v>12</v>
          </cell>
          <cell r="AB2345">
            <v>1619.9999999999518</v>
          </cell>
        </row>
        <row r="2346">
          <cell r="D2346">
            <v>12</v>
          </cell>
          <cell r="AB2346">
            <v>1619.9999999999518</v>
          </cell>
        </row>
        <row r="2347">
          <cell r="D2347">
            <v>12</v>
          </cell>
          <cell r="AB2347">
            <v>1619.9999999999518</v>
          </cell>
        </row>
        <row r="2348">
          <cell r="D2348">
            <v>12</v>
          </cell>
          <cell r="AB2348">
            <v>675.00000000002706</v>
          </cell>
        </row>
        <row r="2349">
          <cell r="D2349">
            <v>12</v>
          </cell>
          <cell r="AB2349">
            <v>675.00000000002706</v>
          </cell>
        </row>
        <row r="2350">
          <cell r="D2350">
            <v>12</v>
          </cell>
          <cell r="AB2350">
            <v>1295.9999999999616</v>
          </cell>
        </row>
        <row r="2351">
          <cell r="D2351">
            <v>12</v>
          </cell>
          <cell r="AB2351">
            <v>1295.9999999999616</v>
          </cell>
        </row>
        <row r="2352">
          <cell r="D2352">
            <v>12</v>
          </cell>
          <cell r="AB2352">
            <v>1295.9999999999616</v>
          </cell>
        </row>
        <row r="2353">
          <cell r="D2353">
            <v>12</v>
          </cell>
          <cell r="AB2353">
            <v>1295.9999999999616</v>
          </cell>
        </row>
        <row r="2354">
          <cell r="D2354">
            <v>12</v>
          </cell>
          <cell r="AB2354">
            <v>1295.9999999999616</v>
          </cell>
        </row>
        <row r="2355">
          <cell r="D2355">
            <v>12</v>
          </cell>
          <cell r="AB2355">
            <v>180.00000000000722</v>
          </cell>
        </row>
        <row r="2356">
          <cell r="D2356">
            <v>12</v>
          </cell>
          <cell r="AB2356">
            <v>180.00000000000722</v>
          </cell>
        </row>
        <row r="2357">
          <cell r="D2357">
            <v>12</v>
          </cell>
          <cell r="AB2357">
            <v>180.00000000000722</v>
          </cell>
        </row>
        <row r="2358">
          <cell r="D2358">
            <v>12</v>
          </cell>
          <cell r="AB2358">
            <v>180.00000000000722</v>
          </cell>
        </row>
        <row r="2359">
          <cell r="D2359">
            <v>12</v>
          </cell>
          <cell r="AB2359">
            <v>450.00000000001796</v>
          </cell>
        </row>
        <row r="2360">
          <cell r="D2360">
            <v>12</v>
          </cell>
          <cell r="AB2360">
            <v>450.00000000001796</v>
          </cell>
        </row>
        <row r="2361">
          <cell r="D2361">
            <v>12</v>
          </cell>
          <cell r="AB2361">
            <v>1679.9999999999475</v>
          </cell>
          <cell r="AE2361">
            <v>1</v>
          </cell>
        </row>
        <row r="2362">
          <cell r="D2362">
            <v>12</v>
          </cell>
          <cell r="AB2362">
            <v>2399.9999999999982</v>
          </cell>
          <cell r="AE2362" t="str">
            <v>İ</v>
          </cell>
        </row>
        <row r="2363">
          <cell r="D2363">
            <v>12</v>
          </cell>
          <cell r="AB2363">
            <v>450.00000000001796</v>
          </cell>
        </row>
        <row r="2364">
          <cell r="D2364">
            <v>12</v>
          </cell>
          <cell r="AB2364">
            <v>675.00000000002706</v>
          </cell>
        </row>
        <row r="2365">
          <cell r="D2365">
            <v>12</v>
          </cell>
          <cell r="AB2365">
            <v>1619.9999999999518</v>
          </cell>
        </row>
        <row r="2366">
          <cell r="D2366">
            <v>12</v>
          </cell>
          <cell r="AB2366">
            <v>1619.9999999999518</v>
          </cell>
        </row>
        <row r="2367">
          <cell r="D2367">
            <v>12</v>
          </cell>
          <cell r="AB2367">
            <v>1619.9999999999518</v>
          </cell>
        </row>
        <row r="2368">
          <cell r="D2368">
            <v>12</v>
          </cell>
          <cell r="AB2368">
            <v>809.9999999999759</v>
          </cell>
        </row>
        <row r="2369">
          <cell r="D2369">
            <v>12</v>
          </cell>
          <cell r="AB2369">
            <v>809.9999999999759</v>
          </cell>
        </row>
        <row r="2370">
          <cell r="D2370">
            <v>12</v>
          </cell>
          <cell r="AB2370">
            <v>809.9999999999759</v>
          </cell>
        </row>
        <row r="2371">
          <cell r="D2371">
            <v>12</v>
          </cell>
          <cell r="AB2371">
            <v>809.9999999999759</v>
          </cell>
        </row>
        <row r="2372">
          <cell r="D2372">
            <v>12</v>
          </cell>
          <cell r="AB2372">
            <v>180.00000000000722</v>
          </cell>
        </row>
        <row r="2373">
          <cell r="D2373">
            <v>12</v>
          </cell>
          <cell r="AB2373">
            <v>180.00000000000722</v>
          </cell>
        </row>
        <row r="2374">
          <cell r="D2374">
            <v>12</v>
          </cell>
          <cell r="AB2374">
            <v>180.00000000000722</v>
          </cell>
        </row>
        <row r="2375">
          <cell r="D2375">
            <v>12</v>
          </cell>
          <cell r="AB2375">
            <v>180.00000000000722</v>
          </cell>
        </row>
        <row r="2376">
          <cell r="D2376">
            <v>12</v>
          </cell>
          <cell r="AB2376">
            <v>180.00000000000722</v>
          </cell>
        </row>
        <row r="2377">
          <cell r="D2377">
            <v>12</v>
          </cell>
          <cell r="AB2377">
            <v>180.00000000000722</v>
          </cell>
        </row>
        <row r="2378">
          <cell r="D2378">
            <v>12</v>
          </cell>
          <cell r="AB2378">
            <v>180.00000000000722</v>
          </cell>
        </row>
        <row r="2379">
          <cell r="D2379">
            <v>12</v>
          </cell>
          <cell r="AB2379">
            <v>180.00000000000722</v>
          </cell>
        </row>
        <row r="2380">
          <cell r="D2380">
            <v>12</v>
          </cell>
          <cell r="AB2380">
            <v>675.00000000002706</v>
          </cell>
        </row>
        <row r="2381">
          <cell r="D2381">
            <v>12</v>
          </cell>
          <cell r="AB2381">
            <v>675.00000000002706</v>
          </cell>
        </row>
        <row r="2382">
          <cell r="D2382">
            <v>12</v>
          </cell>
          <cell r="AB2382">
            <v>675.00000000002706</v>
          </cell>
        </row>
        <row r="2383">
          <cell r="D2383">
            <v>12</v>
          </cell>
          <cell r="AB2383">
            <v>675.00000000002706</v>
          </cell>
        </row>
        <row r="2384">
          <cell r="D2384">
            <v>12</v>
          </cell>
          <cell r="AB2384">
            <v>600.00000000000978</v>
          </cell>
          <cell r="AE2384" t="str">
            <v>İ</v>
          </cell>
        </row>
        <row r="2385">
          <cell r="D2385">
            <v>12</v>
          </cell>
          <cell r="AB2385">
            <v>180.00000000000722</v>
          </cell>
        </row>
        <row r="2386">
          <cell r="D2386">
            <v>12</v>
          </cell>
          <cell r="AB2386">
            <v>180.00000000000722</v>
          </cell>
        </row>
        <row r="2387">
          <cell r="D2387">
            <v>12</v>
          </cell>
          <cell r="AB2387">
            <v>180.00000000000722</v>
          </cell>
        </row>
        <row r="2388">
          <cell r="D2388">
            <v>12</v>
          </cell>
          <cell r="AB2388">
            <v>1619.9999999999518</v>
          </cell>
        </row>
        <row r="2389">
          <cell r="D2389">
            <v>12</v>
          </cell>
          <cell r="AB2389">
            <v>1619.9999999999518</v>
          </cell>
        </row>
        <row r="2390">
          <cell r="D2390">
            <v>12</v>
          </cell>
          <cell r="AB2390">
            <v>1619.9999999999518</v>
          </cell>
        </row>
        <row r="2391">
          <cell r="D2391">
            <v>12</v>
          </cell>
          <cell r="AB2391">
            <v>1619.9999999999518</v>
          </cell>
        </row>
        <row r="2392">
          <cell r="D2392">
            <v>12</v>
          </cell>
          <cell r="AB2392">
            <v>1619.9999999999518</v>
          </cell>
        </row>
        <row r="2393">
          <cell r="D2393">
            <v>12</v>
          </cell>
          <cell r="AB2393">
            <v>180.00000000000722</v>
          </cell>
        </row>
        <row r="2394">
          <cell r="D2394">
            <v>12</v>
          </cell>
          <cell r="AB2394">
            <v>180.00000000000722</v>
          </cell>
        </row>
        <row r="2395">
          <cell r="D2395">
            <v>12</v>
          </cell>
          <cell r="AB2395">
            <v>180.00000000000722</v>
          </cell>
        </row>
        <row r="2396">
          <cell r="D2396">
            <v>12</v>
          </cell>
          <cell r="AB2396">
            <v>180.00000000000722</v>
          </cell>
        </row>
        <row r="2397">
          <cell r="D2397">
            <v>12</v>
          </cell>
          <cell r="AB2397">
            <v>180.00000000000722</v>
          </cell>
        </row>
        <row r="2398">
          <cell r="D2398">
            <v>12</v>
          </cell>
          <cell r="AB2398">
            <v>180.00000000000722</v>
          </cell>
        </row>
        <row r="2399">
          <cell r="D2399">
            <v>12</v>
          </cell>
          <cell r="AB2399">
            <v>180.00000000000722</v>
          </cell>
        </row>
        <row r="2400">
          <cell r="D2400">
            <v>12</v>
          </cell>
          <cell r="AB2400">
            <v>180.00000000000722</v>
          </cell>
        </row>
        <row r="2401">
          <cell r="D2401">
            <v>12</v>
          </cell>
          <cell r="AB2401">
            <v>180.00000000000722</v>
          </cell>
        </row>
        <row r="2402">
          <cell r="D2402">
            <v>12</v>
          </cell>
          <cell r="AB2402">
            <v>675.00000000002706</v>
          </cell>
        </row>
        <row r="2403">
          <cell r="D2403">
            <v>12</v>
          </cell>
          <cell r="AB2403">
            <v>675.00000000002706</v>
          </cell>
        </row>
        <row r="2404">
          <cell r="D2404">
            <v>12</v>
          </cell>
          <cell r="AB2404">
            <v>675.00000000002706</v>
          </cell>
        </row>
        <row r="2405">
          <cell r="D2405">
            <v>12</v>
          </cell>
          <cell r="AB2405">
            <v>675.00000000002706</v>
          </cell>
        </row>
        <row r="2406">
          <cell r="D2406">
            <v>12</v>
          </cell>
          <cell r="AB2406">
            <v>1295.9999999999616</v>
          </cell>
        </row>
        <row r="2407">
          <cell r="D2407">
            <v>12</v>
          </cell>
          <cell r="AB2407">
            <v>1295.9999999999616</v>
          </cell>
        </row>
        <row r="2408">
          <cell r="D2408">
            <v>12</v>
          </cell>
          <cell r="AB2408">
            <v>1295.9999999999616</v>
          </cell>
        </row>
        <row r="2409">
          <cell r="D2409">
            <v>12</v>
          </cell>
          <cell r="AB2409">
            <v>1295.9999999999616</v>
          </cell>
        </row>
        <row r="2410">
          <cell r="D2410">
            <v>12</v>
          </cell>
          <cell r="AB2410">
            <v>1295.9999999999616</v>
          </cell>
        </row>
        <row r="2411">
          <cell r="D2411">
            <v>12</v>
          </cell>
          <cell r="AB2411">
            <v>855.00000000003433</v>
          </cell>
        </row>
        <row r="2412">
          <cell r="D2412">
            <v>12</v>
          </cell>
          <cell r="AB2412">
            <v>855.00000000003433</v>
          </cell>
        </row>
        <row r="2413">
          <cell r="D2413">
            <v>12</v>
          </cell>
          <cell r="AB2413">
            <v>954.59999999999991</v>
          </cell>
        </row>
        <row r="2414">
          <cell r="D2414">
            <v>12</v>
          </cell>
          <cell r="AB2414">
            <v>855.00000000003433</v>
          </cell>
        </row>
        <row r="2415">
          <cell r="D2415">
            <v>12</v>
          </cell>
          <cell r="AB2415">
            <v>855.00000000003433</v>
          </cell>
        </row>
        <row r="2416">
          <cell r="D2416">
            <v>12</v>
          </cell>
          <cell r="AB2416">
            <v>180.00000000000722</v>
          </cell>
        </row>
        <row r="2417">
          <cell r="D2417">
            <v>12</v>
          </cell>
          <cell r="AB2417">
            <v>180.00000000000722</v>
          </cell>
        </row>
        <row r="2418">
          <cell r="D2418">
            <v>12</v>
          </cell>
          <cell r="AB2418">
            <v>180.00000000000722</v>
          </cell>
        </row>
        <row r="2419">
          <cell r="D2419">
            <v>12</v>
          </cell>
          <cell r="AB2419">
            <v>180.00000000000722</v>
          </cell>
        </row>
        <row r="2420">
          <cell r="D2420">
            <v>12</v>
          </cell>
          <cell r="AB2420">
            <v>180.00000000000722</v>
          </cell>
        </row>
        <row r="2421">
          <cell r="D2421">
            <v>12</v>
          </cell>
          <cell r="AB2421">
            <v>180.00000000000722</v>
          </cell>
        </row>
        <row r="2422">
          <cell r="D2422">
            <v>12</v>
          </cell>
          <cell r="AB2422">
            <v>180.00000000000722</v>
          </cell>
        </row>
        <row r="2423">
          <cell r="D2423">
            <v>12</v>
          </cell>
          <cell r="AB2423">
            <v>180.00000000000722</v>
          </cell>
        </row>
        <row r="2424">
          <cell r="D2424">
            <v>12</v>
          </cell>
          <cell r="AB2424">
            <v>180.00000000000722</v>
          </cell>
        </row>
        <row r="2425">
          <cell r="D2425">
            <v>12</v>
          </cell>
          <cell r="AB2425">
            <v>855.00000000003433</v>
          </cell>
        </row>
        <row r="2426">
          <cell r="D2426">
            <v>12</v>
          </cell>
          <cell r="AB2426">
            <v>855.00000000003433</v>
          </cell>
        </row>
        <row r="2427">
          <cell r="D2427">
            <v>12</v>
          </cell>
          <cell r="AB2427">
            <v>855.00000000003433</v>
          </cell>
        </row>
        <row r="2428">
          <cell r="D2428">
            <v>12</v>
          </cell>
          <cell r="AB2428">
            <v>855.00000000003433</v>
          </cell>
        </row>
        <row r="2429">
          <cell r="D2429">
            <v>12</v>
          </cell>
          <cell r="AB2429">
            <v>450.00000000001796</v>
          </cell>
        </row>
        <row r="2430">
          <cell r="D2430">
            <v>12</v>
          </cell>
          <cell r="AB2430">
            <v>450.00000000001796</v>
          </cell>
        </row>
        <row r="2431">
          <cell r="D2431">
            <v>12</v>
          </cell>
          <cell r="AB2431">
            <v>450.00000000001796</v>
          </cell>
        </row>
        <row r="2432">
          <cell r="D2432">
            <v>12</v>
          </cell>
          <cell r="AB2432">
            <v>450.00000000001796</v>
          </cell>
        </row>
        <row r="2433">
          <cell r="D2433">
            <v>12</v>
          </cell>
          <cell r="AB2433">
            <v>450.00000000001796</v>
          </cell>
        </row>
        <row r="2434">
          <cell r="D2434">
            <v>12</v>
          </cell>
          <cell r="AB2434">
            <v>675.00000000002706</v>
          </cell>
        </row>
        <row r="2435">
          <cell r="D2435">
            <v>12</v>
          </cell>
          <cell r="AB2435">
            <v>675.00000000002706</v>
          </cell>
        </row>
        <row r="2436">
          <cell r="D2436">
            <v>12</v>
          </cell>
          <cell r="AB2436">
            <v>675.00000000002706</v>
          </cell>
        </row>
        <row r="2437">
          <cell r="D2437">
            <v>12</v>
          </cell>
          <cell r="AB2437">
            <v>180.00000000000722</v>
          </cell>
          <cell r="AE2437" t="str">
            <v>İ</v>
          </cell>
        </row>
        <row r="2438">
          <cell r="D2438">
            <v>12</v>
          </cell>
          <cell r="AB2438">
            <v>2376</v>
          </cell>
        </row>
        <row r="2439">
          <cell r="D2439">
            <v>12</v>
          </cell>
          <cell r="AB2439">
            <v>450.00000000001796</v>
          </cell>
        </row>
        <row r="2440">
          <cell r="D2440">
            <v>12</v>
          </cell>
          <cell r="AB2440">
            <v>180.00000000000722</v>
          </cell>
        </row>
        <row r="2441">
          <cell r="D2441">
            <v>12</v>
          </cell>
          <cell r="AB2441">
            <v>180.00000000000722</v>
          </cell>
        </row>
        <row r="2442">
          <cell r="D2442">
            <v>12</v>
          </cell>
          <cell r="AB2442">
            <v>180.00000000000722</v>
          </cell>
        </row>
        <row r="2443">
          <cell r="D2443">
            <v>12</v>
          </cell>
          <cell r="AB2443">
            <v>180.00000000000722</v>
          </cell>
        </row>
        <row r="2444">
          <cell r="D2444">
            <v>12</v>
          </cell>
          <cell r="AB2444">
            <v>180.00000000000722</v>
          </cell>
        </row>
        <row r="2445">
          <cell r="D2445">
            <v>12</v>
          </cell>
          <cell r="AB2445">
            <v>855.00000000003433</v>
          </cell>
        </row>
        <row r="2446">
          <cell r="D2446">
            <v>12</v>
          </cell>
          <cell r="AB2446">
            <v>855.00000000003433</v>
          </cell>
        </row>
        <row r="2447">
          <cell r="D2447">
            <v>12</v>
          </cell>
          <cell r="AB2447">
            <v>855.00000000003433</v>
          </cell>
        </row>
        <row r="2448">
          <cell r="D2448">
            <v>12</v>
          </cell>
          <cell r="AB2448">
            <v>855.00000000003433</v>
          </cell>
        </row>
        <row r="2449">
          <cell r="D2449">
            <v>12</v>
          </cell>
          <cell r="AB2449">
            <v>809.9999999999759</v>
          </cell>
        </row>
        <row r="2450">
          <cell r="D2450">
            <v>12</v>
          </cell>
          <cell r="AB2450">
            <v>809.9999999999759</v>
          </cell>
        </row>
        <row r="2451">
          <cell r="D2451">
            <v>12</v>
          </cell>
          <cell r="AB2451">
            <v>809.9999999999759</v>
          </cell>
        </row>
        <row r="2452">
          <cell r="D2452">
            <v>12</v>
          </cell>
          <cell r="AB2452">
            <v>809.9999999999759</v>
          </cell>
        </row>
        <row r="2453">
          <cell r="D2453">
            <v>12</v>
          </cell>
          <cell r="AB2453">
            <v>809.9999999999759</v>
          </cell>
        </row>
        <row r="2454">
          <cell r="D2454">
            <v>12</v>
          </cell>
          <cell r="AB2454">
            <v>180.00000000000722</v>
          </cell>
        </row>
        <row r="2455">
          <cell r="D2455">
            <v>12</v>
          </cell>
          <cell r="AB2455">
            <v>180.00000000000722</v>
          </cell>
        </row>
        <row r="2456">
          <cell r="D2456">
            <v>12</v>
          </cell>
          <cell r="AB2456">
            <v>180.00000000000722</v>
          </cell>
        </row>
        <row r="2457">
          <cell r="D2457">
            <v>12</v>
          </cell>
          <cell r="AB2457">
            <v>180.00000000000722</v>
          </cell>
        </row>
        <row r="2458">
          <cell r="D2458">
            <v>12</v>
          </cell>
          <cell r="AB2458">
            <v>97.199999999997118</v>
          </cell>
        </row>
        <row r="2459">
          <cell r="D2459">
            <v>12</v>
          </cell>
          <cell r="AB2459">
            <v>97.199999999997118</v>
          </cell>
        </row>
        <row r="2460">
          <cell r="D2460">
            <v>12</v>
          </cell>
          <cell r="AB2460">
            <v>97.199999999997118</v>
          </cell>
        </row>
        <row r="2461">
          <cell r="D2461">
            <v>12</v>
          </cell>
          <cell r="AB2461">
            <v>97.199999999997118</v>
          </cell>
        </row>
        <row r="2462">
          <cell r="D2462">
            <v>12</v>
          </cell>
          <cell r="AB2462">
            <v>97.199999999997118</v>
          </cell>
        </row>
        <row r="2463">
          <cell r="D2463">
            <v>12</v>
          </cell>
          <cell r="AB2463">
            <v>54.00000000000216</v>
          </cell>
        </row>
        <row r="2464">
          <cell r="D2464">
            <v>12</v>
          </cell>
          <cell r="AB2464">
            <v>54.00000000000216</v>
          </cell>
        </row>
        <row r="2465">
          <cell r="D2465">
            <v>12</v>
          </cell>
          <cell r="AB2465">
            <v>54.00000000000216</v>
          </cell>
        </row>
        <row r="2466">
          <cell r="D2466">
            <v>12</v>
          </cell>
          <cell r="AB2466">
            <v>54.00000000000216</v>
          </cell>
        </row>
        <row r="2467">
          <cell r="D2467">
            <v>12</v>
          </cell>
          <cell r="AB2467">
            <v>54.00000000000216</v>
          </cell>
        </row>
        <row r="2468">
          <cell r="D2468">
            <v>12</v>
          </cell>
          <cell r="AB2468">
            <v>180.00000000000722</v>
          </cell>
        </row>
        <row r="2469">
          <cell r="D2469">
            <v>12</v>
          </cell>
          <cell r="AB2469">
            <v>180.00000000000722</v>
          </cell>
        </row>
        <row r="2470">
          <cell r="D2470">
            <v>12</v>
          </cell>
          <cell r="AB2470">
            <v>180.00000000000722</v>
          </cell>
        </row>
        <row r="2471">
          <cell r="D2471">
            <v>12</v>
          </cell>
          <cell r="AB2471">
            <v>180.00000000000722</v>
          </cell>
        </row>
        <row r="2472">
          <cell r="D2472">
            <v>12</v>
          </cell>
          <cell r="AB2472">
            <v>450.00000000001796</v>
          </cell>
        </row>
        <row r="2473">
          <cell r="D2473">
            <v>12</v>
          </cell>
          <cell r="AB2473">
            <v>450.00000000001796</v>
          </cell>
        </row>
        <row r="2474">
          <cell r="D2474">
            <v>12</v>
          </cell>
          <cell r="AB2474">
            <v>450.00000000001796</v>
          </cell>
        </row>
        <row r="2475">
          <cell r="D2475">
            <v>12</v>
          </cell>
          <cell r="AB2475">
            <v>450.00000000001796</v>
          </cell>
        </row>
        <row r="2476">
          <cell r="D2476">
            <v>12</v>
          </cell>
          <cell r="AB2476">
            <v>450.00000000001796</v>
          </cell>
        </row>
        <row r="2477">
          <cell r="D2477">
            <v>12</v>
          </cell>
          <cell r="AB2477">
            <v>180.00000000000722</v>
          </cell>
        </row>
        <row r="2478">
          <cell r="D2478">
            <v>12</v>
          </cell>
          <cell r="AB2478">
            <v>180.00000000000722</v>
          </cell>
        </row>
        <row r="2479">
          <cell r="D2479">
            <v>12</v>
          </cell>
          <cell r="AB2479">
            <v>450.00000000001796</v>
          </cell>
          <cell r="AE2479">
            <v>1</v>
          </cell>
        </row>
        <row r="2480">
          <cell r="D2480">
            <v>12</v>
          </cell>
          <cell r="AB2480">
            <v>180.00000000000722</v>
          </cell>
          <cell r="AE2480">
            <v>1</v>
          </cell>
        </row>
        <row r="2481">
          <cell r="D2481">
            <v>12</v>
          </cell>
          <cell r="AB2481">
            <v>180.00000000000722</v>
          </cell>
          <cell r="AE2481">
            <v>1</v>
          </cell>
        </row>
        <row r="2482">
          <cell r="D2482">
            <v>12</v>
          </cell>
          <cell r="AB2482">
            <v>1548</v>
          </cell>
          <cell r="AE2482">
            <v>1</v>
          </cell>
        </row>
        <row r="2483">
          <cell r="D2483">
            <v>12</v>
          </cell>
          <cell r="AB2483">
            <v>180.00000000000722</v>
          </cell>
        </row>
        <row r="2484">
          <cell r="D2484">
            <v>12</v>
          </cell>
          <cell r="AB2484">
            <v>180.00000000000722</v>
          </cell>
        </row>
        <row r="2485">
          <cell r="D2485">
            <v>12</v>
          </cell>
          <cell r="AB2485">
            <v>1295.9999999999616</v>
          </cell>
        </row>
        <row r="2486">
          <cell r="D2486">
            <v>12</v>
          </cell>
          <cell r="AB2486">
            <v>1295.9999999999616</v>
          </cell>
        </row>
        <row r="2487">
          <cell r="D2487">
            <v>12</v>
          </cell>
          <cell r="AB2487">
            <v>1295.9999999999616</v>
          </cell>
        </row>
        <row r="2488">
          <cell r="D2488">
            <v>12</v>
          </cell>
          <cell r="AB2488">
            <v>1295.9999999999616</v>
          </cell>
        </row>
        <row r="2489">
          <cell r="D2489">
            <v>12</v>
          </cell>
          <cell r="AB2489">
            <v>1295.9999999999616</v>
          </cell>
        </row>
        <row r="2490">
          <cell r="D2490">
            <v>12</v>
          </cell>
          <cell r="AB2490">
            <v>675.00000000002706</v>
          </cell>
        </row>
        <row r="2491">
          <cell r="D2491">
            <v>12</v>
          </cell>
          <cell r="AB2491">
            <v>675.00000000002706</v>
          </cell>
        </row>
        <row r="2492">
          <cell r="D2492">
            <v>12</v>
          </cell>
          <cell r="AB2492">
            <v>675.00000000002706</v>
          </cell>
        </row>
        <row r="2493">
          <cell r="D2493">
            <v>12</v>
          </cell>
          <cell r="AB2493">
            <v>180.00000000000722</v>
          </cell>
        </row>
        <row r="2494">
          <cell r="D2494">
            <v>12</v>
          </cell>
          <cell r="AB2494">
            <v>180.00000000000722</v>
          </cell>
        </row>
        <row r="2495">
          <cell r="D2495">
            <v>12</v>
          </cell>
          <cell r="AB2495">
            <v>180.00000000000722</v>
          </cell>
        </row>
        <row r="2496">
          <cell r="D2496">
            <v>12</v>
          </cell>
          <cell r="AB2496">
            <v>180.00000000000722</v>
          </cell>
        </row>
        <row r="2497">
          <cell r="D2497">
            <v>12</v>
          </cell>
          <cell r="AB2497">
            <v>291.59999999999138</v>
          </cell>
        </row>
        <row r="2498">
          <cell r="D2498">
            <v>12</v>
          </cell>
          <cell r="AB2498">
            <v>291.59999999999138</v>
          </cell>
        </row>
        <row r="2499">
          <cell r="D2499">
            <v>12</v>
          </cell>
          <cell r="AB2499">
            <v>291.59999999999138</v>
          </cell>
        </row>
        <row r="2500">
          <cell r="D2500">
            <v>12</v>
          </cell>
          <cell r="AB2500">
            <v>291.59999999999138</v>
          </cell>
        </row>
        <row r="2501">
          <cell r="D2501">
            <v>12</v>
          </cell>
          <cell r="AB2501">
            <v>291.59999999999138</v>
          </cell>
        </row>
        <row r="2502">
          <cell r="D2502">
            <v>12</v>
          </cell>
          <cell r="AB2502">
            <v>675.00000000002706</v>
          </cell>
        </row>
        <row r="2503">
          <cell r="D2503">
            <v>12</v>
          </cell>
          <cell r="AB2503">
            <v>675.00000000002706</v>
          </cell>
        </row>
        <row r="2504">
          <cell r="D2504">
            <v>12</v>
          </cell>
          <cell r="AB2504">
            <v>675.00000000002706</v>
          </cell>
        </row>
        <row r="2505">
          <cell r="D2505">
            <v>12</v>
          </cell>
          <cell r="AB2505">
            <v>675.00000000002706</v>
          </cell>
        </row>
        <row r="2506">
          <cell r="D2506">
            <v>12</v>
          </cell>
          <cell r="AB2506">
            <v>180.00000000000722</v>
          </cell>
        </row>
        <row r="2507">
          <cell r="D2507">
            <v>12</v>
          </cell>
          <cell r="AB2507">
            <v>180.00000000000722</v>
          </cell>
        </row>
        <row r="2508">
          <cell r="D2508">
            <v>12</v>
          </cell>
          <cell r="AB2508">
            <v>180.00000000000722</v>
          </cell>
        </row>
        <row r="2509">
          <cell r="D2509">
            <v>12</v>
          </cell>
          <cell r="AB2509">
            <v>180.00000000000722</v>
          </cell>
        </row>
        <row r="2510">
          <cell r="D2510">
            <v>12</v>
          </cell>
          <cell r="AB2510">
            <v>1619.9999999999518</v>
          </cell>
        </row>
        <row r="2511">
          <cell r="D2511">
            <v>12</v>
          </cell>
          <cell r="AB2511">
            <v>1619.9999999999518</v>
          </cell>
        </row>
        <row r="2512">
          <cell r="D2512">
            <v>12</v>
          </cell>
          <cell r="AB2512">
            <v>1619.9999999999518</v>
          </cell>
        </row>
        <row r="2513">
          <cell r="D2513">
            <v>12</v>
          </cell>
          <cell r="AB2513">
            <v>1619.9999999999518</v>
          </cell>
        </row>
        <row r="2514">
          <cell r="D2514">
            <v>12</v>
          </cell>
          <cell r="AB2514">
            <v>1619.9999999999518</v>
          </cell>
        </row>
        <row r="2515">
          <cell r="D2515">
            <v>12</v>
          </cell>
          <cell r="AB2515">
            <v>180.00000000000722</v>
          </cell>
        </row>
        <row r="2516">
          <cell r="D2516">
            <v>12</v>
          </cell>
          <cell r="AB2516">
            <v>180.00000000000722</v>
          </cell>
        </row>
        <row r="2517">
          <cell r="D2517">
            <v>12</v>
          </cell>
          <cell r="AB2517">
            <v>180.00000000000722</v>
          </cell>
        </row>
        <row r="2518">
          <cell r="D2518">
            <v>12</v>
          </cell>
          <cell r="AB2518">
            <v>180.00000000000722</v>
          </cell>
        </row>
        <row r="2519">
          <cell r="D2519">
            <v>12</v>
          </cell>
          <cell r="AB2519">
            <v>180.00000000000722</v>
          </cell>
        </row>
        <row r="2520">
          <cell r="D2520">
            <v>12</v>
          </cell>
          <cell r="AB2520">
            <v>450.00000000001796</v>
          </cell>
        </row>
        <row r="2521">
          <cell r="D2521">
            <v>12</v>
          </cell>
          <cell r="AB2521">
            <v>450.00000000001796</v>
          </cell>
        </row>
        <row r="2522">
          <cell r="D2522">
            <v>12</v>
          </cell>
          <cell r="AB2522">
            <v>450.00000000001796</v>
          </cell>
        </row>
        <row r="2523">
          <cell r="D2523">
            <v>12</v>
          </cell>
          <cell r="AB2523">
            <v>450.00000000001796</v>
          </cell>
        </row>
        <row r="2524">
          <cell r="D2524">
            <v>12</v>
          </cell>
          <cell r="AB2524">
            <v>450.00000000001796</v>
          </cell>
        </row>
        <row r="2525">
          <cell r="D2525">
            <v>12</v>
          </cell>
          <cell r="AB2525">
            <v>450.00000000001796</v>
          </cell>
        </row>
        <row r="2526">
          <cell r="D2526">
            <v>12</v>
          </cell>
          <cell r="AB2526">
            <v>450.00000000001796</v>
          </cell>
        </row>
        <row r="2527">
          <cell r="D2527">
            <v>12</v>
          </cell>
          <cell r="AB2527">
            <v>450.00000000001796</v>
          </cell>
        </row>
        <row r="2528">
          <cell r="D2528">
            <v>12</v>
          </cell>
          <cell r="AB2528">
            <v>450.00000000001796</v>
          </cell>
        </row>
        <row r="2529">
          <cell r="D2529">
            <v>12</v>
          </cell>
          <cell r="AB2529">
            <v>450.00000000001796</v>
          </cell>
        </row>
        <row r="2530">
          <cell r="D2530">
            <v>12</v>
          </cell>
          <cell r="AB2530">
            <v>450.00000000001796</v>
          </cell>
        </row>
        <row r="2531">
          <cell r="D2531">
            <v>12</v>
          </cell>
          <cell r="AB2531">
            <v>450.00000000001796</v>
          </cell>
        </row>
        <row r="2532">
          <cell r="D2532">
            <v>12</v>
          </cell>
          <cell r="AB2532">
            <v>450.00000000001796</v>
          </cell>
        </row>
        <row r="2533">
          <cell r="D2533">
            <v>12</v>
          </cell>
          <cell r="AB2533">
            <v>450.00000000001796</v>
          </cell>
        </row>
        <row r="2534">
          <cell r="D2534">
            <v>12</v>
          </cell>
          <cell r="AB2534">
            <v>2099.9999999999341</v>
          </cell>
          <cell r="AE2534">
            <v>1</v>
          </cell>
        </row>
        <row r="2535">
          <cell r="D2535">
            <v>12</v>
          </cell>
          <cell r="AB2535">
            <v>855.00000000003433</v>
          </cell>
        </row>
        <row r="2536">
          <cell r="D2536">
            <v>12</v>
          </cell>
          <cell r="AB2536">
            <v>570</v>
          </cell>
          <cell r="AE2536">
            <v>1</v>
          </cell>
        </row>
        <row r="2537">
          <cell r="D2537">
            <v>12</v>
          </cell>
          <cell r="AB2537">
            <v>855.00000000003433</v>
          </cell>
        </row>
        <row r="2538">
          <cell r="D2538">
            <v>12</v>
          </cell>
          <cell r="AB2538">
            <v>855.00000000003433</v>
          </cell>
        </row>
        <row r="2539">
          <cell r="D2539">
            <v>12</v>
          </cell>
          <cell r="AB2539">
            <v>675.00000000002706</v>
          </cell>
        </row>
        <row r="2540">
          <cell r="D2540">
            <v>12</v>
          </cell>
          <cell r="AB2540">
            <v>675.00000000002706</v>
          </cell>
        </row>
        <row r="2541">
          <cell r="D2541">
            <v>12</v>
          </cell>
          <cell r="AB2541">
            <v>675.00000000002706</v>
          </cell>
        </row>
        <row r="2542">
          <cell r="D2542">
            <v>12</v>
          </cell>
          <cell r="AB2542">
            <v>450.00000000001796</v>
          </cell>
        </row>
        <row r="2543">
          <cell r="D2543">
            <v>12</v>
          </cell>
          <cell r="AB2543">
            <v>450.00000000001796</v>
          </cell>
        </row>
        <row r="2544">
          <cell r="D2544">
            <v>12</v>
          </cell>
          <cell r="AB2544">
            <v>450.00000000001796</v>
          </cell>
        </row>
        <row r="2545">
          <cell r="D2545">
            <v>12</v>
          </cell>
          <cell r="AB2545">
            <v>324.00000000001296</v>
          </cell>
        </row>
        <row r="2546">
          <cell r="D2546">
            <v>12</v>
          </cell>
          <cell r="AB2546">
            <v>324.00000000001296</v>
          </cell>
        </row>
        <row r="2547">
          <cell r="D2547">
            <v>12</v>
          </cell>
          <cell r="AB2547">
            <v>324.00000000001296</v>
          </cell>
        </row>
        <row r="2548">
          <cell r="D2548">
            <v>12</v>
          </cell>
          <cell r="AB2548">
            <v>855.00000000003433</v>
          </cell>
        </row>
        <row r="2549">
          <cell r="D2549">
            <v>12</v>
          </cell>
          <cell r="AB2549">
            <v>855.00000000003433</v>
          </cell>
        </row>
        <row r="2550">
          <cell r="D2550">
            <v>12</v>
          </cell>
          <cell r="AB2550">
            <v>855.00000000003433</v>
          </cell>
        </row>
        <row r="2551">
          <cell r="D2551">
            <v>12</v>
          </cell>
          <cell r="AB2551">
            <v>855.00000000003433</v>
          </cell>
        </row>
        <row r="2552">
          <cell r="D2552">
            <v>12</v>
          </cell>
          <cell r="AB2552">
            <v>675.00000000002706</v>
          </cell>
        </row>
        <row r="2553">
          <cell r="D2553">
            <v>12</v>
          </cell>
          <cell r="AB2553">
            <v>675.00000000002706</v>
          </cell>
        </row>
        <row r="2554">
          <cell r="D2554">
            <v>12</v>
          </cell>
          <cell r="AB2554">
            <v>675.00000000002706</v>
          </cell>
        </row>
        <row r="2555">
          <cell r="D2555">
            <v>12</v>
          </cell>
          <cell r="AB2555">
            <v>675.00000000002706</v>
          </cell>
        </row>
        <row r="2556">
          <cell r="D2556">
            <v>12</v>
          </cell>
          <cell r="AB2556">
            <v>675.00000000002706</v>
          </cell>
        </row>
        <row r="2557">
          <cell r="D2557">
            <v>12</v>
          </cell>
          <cell r="AB2557">
            <v>450.00000000001796</v>
          </cell>
        </row>
        <row r="2558">
          <cell r="D2558">
            <v>12</v>
          </cell>
          <cell r="AB2558">
            <v>450.00000000001796</v>
          </cell>
        </row>
        <row r="2559">
          <cell r="D2559">
            <v>12</v>
          </cell>
          <cell r="AB2559">
            <v>450.00000000001796</v>
          </cell>
        </row>
        <row r="2560">
          <cell r="D2560">
            <v>12</v>
          </cell>
          <cell r="AB2560">
            <v>855.00000000003433</v>
          </cell>
        </row>
        <row r="2561">
          <cell r="D2561">
            <v>12</v>
          </cell>
          <cell r="AB2561">
            <v>855.00000000003433</v>
          </cell>
        </row>
        <row r="2562">
          <cell r="D2562">
            <v>12</v>
          </cell>
          <cell r="AB2562">
            <v>855.00000000003433</v>
          </cell>
        </row>
        <row r="2563">
          <cell r="D2563">
            <v>12</v>
          </cell>
          <cell r="AB2563">
            <v>855.00000000003433</v>
          </cell>
        </row>
        <row r="2564">
          <cell r="D2564">
            <v>12</v>
          </cell>
          <cell r="AB2564">
            <v>855.00000000003433</v>
          </cell>
        </row>
        <row r="2565">
          <cell r="D2565">
            <v>12</v>
          </cell>
          <cell r="AB2565">
            <v>180.00000000000722</v>
          </cell>
        </row>
        <row r="2566">
          <cell r="D2566">
            <v>12</v>
          </cell>
          <cell r="AB2566">
            <v>180.00000000000722</v>
          </cell>
        </row>
        <row r="2567">
          <cell r="D2567">
            <v>12</v>
          </cell>
          <cell r="AB2567">
            <v>180.00000000000722</v>
          </cell>
        </row>
        <row r="2568">
          <cell r="D2568">
            <v>12</v>
          </cell>
          <cell r="AB2568">
            <v>180.00000000000722</v>
          </cell>
        </row>
        <row r="2569">
          <cell r="D2569">
            <v>12</v>
          </cell>
          <cell r="AB2569">
            <v>180.00000000000722</v>
          </cell>
        </row>
        <row r="2570">
          <cell r="D2570">
            <v>12</v>
          </cell>
          <cell r="AB2570">
            <v>180.00000000000722</v>
          </cell>
        </row>
        <row r="2571">
          <cell r="D2571">
            <v>12</v>
          </cell>
          <cell r="AB2571">
            <v>180.00000000000722</v>
          </cell>
        </row>
        <row r="2572">
          <cell r="D2572">
            <v>12</v>
          </cell>
          <cell r="AB2572">
            <v>180.00000000000722</v>
          </cell>
        </row>
        <row r="2573">
          <cell r="D2573">
            <v>12</v>
          </cell>
          <cell r="AB2573">
            <v>180.00000000000722</v>
          </cell>
        </row>
        <row r="2574">
          <cell r="D2574">
            <v>12</v>
          </cell>
          <cell r="AB2574">
            <v>180.00000000000722</v>
          </cell>
        </row>
        <row r="2575">
          <cell r="D2575">
            <v>12</v>
          </cell>
          <cell r="AB2575">
            <v>180.00000000000722</v>
          </cell>
        </row>
        <row r="2576">
          <cell r="D2576">
            <v>12</v>
          </cell>
          <cell r="AB2576">
            <v>180.00000000000722</v>
          </cell>
        </row>
        <row r="2577">
          <cell r="D2577">
            <v>12</v>
          </cell>
          <cell r="AB2577">
            <v>180.00000000000722</v>
          </cell>
        </row>
        <row r="2578">
          <cell r="D2578">
            <v>12</v>
          </cell>
          <cell r="AB2578">
            <v>855.00000000003433</v>
          </cell>
        </row>
        <row r="2579">
          <cell r="D2579">
            <v>12</v>
          </cell>
          <cell r="AB2579">
            <v>855.00000000003433</v>
          </cell>
        </row>
        <row r="2580">
          <cell r="D2580">
            <v>12</v>
          </cell>
          <cell r="AB2580">
            <v>855.00000000003433</v>
          </cell>
        </row>
        <row r="2581">
          <cell r="D2581">
            <v>12</v>
          </cell>
          <cell r="AB2581">
            <v>855.00000000003433</v>
          </cell>
        </row>
        <row r="2582">
          <cell r="D2582">
            <v>12</v>
          </cell>
          <cell r="AB2582">
            <v>675.00000000002706</v>
          </cell>
        </row>
        <row r="2583">
          <cell r="D2583">
            <v>12</v>
          </cell>
          <cell r="AB2583">
            <v>180.00000000000722</v>
          </cell>
        </row>
        <row r="2584">
          <cell r="D2584">
            <v>12</v>
          </cell>
          <cell r="AB2584">
            <v>180.00000000000722</v>
          </cell>
        </row>
        <row r="2585">
          <cell r="D2585">
            <v>12</v>
          </cell>
          <cell r="AB2585">
            <v>180.00000000000722</v>
          </cell>
        </row>
        <row r="2586">
          <cell r="D2586">
            <v>12</v>
          </cell>
          <cell r="AB2586">
            <v>180.00000000000722</v>
          </cell>
        </row>
        <row r="2587">
          <cell r="D2587">
            <v>12</v>
          </cell>
          <cell r="AB2587">
            <v>855.00000000003433</v>
          </cell>
        </row>
        <row r="2588">
          <cell r="D2588">
            <v>12</v>
          </cell>
          <cell r="AB2588">
            <v>1170</v>
          </cell>
        </row>
        <row r="2589">
          <cell r="D2589">
            <v>12</v>
          </cell>
          <cell r="AB2589">
            <v>1083.5999999999999</v>
          </cell>
          <cell r="AE2589">
            <v>1</v>
          </cell>
        </row>
        <row r="2590">
          <cell r="D2590">
            <v>12</v>
          </cell>
          <cell r="AB2590">
            <v>855.00000000003433</v>
          </cell>
        </row>
        <row r="2591">
          <cell r="D2591">
            <v>12</v>
          </cell>
          <cell r="AB2591">
            <v>855.00000000003433</v>
          </cell>
        </row>
        <row r="2592">
          <cell r="D2592">
            <v>12</v>
          </cell>
          <cell r="AB2592">
            <v>1295.9999999999616</v>
          </cell>
        </row>
        <row r="2593">
          <cell r="D2593">
            <v>12</v>
          </cell>
          <cell r="AB2593">
            <v>1295.9999999999616</v>
          </cell>
        </row>
        <row r="2594">
          <cell r="D2594">
            <v>12</v>
          </cell>
          <cell r="AB2594">
            <v>600.00000000000978</v>
          </cell>
          <cell r="AE2594" t="str">
            <v>İ</v>
          </cell>
        </row>
        <row r="2595">
          <cell r="D2595">
            <v>12</v>
          </cell>
          <cell r="AB2595">
            <v>600.00000000000978</v>
          </cell>
          <cell r="AE2595" t="str">
            <v>İ</v>
          </cell>
        </row>
        <row r="2596">
          <cell r="D2596">
            <v>12</v>
          </cell>
          <cell r="AB2596">
            <v>1295.9999999999616</v>
          </cell>
        </row>
        <row r="2597">
          <cell r="D2597">
            <v>12</v>
          </cell>
          <cell r="AB2597">
            <v>1295.9999999999616</v>
          </cell>
        </row>
        <row r="2598">
          <cell r="D2598">
            <v>12</v>
          </cell>
          <cell r="AB2598">
            <v>180.00000000000722</v>
          </cell>
        </row>
        <row r="2599">
          <cell r="D2599">
            <v>12</v>
          </cell>
          <cell r="AB2599">
            <v>180.00000000000722</v>
          </cell>
        </row>
        <row r="2600">
          <cell r="D2600">
            <v>12</v>
          </cell>
          <cell r="AB2600">
            <v>180.00000000000722</v>
          </cell>
        </row>
        <row r="2601">
          <cell r="D2601">
            <v>12</v>
          </cell>
          <cell r="AB2601">
            <v>180.00000000000722</v>
          </cell>
        </row>
        <row r="2602">
          <cell r="D2602">
            <v>12</v>
          </cell>
          <cell r="AB2602">
            <v>324.00000000001296</v>
          </cell>
        </row>
        <row r="2603">
          <cell r="D2603">
            <v>12</v>
          </cell>
          <cell r="AB2603">
            <v>324.00000000001296</v>
          </cell>
        </row>
        <row r="2604">
          <cell r="D2604">
            <v>12</v>
          </cell>
          <cell r="AB2604">
            <v>324.00000000001296</v>
          </cell>
        </row>
        <row r="2605">
          <cell r="D2605">
            <v>12</v>
          </cell>
          <cell r="AB2605">
            <v>324.00000000001296</v>
          </cell>
        </row>
        <row r="2606">
          <cell r="D2606">
            <v>12</v>
          </cell>
          <cell r="AB2606">
            <v>1295.9999999999616</v>
          </cell>
        </row>
        <row r="2607">
          <cell r="D2607">
            <v>12</v>
          </cell>
          <cell r="AB2607">
            <v>1295.9999999999616</v>
          </cell>
        </row>
        <row r="2608">
          <cell r="D2608">
            <v>12</v>
          </cell>
          <cell r="AB2608">
            <v>1295.9999999999616</v>
          </cell>
        </row>
        <row r="2609">
          <cell r="D2609">
            <v>12</v>
          </cell>
          <cell r="AB2609">
            <v>1295.9999999999616</v>
          </cell>
        </row>
        <row r="2610">
          <cell r="D2610">
            <v>12</v>
          </cell>
          <cell r="AB2610">
            <v>1295.9999999999616</v>
          </cell>
        </row>
        <row r="2611">
          <cell r="D2611">
            <v>12</v>
          </cell>
          <cell r="AB2611">
            <v>54.00000000000216</v>
          </cell>
        </row>
        <row r="2612">
          <cell r="D2612">
            <v>12</v>
          </cell>
          <cell r="AB2612">
            <v>54.00000000000216</v>
          </cell>
        </row>
        <row r="2613">
          <cell r="D2613">
            <v>12</v>
          </cell>
          <cell r="AB2613">
            <v>54.00000000000216</v>
          </cell>
        </row>
        <row r="2614">
          <cell r="D2614">
            <v>12</v>
          </cell>
          <cell r="AB2614">
            <v>54.00000000000216</v>
          </cell>
        </row>
        <row r="2615">
          <cell r="D2615">
            <v>12</v>
          </cell>
          <cell r="AB2615">
            <v>54.00000000000216</v>
          </cell>
        </row>
        <row r="2616">
          <cell r="D2616">
            <v>12</v>
          </cell>
          <cell r="AB2616">
            <v>1295.9999999999616</v>
          </cell>
        </row>
        <row r="2617">
          <cell r="D2617">
            <v>12</v>
          </cell>
          <cell r="AB2617">
            <v>1295.9999999999616</v>
          </cell>
        </row>
        <row r="2618">
          <cell r="D2618">
            <v>12</v>
          </cell>
          <cell r="AB2618">
            <v>1295.9999999999616</v>
          </cell>
        </row>
        <row r="2619">
          <cell r="D2619">
            <v>12</v>
          </cell>
          <cell r="AB2619">
            <v>1295.9999999999616</v>
          </cell>
        </row>
        <row r="2620">
          <cell r="D2620">
            <v>12</v>
          </cell>
          <cell r="AB2620">
            <v>1295.9999999999616</v>
          </cell>
        </row>
        <row r="2621">
          <cell r="D2621">
            <v>12</v>
          </cell>
          <cell r="AB2621">
            <v>324.00000000001296</v>
          </cell>
        </row>
        <row r="2622">
          <cell r="D2622">
            <v>12</v>
          </cell>
          <cell r="AB2622">
            <v>324.00000000001296</v>
          </cell>
        </row>
        <row r="2623">
          <cell r="D2623">
            <v>12</v>
          </cell>
          <cell r="AB2623">
            <v>324.00000000001296</v>
          </cell>
        </row>
        <row r="2624">
          <cell r="D2624">
            <v>12</v>
          </cell>
          <cell r="AB2624">
            <v>324.00000000001296</v>
          </cell>
        </row>
        <row r="2625">
          <cell r="D2625">
            <v>12</v>
          </cell>
          <cell r="AB2625">
            <v>675.00000000002706</v>
          </cell>
        </row>
        <row r="2626">
          <cell r="D2626">
            <v>12</v>
          </cell>
          <cell r="AB2626">
            <v>675.00000000002706</v>
          </cell>
        </row>
        <row r="2627">
          <cell r="D2627">
            <v>12</v>
          </cell>
          <cell r="AB2627">
            <v>675.00000000002706</v>
          </cell>
        </row>
        <row r="2628">
          <cell r="D2628">
            <v>12</v>
          </cell>
          <cell r="AB2628">
            <v>675.00000000002706</v>
          </cell>
        </row>
        <row r="2629">
          <cell r="D2629">
            <v>12</v>
          </cell>
          <cell r="AB2629">
            <v>675.00000000002706</v>
          </cell>
        </row>
        <row r="2630">
          <cell r="D2630">
            <v>12</v>
          </cell>
          <cell r="AB2630">
            <v>323.99999999999039</v>
          </cell>
        </row>
        <row r="2631">
          <cell r="D2631">
            <v>12</v>
          </cell>
          <cell r="AB2631">
            <v>323.99999999999039</v>
          </cell>
        </row>
        <row r="2632">
          <cell r="D2632">
            <v>12</v>
          </cell>
          <cell r="AB2632">
            <v>323.99999999999039</v>
          </cell>
        </row>
        <row r="2633">
          <cell r="D2633">
            <v>12</v>
          </cell>
          <cell r="AB2633">
            <v>323.99999999999039</v>
          </cell>
        </row>
        <row r="2634">
          <cell r="D2634">
            <v>12</v>
          </cell>
          <cell r="AB2634">
            <v>323.99999999999039</v>
          </cell>
        </row>
        <row r="2635">
          <cell r="D2635">
            <v>12</v>
          </cell>
          <cell r="AB2635">
            <v>323.99999999999039</v>
          </cell>
        </row>
        <row r="2636">
          <cell r="D2636">
            <v>12</v>
          </cell>
          <cell r="AB2636">
            <v>323.99999999999039</v>
          </cell>
        </row>
        <row r="2637">
          <cell r="D2637">
            <v>12</v>
          </cell>
          <cell r="AB2637">
            <v>323.99999999999039</v>
          </cell>
        </row>
        <row r="2638">
          <cell r="D2638">
            <v>12</v>
          </cell>
          <cell r="AB2638">
            <v>323.99999999999039</v>
          </cell>
        </row>
        <row r="2639">
          <cell r="D2639">
            <v>12</v>
          </cell>
          <cell r="AB2639">
            <v>323.99999999999039</v>
          </cell>
        </row>
        <row r="2640">
          <cell r="D2640">
            <v>12</v>
          </cell>
          <cell r="AB2640">
            <v>323.99999999999039</v>
          </cell>
        </row>
        <row r="2641">
          <cell r="D2641">
            <v>12</v>
          </cell>
          <cell r="AB2641">
            <v>323.99999999999039</v>
          </cell>
        </row>
        <row r="2642">
          <cell r="D2642">
            <v>12</v>
          </cell>
          <cell r="AB2642">
            <v>323.99999999999039</v>
          </cell>
        </row>
        <row r="2643">
          <cell r="D2643">
            <v>12</v>
          </cell>
          <cell r="AB2643">
            <v>323.99999999999039</v>
          </cell>
        </row>
        <row r="2644">
          <cell r="D2644">
            <v>12</v>
          </cell>
          <cell r="AB2644">
            <v>323.99999999999039</v>
          </cell>
        </row>
        <row r="2645">
          <cell r="D2645">
            <v>12</v>
          </cell>
          <cell r="AB2645">
            <v>323.99999999999039</v>
          </cell>
        </row>
        <row r="2646">
          <cell r="D2646">
            <v>12</v>
          </cell>
          <cell r="AB2646">
            <v>323.99999999999039</v>
          </cell>
        </row>
        <row r="2647">
          <cell r="D2647">
            <v>12</v>
          </cell>
          <cell r="AB2647">
            <v>323.99999999999039</v>
          </cell>
        </row>
        <row r="2648">
          <cell r="D2648">
            <v>12</v>
          </cell>
          <cell r="AB2648">
            <v>324.00000000001296</v>
          </cell>
        </row>
        <row r="2649">
          <cell r="D2649">
            <v>12</v>
          </cell>
          <cell r="AB2649">
            <v>324.00000000001296</v>
          </cell>
        </row>
        <row r="2650">
          <cell r="D2650">
            <v>12</v>
          </cell>
          <cell r="AB2650">
            <v>324.00000000001296</v>
          </cell>
        </row>
        <row r="2651">
          <cell r="D2651">
            <v>12</v>
          </cell>
          <cell r="AB2651">
            <v>450.00000000001796</v>
          </cell>
        </row>
        <row r="2652">
          <cell r="D2652">
            <v>12</v>
          </cell>
          <cell r="AB2652">
            <v>450.00000000001796</v>
          </cell>
        </row>
        <row r="2653">
          <cell r="D2653">
            <v>12</v>
          </cell>
          <cell r="AB2653">
            <v>450.00000000001796</v>
          </cell>
        </row>
        <row r="2654">
          <cell r="D2654">
            <v>12</v>
          </cell>
          <cell r="AB2654">
            <v>450.00000000001796</v>
          </cell>
        </row>
        <row r="2655">
          <cell r="D2655">
            <v>12</v>
          </cell>
          <cell r="AB2655">
            <v>450.00000000001796</v>
          </cell>
        </row>
        <row r="2656">
          <cell r="D2656">
            <v>12</v>
          </cell>
          <cell r="AB2656">
            <v>1619.9999999999518</v>
          </cell>
        </row>
        <row r="2657">
          <cell r="D2657">
            <v>12</v>
          </cell>
          <cell r="AB2657">
            <v>1619.9999999999518</v>
          </cell>
        </row>
        <row r="2658">
          <cell r="D2658">
            <v>12</v>
          </cell>
          <cell r="AB2658">
            <v>1619.9999999999518</v>
          </cell>
        </row>
        <row r="2659">
          <cell r="D2659">
            <v>12</v>
          </cell>
          <cell r="AB2659">
            <v>1295.9999999999616</v>
          </cell>
        </row>
        <row r="2660">
          <cell r="D2660">
            <v>12</v>
          </cell>
          <cell r="AB2660">
            <v>1295.9999999999616</v>
          </cell>
        </row>
        <row r="2661">
          <cell r="D2661">
            <v>12</v>
          </cell>
          <cell r="AB2661">
            <v>1295.9999999999616</v>
          </cell>
        </row>
        <row r="2662">
          <cell r="D2662">
            <v>12</v>
          </cell>
          <cell r="AB2662">
            <v>1295.9999999999616</v>
          </cell>
        </row>
        <row r="2663">
          <cell r="D2663">
            <v>12</v>
          </cell>
          <cell r="AB2663">
            <v>1295.9999999999616</v>
          </cell>
        </row>
        <row r="2664">
          <cell r="D2664">
            <v>12</v>
          </cell>
          <cell r="AB2664">
            <v>675.00000000002706</v>
          </cell>
        </row>
        <row r="2665">
          <cell r="D2665">
            <v>12</v>
          </cell>
          <cell r="AB2665">
            <v>675.00000000002706</v>
          </cell>
        </row>
        <row r="2666">
          <cell r="D2666">
            <v>12</v>
          </cell>
          <cell r="AB2666">
            <v>675.00000000002706</v>
          </cell>
        </row>
        <row r="2667">
          <cell r="D2667">
            <v>12</v>
          </cell>
          <cell r="AB2667">
            <v>675.00000000002706</v>
          </cell>
        </row>
        <row r="2668">
          <cell r="D2668">
            <v>12</v>
          </cell>
          <cell r="AB2668">
            <v>1295.9999999999616</v>
          </cell>
        </row>
        <row r="2669">
          <cell r="D2669">
            <v>12</v>
          </cell>
          <cell r="AB2669">
            <v>1295.9999999999616</v>
          </cell>
        </row>
        <row r="2670">
          <cell r="D2670">
            <v>12</v>
          </cell>
          <cell r="AB2670">
            <v>1295.9999999999616</v>
          </cell>
        </row>
        <row r="2671">
          <cell r="D2671">
            <v>12</v>
          </cell>
          <cell r="AB2671">
            <v>1295.9999999999616</v>
          </cell>
        </row>
        <row r="2672">
          <cell r="D2672">
            <v>12</v>
          </cell>
          <cell r="AB2672">
            <v>1295.9999999999616</v>
          </cell>
        </row>
        <row r="2673">
          <cell r="D2673">
            <v>12</v>
          </cell>
          <cell r="AB2673">
            <v>450.00000000001796</v>
          </cell>
        </row>
        <row r="2674">
          <cell r="D2674">
            <v>12</v>
          </cell>
          <cell r="AB2674">
            <v>450.00000000001796</v>
          </cell>
        </row>
        <row r="2675">
          <cell r="D2675">
            <v>12</v>
          </cell>
          <cell r="AB2675">
            <v>450.00000000001796</v>
          </cell>
        </row>
        <row r="2676">
          <cell r="D2676">
            <v>12</v>
          </cell>
          <cell r="AB2676">
            <v>1295.9999999999616</v>
          </cell>
        </row>
        <row r="2677">
          <cell r="D2677">
            <v>12</v>
          </cell>
          <cell r="AB2677">
            <v>1295.9999999999616</v>
          </cell>
        </row>
        <row r="2678">
          <cell r="D2678">
            <v>12</v>
          </cell>
          <cell r="AB2678">
            <v>1295.9999999999616</v>
          </cell>
        </row>
        <row r="2679">
          <cell r="D2679">
            <v>12</v>
          </cell>
          <cell r="AB2679">
            <v>1295.9999999999616</v>
          </cell>
        </row>
        <row r="2680">
          <cell r="D2680">
            <v>12</v>
          </cell>
          <cell r="AB2680">
            <v>450.00000000001796</v>
          </cell>
        </row>
        <row r="2681">
          <cell r="D2681">
            <v>12</v>
          </cell>
          <cell r="AB2681">
            <v>450.00000000001796</v>
          </cell>
        </row>
        <row r="2682">
          <cell r="D2682">
            <v>12</v>
          </cell>
          <cell r="AB2682">
            <v>450.00000000001796</v>
          </cell>
        </row>
        <row r="2683">
          <cell r="D2683">
            <v>12</v>
          </cell>
          <cell r="AB2683">
            <v>450.00000000001796</v>
          </cell>
        </row>
        <row r="2684">
          <cell r="D2684">
            <v>12</v>
          </cell>
          <cell r="AB2684">
            <v>450.00000000001796</v>
          </cell>
        </row>
        <row r="2685">
          <cell r="D2685">
            <v>12</v>
          </cell>
          <cell r="AB2685">
            <v>450.00000000001796</v>
          </cell>
        </row>
        <row r="2686">
          <cell r="D2686">
            <v>12</v>
          </cell>
          <cell r="AB2686">
            <v>450.00000000001796</v>
          </cell>
        </row>
        <row r="2687">
          <cell r="D2687">
            <v>12</v>
          </cell>
          <cell r="AB2687">
            <v>450.00000000001796</v>
          </cell>
        </row>
        <row r="2688">
          <cell r="D2688">
            <v>12</v>
          </cell>
          <cell r="AB2688">
            <v>450.00000000001796</v>
          </cell>
        </row>
        <row r="2689">
          <cell r="D2689">
            <v>12</v>
          </cell>
          <cell r="AB2689">
            <v>450.00000000001796</v>
          </cell>
        </row>
        <row r="2690">
          <cell r="D2690">
            <v>12</v>
          </cell>
          <cell r="AB2690">
            <v>450.00000000001796</v>
          </cell>
        </row>
        <row r="2691">
          <cell r="D2691">
            <v>12</v>
          </cell>
          <cell r="AB2691">
            <v>450.00000000001796</v>
          </cell>
        </row>
        <row r="2692">
          <cell r="D2692">
            <v>12</v>
          </cell>
          <cell r="AB2692">
            <v>450.00000000001796</v>
          </cell>
        </row>
        <row r="2693">
          <cell r="D2693">
            <v>12</v>
          </cell>
          <cell r="AB2693">
            <v>675.00000000002706</v>
          </cell>
        </row>
        <row r="2694">
          <cell r="D2694">
            <v>12</v>
          </cell>
          <cell r="AB2694">
            <v>675.00000000002706</v>
          </cell>
        </row>
        <row r="2695">
          <cell r="D2695">
            <v>12</v>
          </cell>
          <cell r="AB2695">
            <v>675.00000000002706</v>
          </cell>
        </row>
        <row r="2696">
          <cell r="D2696">
            <v>12</v>
          </cell>
          <cell r="AB2696">
            <v>675.00000000002706</v>
          </cell>
        </row>
        <row r="2697">
          <cell r="D2697">
            <v>12</v>
          </cell>
          <cell r="AB2697">
            <v>855.00000000003433</v>
          </cell>
        </row>
        <row r="2698">
          <cell r="D2698">
            <v>12</v>
          </cell>
          <cell r="AB2698">
            <v>1049.999999999967</v>
          </cell>
          <cell r="AE2698" t="str">
            <v>İ</v>
          </cell>
        </row>
        <row r="2699">
          <cell r="D2699">
            <v>12</v>
          </cell>
          <cell r="AB2699">
            <v>1310.3999999999999</v>
          </cell>
          <cell r="AE2699" t="str">
            <v>İ</v>
          </cell>
        </row>
        <row r="2700">
          <cell r="D2700">
            <v>12</v>
          </cell>
          <cell r="AB2700">
            <v>1140.0000000000186</v>
          </cell>
          <cell r="AE2700">
            <v>1</v>
          </cell>
        </row>
        <row r="2701">
          <cell r="D2701">
            <v>12</v>
          </cell>
          <cell r="AB2701">
            <v>855.00000000003433</v>
          </cell>
        </row>
        <row r="2702">
          <cell r="D2702">
            <v>12</v>
          </cell>
          <cell r="AB2702">
            <v>855.00000000003433</v>
          </cell>
        </row>
        <row r="2703">
          <cell r="D2703">
            <v>12</v>
          </cell>
          <cell r="AB2703">
            <v>450.00000000001796</v>
          </cell>
        </row>
        <row r="2704">
          <cell r="D2704">
            <v>12</v>
          </cell>
          <cell r="AB2704">
            <v>450.00000000001796</v>
          </cell>
        </row>
        <row r="2705">
          <cell r="D2705">
            <v>12</v>
          </cell>
          <cell r="AB2705">
            <v>450.00000000001796</v>
          </cell>
        </row>
        <row r="2706">
          <cell r="D2706">
            <v>12</v>
          </cell>
          <cell r="AB2706">
            <v>450.00000000001796</v>
          </cell>
        </row>
        <row r="2707">
          <cell r="D2707">
            <v>12</v>
          </cell>
          <cell r="AB2707">
            <v>450.00000000001796</v>
          </cell>
        </row>
        <row r="2708">
          <cell r="D2708">
            <v>12</v>
          </cell>
          <cell r="AB2708">
            <v>324.00000000001296</v>
          </cell>
        </row>
        <row r="2709">
          <cell r="D2709">
            <v>12</v>
          </cell>
          <cell r="AB2709">
            <v>324.00000000001296</v>
          </cell>
        </row>
        <row r="2710">
          <cell r="D2710">
            <v>12</v>
          </cell>
          <cell r="AB2710">
            <v>324.00000000001296</v>
          </cell>
        </row>
        <row r="2711">
          <cell r="D2711">
            <v>12</v>
          </cell>
          <cell r="AB2711">
            <v>324.00000000001296</v>
          </cell>
        </row>
        <row r="2712">
          <cell r="D2712">
            <v>12</v>
          </cell>
          <cell r="AB2712">
            <v>855.00000000003433</v>
          </cell>
        </row>
        <row r="2713">
          <cell r="D2713">
            <v>12</v>
          </cell>
          <cell r="AB2713">
            <v>855.00000000003433</v>
          </cell>
        </row>
        <row r="2714">
          <cell r="D2714">
            <v>12</v>
          </cell>
          <cell r="AB2714">
            <v>855.00000000003433</v>
          </cell>
        </row>
        <row r="2715">
          <cell r="D2715">
            <v>12</v>
          </cell>
          <cell r="AB2715">
            <v>855.00000000003433</v>
          </cell>
        </row>
        <row r="2716">
          <cell r="D2716">
            <v>12</v>
          </cell>
          <cell r="AB2716">
            <v>855.00000000003433</v>
          </cell>
        </row>
        <row r="2717">
          <cell r="D2717">
            <v>12</v>
          </cell>
          <cell r="AB2717">
            <v>1295.9999999999616</v>
          </cell>
        </row>
        <row r="2718">
          <cell r="D2718">
            <v>12</v>
          </cell>
          <cell r="AB2718">
            <v>1295.9999999999616</v>
          </cell>
        </row>
        <row r="2719">
          <cell r="D2719">
            <v>12</v>
          </cell>
          <cell r="AB2719">
            <v>1295.9999999999616</v>
          </cell>
        </row>
        <row r="2720">
          <cell r="D2720">
            <v>12</v>
          </cell>
          <cell r="AB2720">
            <v>1295.9999999999616</v>
          </cell>
        </row>
        <row r="2721">
          <cell r="D2721">
            <v>12</v>
          </cell>
          <cell r="AB2721">
            <v>1295.9999999999616</v>
          </cell>
        </row>
        <row r="2722">
          <cell r="D2722">
            <v>12</v>
          </cell>
          <cell r="AB2722">
            <v>1295.9999999999616</v>
          </cell>
        </row>
        <row r="2723">
          <cell r="D2723">
            <v>12</v>
          </cell>
          <cell r="AB2723">
            <v>1295.9999999999616</v>
          </cell>
        </row>
        <row r="2724">
          <cell r="D2724">
            <v>12</v>
          </cell>
          <cell r="AB2724">
            <v>1295.9999999999616</v>
          </cell>
        </row>
        <row r="2725">
          <cell r="D2725">
            <v>12</v>
          </cell>
          <cell r="AB2725">
            <v>450.00000000001796</v>
          </cell>
        </row>
        <row r="2726">
          <cell r="D2726">
            <v>12</v>
          </cell>
          <cell r="AB2726">
            <v>450.00000000001796</v>
          </cell>
        </row>
        <row r="2727">
          <cell r="D2727">
            <v>12</v>
          </cell>
          <cell r="AB2727">
            <v>450.00000000001796</v>
          </cell>
        </row>
        <row r="2728">
          <cell r="D2728">
            <v>12</v>
          </cell>
          <cell r="AB2728">
            <v>450.00000000001796</v>
          </cell>
        </row>
        <row r="2729">
          <cell r="D2729">
            <v>12</v>
          </cell>
          <cell r="AB2729">
            <v>323.99999999999039</v>
          </cell>
        </row>
        <row r="2730">
          <cell r="D2730">
            <v>12</v>
          </cell>
          <cell r="AB2730">
            <v>323.99999999999039</v>
          </cell>
        </row>
        <row r="2731">
          <cell r="D2731">
            <v>12</v>
          </cell>
          <cell r="AB2731">
            <v>323.99999999999039</v>
          </cell>
        </row>
        <row r="2732">
          <cell r="D2732">
            <v>12</v>
          </cell>
          <cell r="AB2732">
            <v>323.99999999999039</v>
          </cell>
        </row>
        <row r="2733">
          <cell r="D2733">
            <v>12</v>
          </cell>
          <cell r="AB2733">
            <v>323.99999999999039</v>
          </cell>
        </row>
        <row r="2734">
          <cell r="D2734">
            <v>12</v>
          </cell>
          <cell r="AB2734">
            <v>323.99999999999039</v>
          </cell>
        </row>
        <row r="2735">
          <cell r="D2735">
            <v>12</v>
          </cell>
          <cell r="AB2735">
            <v>323.99999999999039</v>
          </cell>
        </row>
        <row r="2736">
          <cell r="D2736">
            <v>12</v>
          </cell>
          <cell r="AB2736">
            <v>323.99999999999039</v>
          </cell>
        </row>
        <row r="2737">
          <cell r="D2737">
            <v>12</v>
          </cell>
          <cell r="AB2737">
            <v>324.00000000001296</v>
          </cell>
        </row>
        <row r="2738">
          <cell r="D2738">
            <v>12</v>
          </cell>
          <cell r="AB2738">
            <v>324.00000000001296</v>
          </cell>
        </row>
        <row r="2739">
          <cell r="D2739">
            <v>12</v>
          </cell>
          <cell r="AB2739">
            <v>324.00000000001296</v>
          </cell>
        </row>
        <row r="2740">
          <cell r="D2740">
            <v>12</v>
          </cell>
          <cell r="AB2740">
            <v>324.00000000001296</v>
          </cell>
        </row>
        <row r="2741">
          <cell r="D2741">
            <v>12</v>
          </cell>
          <cell r="AB2741">
            <v>324.00000000001296</v>
          </cell>
        </row>
        <row r="2742">
          <cell r="D2742">
            <v>12</v>
          </cell>
          <cell r="AB2742">
            <v>450.00000000001796</v>
          </cell>
        </row>
        <row r="2743">
          <cell r="D2743">
            <v>12</v>
          </cell>
          <cell r="AB2743">
            <v>450.00000000001796</v>
          </cell>
        </row>
        <row r="2744">
          <cell r="D2744">
            <v>12</v>
          </cell>
          <cell r="AB2744">
            <v>450.00000000001796</v>
          </cell>
        </row>
        <row r="2745">
          <cell r="D2745">
            <v>12</v>
          </cell>
          <cell r="AB2745">
            <v>450.00000000001796</v>
          </cell>
        </row>
        <row r="2746">
          <cell r="D2746">
            <v>12</v>
          </cell>
          <cell r="AB2746">
            <v>450.00000000001796</v>
          </cell>
        </row>
        <row r="2747">
          <cell r="D2747">
            <v>12</v>
          </cell>
          <cell r="AB2747">
            <v>450.00000000001796</v>
          </cell>
        </row>
        <row r="2748">
          <cell r="D2748">
            <v>12</v>
          </cell>
          <cell r="AB2748">
            <v>450.00000000001796</v>
          </cell>
        </row>
        <row r="2749">
          <cell r="D2749">
            <v>12</v>
          </cell>
          <cell r="AB2749">
            <v>450.00000000001796</v>
          </cell>
        </row>
        <row r="2750">
          <cell r="D2750">
            <v>12</v>
          </cell>
          <cell r="AB2750">
            <v>324.00000000001296</v>
          </cell>
        </row>
        <row r="2751">
          <cell r="D2751">
            <v>12</v>
          </cell>
          <cell r="AB2751">
            <v>324.00000000001296</v>
          </cell>
        </row>
        <row r="2752">
          <cell r="D2752">
            <v>12</v>
          </cell>
          <cell r="AB2752">
            <v>324.00000000001296</v>
          </cell>
        </row>
        <row r="2753">
          <cell r="D2753">
            <v>12</v>
          </cell>
          <cell r="AB2753">
            <v>324.00000000001296</v>
          </cell>
        </row>
        <row r="2754">
          <cell r="D2754">
            <v>12</v>
          </cell>
          <cell r="AB2754">
            <v>324.00000000001296</v>
          </cell>
        </row>
        <row r="2755">
          <cell r="D2755">
            <v>12</v>
          </cell>
          <cell r="AB2755">
            <v>450.00000000001796</v>
          </cell>
        </row>
        <row r="2756">
          <cell r="D2756">
            <v>12</v>
          </cell>
          <cell r="AB2756">
            <v>450.00000000001796</v>
          </cell>
        </row>
        <row r="2757">
          <cell r="D2757">
            <v>12</v>
          </cell>
          <cell r="AB2757">
            <v>450.00000000001796</v>
          </cell>
        </row>
        <row r="2758">
          <cell r="D2758">
            <v>12</v>
          </cell>
          <cell r="AB2758">
            <v>450.00000000001796</v>
          </cell>
        </row>
        <row r="2759">
          <cell r="D2759">
            <v>12</v>
          </cell>
          <cell r="AB2759">
            <v>450.00000000001796</v>
          </cell>
        </row>
        <row r="2760">
          <cell r="D2760">
            <v>12</v>
          </cell>
          <cell r="AB2760">
            <v>600.00000000000978</v>
          </cell>
        </row>
        <row r="2761">
          <cell r="D2761">
            <v>12</v>
          </cell>
          <cell r="AB2761">
            <v>450.00000000001796</v>
          </cell>
        </row>
        <row r="2762">
          <cell r="D2762">
            <v>12</v>
          </cell>
          <cell r="AB2762">
            <v>450.00000000001796</v>
          </cell>
        </row>
        <row r="2763">
          <cell r="D2763">
            <v>12</v>
          </cell>
          <cell r="AB2763">
            <v>97.199999999997118</v>
          </cell>
        </row>
        <row r="2764">
          <cell r="D2764">
            <v>12</v>
          </cell>
          <cell r="AB2764">
            <v>97.199999999997118</v>
          </cell>
        </row>
        <row r="2765">
          <cell r="D2765">
            <v>12</v>
          </cell>
          <cell r="AB2765">
            <v>97.199999999997118</v>
          </cell>
        </row>
        <row r="2766">
          <cell r="D2766">
            <v>12</v>
          </cell>
          <cell r="AB2766">
            <v>97.199999999997118</v>
          </cell>
        </row>
        <row r="2767">
          <cell r="D2767">
            <v>12</v>
          </cell>
          <cell r="AB2767">
            <v>1295.9999999999616</v>
          </cell>
        </row>
        <row r="2768">
          <cell r="D2768">
            <v>12</v>
          </cell>
          <cell r="AB2768">
            <v>1295.9999999999616</v>
          </cell>
        </row>
        <row r="2769">
          <cell r="D2769">
            <v>12</v>
          </cell>
          <cell r="AB2769">
            <v>1295.9999999999616</v>
          </cell>
        </row>
        <row r="2770">
          <cell r="D2770">
            <v>12</v>
          </cell>
          <cell r="AB2770">
            <v>1295.9999999999616</v>
          </cell>
        </row>
        <row r="2771">
          <cell r="D2771">
            <v>12</v>
          </cell>
          <cell r="AB2771">
            <v>1295.9999999999616</v>
          </cell>
        </row>
        <row r="2772">
          <cell r="D2772">
            <v>12</v>
          </cell>
          <cell r="AB2772">
            <v>1295.9999999999616</v>
          </cell>
        </row>
        <row r="2773">
          <cell r="D2773">
            <v>12</v>
          </cell>
          <cell r="AB2773">
            <v>1295.9999999999616</v>
          </cell>
        </row>
        <row r="2774">
          <cell r="D2774">
            <v>12</v>
          </cell>
          <cell r="AB2774">
            <v>1295.9999999999616</v>
          </cell>
        </row>
        <row r="2775">
          <cell r="D2775">
            <v>12</v>
          </cell>
          <cell r="AB2775">
            <v>1295.9999999999616</v>
          </cell>
        </row>
        <row r="2776">
          <cell r="D2776">
            <v>12</v>
          </cell>
          <cell r="AB2776">
            <v>1295.9999999999616</v>
          </cell>
        </row>
        <row r="2777">
          <cell r="D2777">
            <v>12</v>
          </cell>
          <cell r="AB2777">
            <v>450.00000000001796</v>
          </cell>
        </row>
        <row r="2778">
          <cell r="D2778">
            <v>12</v>
          </cell>
          <cell r="AB2778">
            <v>450.00000000001796</v>
          </cell>
        </row>
        <row r="2779">
          <cell r="D2779">
            <v>12</v>
          </cell>
          <cell r="AB2779">
            <v>450.00000000001796</v>
          </cell>
        </row>
        <row r="2780">
          <cell r="D2780">
            <v>12</v>
          </cell>
          <cell r="AB2780">
            <v>450.00000000001796</v>
          </cell>
        </row>
        <row r="2781">
          <cell r="D2781">
            <v>12</v>
          </cell>
          <cell r="AB2781">
            <v>97.199999999997118</v>
          </cell>
        </row>
        <row r="2782">
          <cell r="D2782">
            <v>12</v>
          </cell>
          <cell r="AB2782">
            <v>97.199999999997118</v>
          </cell>
        </row>
        <row r="2783">
          <cell r="D2783">
            <v>12</v>
          </cell>
          <cell r="AB2783">
            <v>97.199999999997118</v>
          </cell>
        </row>
        <row r="2784">
          <cell r="D2784">
            <v>12</v>
          </cell>
          <cell r="AB2784">
            <v>97.199999999997118</v>
          </cell>
        </row>
        <row r="2785">
          <cell r="D2785">
            <v>12</v>
          </cell>
          <cell r="AB2785">
            <v>1295.9999999999616</v>
          </cell>
        </row>
        <row r="2786">
          <cell r="D2786">
            <v>12</v>
          </cell>
          <cell r="AB2786">
            <v>1295.9999999999616</v>
          </cell>
        </row>
        <row r="2787">
          <cell r="D2787">
            <v>12</v>
          </cell>
          <cell r="AB2787">
            <v>1295.9999999999616</v>
          </cell>
        </row>
        <row r="2788">
          <cell r="D2788">
            <v>12</v>
          </cell>
          <cell r="AB2788">
            <v>1295.9999999999616</v>
          </cell>
        </row>
        <row r="2789">
          <cell r="D2789">
            <v>12</v>
          </cell>
          <cell r="AB2789">
            <v>180.00000000000722</v>
          </cell>
        </row>
        <row r="2790">
          <cell r="D2790">
            <v>12</v>
          </cell>
          <cell r="AB2790">
            <v>180.00000000000722</v>
          </cell>
        </row>
        <row r="2791">
          <cell r="D2791">
            <v>12</v>
          </cell>
          <cell r="AB2791">
            <v>180.00000000000722</v>
          </cell>
        </row>
        <row r="2792">
          <cell r="D2792">
            <v>12</v>
          </cell>
          <cell r="AB2792">
            <v>180.00000000000722</v>
          </cell>
        </row>
        <row r="2793">
          <cell r="D2793">
            <v>12</v>
          </cell>
          <cell r="AB2793">
            <v>855.00000000003433</v>
          </cell>
        </row>
        <row r="2794">
          <cell r="D2794">
            <v>12</v>
          </cell>
          <cell r="AB2794">
            <v>855.00000000003433</v>
          </cell>
        </row>
        <row r="2795">
          <cell r="D2795">
            <v>12</v>
          </cell>
          <cell r="AB2795">
            <v>855.00000000003433</v>
          </cell>
        </row>
        <row r="2796">
          <cell r="D2796">
            <v>12</v>
          </cell>
          <cell r="AB2796">
            <v>855.00000000003433</v>
          </cell>
        </row>
        <row r="2797">
          <cell r="D2797">
            <v>12</v>
          </cell>
          <cell r="AB2797">
            <v>675.00000000002706</v>
          </cell>
        </row>
        <row r="2798">
          <cell r="D2798">
            <v>12</v>
          </cell>
          <cell r="AB2798">
            <v>675.00000000002706</v>
          </cell>
        </row>
        <row r="2799">
          <cell r="D2799">
            <v>12</v>
          </cell>
          <cell r="AB2799">
            <v>675.00000000002706</v>
          </cell>
        </row>
        <row r="2800">
          <cell r="D2800">
            <v>12</v>
          </cell>
          <cell r="AB2800">
            <v>675.00000000002706</v>
          </cell>
        </row>
        <row r="2801">
          <cell r="D2801">
            <v>12</v>
          </cell>
          <cell r="AB2801">
            <v>675.00000000002706</v>
          </cell>
        </row>
        <row r="2802">
          <cell r="D2802">
            <v>12</v>
          </cell>
          <cell r="AB2802">
            <v>675.00000000002706</v>
          </cell>
        </row>
        <row r="2803">
          <cell r="D2803">
            <v>12</v>
          </cell>
          <cell r="AB2803">
            <v>675.00000000002706</v>
          </cell>
        </row>
        <row r="2804">
          <cell r="D2804">
            <v>12</v>
          </cell>
          <cell r="AB2804">
            <v>675.00000000002706</v>
          </cell>
        </row>
        <row r="2805">
          <cell r="D2805">
            <v>12</v>
          </cell>
          <cell r="AB2805">
            <v>675.00000000002706</v>
          </cell>
        </row>
        <row r="2806">
          <cell r="D2806">
            <v>12</v>
          </cell>
          <cell r="AB2806">
            <v>675.00000000002706</v>
          </cell>
        </row>
        <row r="2807">
          <cell r="D2807">
            <v>12</v>
          </cell>
          <cell r="AB2807">
            <v>675.00000000002706</v>
          </cell>
        </row>
        <row r="2808">
          <cell r="D2808">
            <v>12</v>
          </cell>
          <cell r="AB2808">
            <v>97.199999999997118</v>
          </cell>
        </row>
        <row r="2809">
          <cell r="D2809">
            <v>12</v>
          </cell>
          <cell r="AB2809">
            <v>97.199999999997118</v>
          </cell>
        </row>
        <row r="2810">
          <cell r="D2810">
            <v>12</v>
          </cell>
          <cell r="AB2810">
            <v>97.199999999997118</v>
          </cell>
        </row>
        <row r="2811">
          <cell r="D2811">
            <v>12</v>
          </cell>
          <cell r="AB2811">
            <v>97.199999999997118</v>
          </cell>
        </row>
        <row r="2812">
          <cell r="D2812">
            <v>12</v>
          </cell>
          <cell r="AB2812">
            <v>1295.9999999999616</v>
          </cell>
        </row>
        <row r="2813">
          <cell r="D2813">
            <v>12</v>
          </cell>
          <cell r="AB2813">
            <v>1295.9999999999616</v>
          </cell>
        </row>
        <row r="2814">
          <cell r="D2814">
            <v>12</v>
          </cell>
          <cell r="AB2814">
            <v>1295.9999999999616</v>
          </cell>
        </row>
        <row r="2815">
          <cell r="D2815">
            <v>12</v>
          </cell>
          <cell r="AB2815">
            <v>1295.9999999999616</v>
          </cell>
        </row>
        <row r="2816">
          <cell r="D2816">
            <v>12</v>
          </cell>
          <cell r="AB2816">
            <v>1295.9999999999616</v>
          </cell>
        </row>
        <row r="2817">
          <cell r="D2817">
            <v>12</v>
          </cell>
          <cell r="AB2817">
            <v>1295.9999999999616</v>
          </cell>
        </row>
        <row r="2818">
          <cell r="D2818">
            <v>12</v>
          </cell>
          <cell r="AB2818">
            <v>1295.9999999999616</v>
          </cell>
        </row>
        <row r="2819">
          <cell r="D2819">
            <v>12</v>
          </cell>
          <cell r="AB2819">
            <v>1295.9999999999616</v>
          </cell>
        </row>
        <row r="2820">
          <cell r="D2820">
            <v>12</v>
          </cell>
          <cell r="AB2820">
            <v>180.00000000000722</v>
          </cell>
        </row>
        <row r="2821">
          <cell r="D2821">
            <v>12</v>
          </cell>
          <cell r="AB2821">
            <v>180.00000000000722</v>
          </cell>
        </row>
        <row r="2822">
          <cell r="D2822">
            <v>12</v>
          </cell>
          <cell r="AB2822">
            <v>180.00000000000722</v>
          </cell>
        </row>
        <row r="2823">
          <cell r="D2823">
            <v>12</v>
          </cell>
          <cell r="AB2823">
            <v>180.00000000000722</v>
          </cell>
        </row>
        <row r="2824">
          <cell r="D2824">
            <v>12</v>
          </cell>
          <cell r="AB2824">
            <v>324.00000000001296</v>
          </cell>
        </row>
        <row r="2825">
          <cell r="D2825">
            <v>12</v>
          </cell>
          <cell r="AB2825">
            <v>324.00000000001296</v>
          </cell>
        </row>
        <row r="2826">
          <cell r="D2826">
            <v>12</v>
          </cell>
          <cell r="AB2826">
            <v>324.00000000001296</v>
          </cell>
        </row>
        <row r="2827">
          <cell r="D2827">
            <v>12</v>
          </cell>
          <cell r="AB2827">
            <v>324.00000000001296</v>
          </cell>
        </row>
        <row r="2828">
          <cell r="D2828">
            <v>12</v>
          </cell>
          <cell r="AB2828">
            <v>180.00000000000722</v>
          </cell>
        </row>
        <row r="2829">
          <cell r="D2829">
            <v>12</v>
          </cell>
          <cell r="AB2829">
            <v>180.00000000000722</v>
          </cell>
        </row>
        <row r="2830">
          <cell r="D2830">
            <v>12</v>
          </cell>
          <cell r="AB2830">
            <v>180.00000000000722</v>
          </cell>
        </row>
        <row r="2831">
          <cell r="D2831">
            <v>12</v>
          </cell>
          <cell r="AB2831">
            <v>180.00000000000722</v>
          </cell>
        </row>
        <row r="2832">
          <cell r="D2832">
            <v>12</v>
          </cell>
          <cell r="AB2832">
            <v>97.199999999997118</v>
          </cell>
        </row>
        <row r="2833">
          <cell r="D2833">
            <v>12</v>
          </cell>
          <cell r="AB2833">
            <v>97.199999999997118</v>
          </cell>
        </row>
        <row r="2834">
          <cell r="D2834">
            <v>12</v>
          </cell>
          <cell r="AB2834">
            <v>97.199999999997118</v>
          </cell>
        </row>
        <row r="2835">
          <cell r="D2835">
            <v>12</v>
          </cell>
          <cell r="AB2835">
            <v>97.199999999997118</v>
          </cell>
        </row>
        <row r="2836">
          <cell r="D2836">
            <v>12</v>
          </cell>
          <cell r="AB2836">
            <v>97.199999999997118</v>
          </cell>
        </row>
        <row r="2837">
          <cell r="D2837">
            <v>12</v>
          </cell>
          <cell r="AB2837">
            <v>180.00000000000722</v>
          </cell>
        </row>
        <row r="2838">
          <cell r="D2838">
            <v>12</v>
          </cell>
          <cell r="AB2838">
            <v>180.00000000000722</v>
          </cell>
        </row>
        <row r="2839">
          <cell r="D2839">
            <v>12</v>
          </cell>
          <cell r="AB2839">
            <v>180.00000000000722</v>
          </cell>
        </row>
        <row r="2840">
          <cell r="D2840">
            <v>12</v>
          </cell>
          <cell r="AB2840">
            <v>180.00000000000722</v>
          </cell>
        </row>
        <row r="2841">
          <cell r="D2841">
            <v>12</v>
          </cell>
          <cell r="AB2841">
            <v>600.00000000000978</v>
          </cell>
        </row>
        <row r="2842">
          <cell r="D2842">
            <v>12</v>
          </cell>
          <cell r="AB2842">
            <v>675.00000000002706</v>
          </cell>
        </row>
        <row r="2843">
          <cell r="D2843">
            <v>12</v>
          </cell>
          <cell r="AB2843">
            <v>855.00000000003433</v>
          </cell>
        </row>
        <row r="2844">
          <cell r="D2844">
            <v>12</v>
          </cell>
          <cell r="AB2844">
            <v>855.00000000003433</v>
          </cell>
        </row>
        <row r="2845">
          <cell r="D2845">
            <v>12</v>
          </cell>
          <cell r="AB2845">
            <v>855.00000000003433</v>
          </cell>
        </row>
        <row r="2846">
          <cell r="D2846">
            <v>12</v>
          </cell>
          <cell r="AB2846">
            <v>855.00000000003433</v>
          </cell>
        </row>
        <row r="2847">
          <cell r="D2847">
            <v>12</v>
          </cell>
          <cell r="AB2847">
            <v>324.00000000001296</v>
          </cell>
        </row>
        <row r="2848">
          <cell r="D2848">
            <v>12</v>
          </cell>
          <cell r="AB2848">
            <v>324.00000000001296</v>
          </cell>
        </row>
        <row r="2849">
          <cell r="D2849">
            <v>12</v>
          </cell>
          <cell r="AB2849">
            <v>324.00000000001296</v>
          </cell>
        </row>
        <row r="2850">
          <cell r="D2850">
            <v>12</v>
          </cell>
          <cell r="AB2850">
            <v>324.00000000001296</v>
          </cell>
        </row>
        <row r="2851">
          <cell r="D2851">
            <v>12</v>
          </cell>
          <cell r="AB2851">
            <v>324.00000000001296</v>
          </cell>
        </row>
        <row r="2852">
          <cell r="D2852">
            <v>12</v>
          </cell>
          <cell r="AB2852">
            <v>324.00000000001296</v>
          </cell>
        </row>
        <row r="2853">
          <cell r="D2853">
            <v>12</v>
          </cell>
          <cell r="AB2853">
            <v>324.00000000001296</v>
          </cell>
        </row>
        <row r="2854">
          <cell r="D2854">
            <v>12</v>
          </cell>
          <cell r="AB2854">
            <v>324.00000000001296</v>
          </cell>
        </row>
        <row r="2855">
          <cell r="D2855">
            <v>12</v>
          </cell>
          <cell r="AB2855">
            <v>324.00000000001296</v>
          </cell>
        </row>
        <row r="2856">
          <cell r="D2856">
            <v>12</v>
          </cell>
          <cell r="AB2856">
            <v>324.00000000001296</v>
          </cell>
        </row>
        <row r="2857">
          <cell r="D2857">
            <v>12</v>
          </cell>
          <cell r="AB2857">
            <v>324.00000000001296</v>
          </cell>
        </row>
        <row r="2858">
          <cell r="D2858">
            <v>12</v>
          </cell>
          <cell r="AB2858">
            <v>324.00000000001296</v>
          </cell>
        </row>
        <row r="2859">
          <cell r="D2859">
            <v>12</v>
          </cell>
          <cell r="AB2859">
            <v>324.00000000001296</v>
          </cell>
        </row>
        <row r="2860">
          <cell r="D2860">
            <v>12</v>
          </cell>
          <cell r="AB2860">
            <v>324.00000000001296</v>
          </cell>
        </row>
        <row r="2861">
          <cell r="D2861">
            <v>12</v>
          </cell>
          <cell r="AB2861">
            <v>675.00000000002706</v>
          </cell>
        </row>
        <row r="2862">
          <cell r="D2862">
            <v>12</v>
          </cell>
          <cell r="AB2862">
            <v>675.00000000002706</v>
          </cell>
        </row>
        <row r="2863">
          <cell r="D2863">
            <v>12</v>
          </cell>
          <cell r="AB2863">
            <v>675.00000000002706</v>
          </cell>
        </row>
        <row r="2864">
          <cell r="D2864">
            <v>12</v>
          </cell>
          <cell r="AB2864">
            <v>675.00000000002706</v>
          </cell>
        </row>
        <row r="2865">
          <cell r="D2865">
            <v>12</v>
          </cell>
          <cell r="AB2865">
            <v>675.00000000002706</v>
          </cell>
        </row>
        <row r="2866">
          <cell r="D2866">
            <v>12</v>
          </cell>
          <cell r="AB2866">
            <v>675.00000000002706</v>
          </cell>
        </row>
        <row r="2867">
          <cell r="D2867">
            <v>12</v>
          </cell>
          <cell r="AB2867">
            <v>675.00000000002706</v>
          </cell>
        </row>
        <row r="2868">
          <cell r="D2868">
            <v>12</v>
          </cell>
          <cell r="AB2868">
            <v>675.00000000002706</v>
          </cell>
        </row>
        <row r="2869">
          <cell r="D2869">
            <v>12</v>
          </cell>
          <cell r="AB2869">
            <v>180.00000000000722</v>
          </cell>
        </row>
        <row r="2870">
          <cell r="D2870">
            <v>12</v>
          </cell>
          <cell r="AB2870">
            <v>180.00000000000722</v>
          </cell>
        </row>
        <row r="2871">
          <cell r="D2871">
            <v>12</v>
          </cell>
          <cell r="AB2871">
            <v>180.00000000000722</v>
          </cell>
        </row>
        <row r="2872">
          <cell r="D2872">
            <v>12</v>
          </cell>
          <cell r="AB2872">
            <v>180.00000000000722</v>
          </cell>
        </row>
        <row r="2873">
          <cell r="D2873">
            <v>12</v>
          </cell>
          <cell r="AB2873">
            <v>180.00000000000722</v>
          </cell>
        </row>
        <row r="2874">
          <cell r="D2874">
            <v>12</v>
          </cell>
          <cell r="AB2874">
            <v>324.00000000001296</v>
          </cell>
        </row>
        <row r="2875">
          <cell r="D2875">
            <v>12</v>
          </cell>
          <cell r="AB2875">
            <v>324.00000000001296</v>
          </cell>
        </row>
        <row r="2876">
          <cell r="D2876">
            <v>12</v>
          </cell>
          <cell r="AB2876">
            <v>324.00000000001296</v>
          </cell>
        </row>
        <row r="2877">
          <cell r="D2877">
            <v>12</v>
          </cell>
          <cell r="AB2877">
            <v>324.00000000001296</v>
          </cell>
        </row>
        <row r="2878">
          <cell r="D2878">
            <v>12</v>
          </cell>
          <cell r="AB2878">
            <v>324.00000000001296</v>
          </cell>
        </row>
        <row r="2879">
          <cell r="D2879">
            <v>12</v>
          </cell>
          <cell r="AB2879">
            <v>324.00000000001296</v>
          </cell>
        </row>
        <row r="2880">
          <cell r="D2880">
            <v>12</v>
          </cell>
          <cell r="AB2880">
            <v>324.00000000001296</v>
          </cell>
        </row>
        <row r="2881">
          <cell r="D2881">
            <v>12</v>
          </cell>
          <cell r="AB2881">
            <v>324.00000000001296</v>
          </cell>
        </row>
        <row r="2882">
          <cell r="D2882">
            <v>12</v>
          </cell>
          <cell r="AB2882">
            <v>324.00000000001296</v>
          </cell>
        </row>
        <row r="2883">
          <cell r="D2883">
            <v>12</v>
          </cell>
          <cell r="AB2883">
            <v>324.00000000001296</v>
          </cell>
        </row>
        <row r="2884">
          <cell r="D2884">
            <v>12</v>
          </cell>
          <cell r="AB2884">
            <v>324.00000000001296</v>
          </cell>
        </row>
        <row r="2885">
          <cell r="D2885">
            <v>12</v>
          </cell>
          <cell r="AB2885">
            <v>324.00000000001296</v>
          </cell>
        </row>
        <row r="2886">
          <cell r="D2886">
            <v>12</v>
          </cell>
          <cell r="AB2886">
            <v>675.00000000002706</v>
          </cell>
        </row>
        <row r="2887">
          <cell r="D2887">
            <v>12</v>
          </cell>
          <cell r="AB2887">
            <v>675.00000000002706</v>
          </cell>
        </row>
        <row r="2888">
          <cell r="D2888">
            <v>12</v>
          </cell>
          <cell r="AB2888">
            <v>1295.9999999999616</v>
          </cell>
        </row>
        <row r="2889">
          <cell r="D2889">
            <v>12</v>
          </cell>
          <cell r="AB2889">
            <v>1295.9999999999616</v>
          </cell>
        </row>
        <row r="2890">
          <cell r="D2890">
            <v>12</v>
          </cell>
          <cell r="AB2890">
            <v>1295.9999999999616</v>
          </cell>
        </row>
        <row r="2891">
          <cell r="D2891">
            <v>12</v>
          </cell>
          <cell r="AB2891">
            <v>1295.9999999999616</v>
          </cell>
        </row>
        <row r="2892">
          <cell r="D2892">
            <v>12</v>
          </cell>
          <cell r="AB2892">
            <v>97.199999999997118</v>
          </cell>
        </row>
        <row r="2893">
          <cell r="D2893">
            <v>12</v>
          </cell>
          <cell r="AB2893">
            <v>97.199999999997118</v>
          </cell>
        </row>
        <row r="2894">
          <cell r="D2894">
            <v>12</v>
          </cell>
          <cell r="AB2894">
            <v>97.199999999997118</v>
          </cell>
        </row>
        <row r="2895">
          <cell r="D2895">
            <v>12</v>
          </cell>
          <cell r="AB2895">
            <v>97.199999999997118</v>
          </cell>
        </row>
        <row r="2896">
          <cell r="D2896">
            <v>12</v>
          </cell>
          <cell r="AB2896">
            <v>97.199999999997118</v>
          </cell>
        </row>
        <row r="2897">
          <cell r="D2897">
            <v>12</v>
          </cell>
          <cell r="AB2897">
            <v>324.00000000001296</v>
          </cell>
        </row>
        <row r="2898">
          <cell r="D2898">
            <v>12</v>
          </cell>
          <cell r="AB2898">
            <v>324.00000000001296</v>
          </cell>
        </row>
        <row r="2899">
          <cell r="D2899">
            <v>12</v>
          </cell>
          <cell r="AB2899">
            <v>324.00000000001296</v>
          </cell>
        </row>
        <row r="2900">
          <cell r="D2900">
            <v>12</v>
          </cell>
          <cell r="AB2900">
            <v>324.00000000001296</v>
          </cell>
        </row>
        <row r="2901">
          <cell r="D2901">
            <v>12</v>
          </cell>
          <cell r="AB2901">
            <v>324.00000000001296</v>
          </cell>
        </row>
        <row r="2902">
          <cell r="D2902">
            <v>12</v>
          </cell>
          <cell r="AB2902">
            <v>675.00000000002706</v>
          </cell>
        </row>
        <row r="2903">
          <cell r="D2903">
            <v>12</v>
          </cell>
          <cell r="AB2903">
            <v>675.00000000002706</v>
          </cell>
        </row>
        <row r="2904">
          <cell r="D2904">
            <v>12</v>
          </cell>
          <cell r="AB2904">
            <v>675.00000000002706</v>
          </cell>
        </row>
        <row r="2905">
          <cell r="D2905">
            <v>12</v>
          </cell>
          <cell r="AB2905">
            <v>675.00000000002706</v>
          </cell>
        </row>
        <row r="2906">
          <cell r="D2906">
            <v>12</v>
          </cell>
          <cell r="AB2906">
            <v>675.00000000002706</v>
          </cell>
        </row>
        <row r="2907">
          <cell r="D2907">
            <v>12</v>
          </cell>
          <cell r="AB2907">
            <v>450.00000000001796</v>
          </cell>
        </row>
        <row r="2908">
          <cell r="D2908">
            <v>12</v>
          </cell>
          <cell r="AB2908">
            <v>450.00000000001796</v>
          </cell>
        </row>
        <row r="2909">
          <cell r="D2909">
            <v>12</v>
          </cell>
          <cell r="AB2909">
            <v>450.00000000001796</v>
          </cell>
        </row>
        <row r="2910">
          <cell r="D2910">
            <v>12</v>
          </cell>
          <cell r="AB2910">
            <v>324.00000000001296</v>
          </cell>
        </row>
        <row r="2911">
          <cell r="D2911">
            <v>12</v>
          </cell>
          <cell r="AB2911">
            <v>324.00000000001296</v>
          </cell>
        </row>
        <row r="2912">
          <cell r="D2912">
            <v>12</v>
          </cell>
          <cell r="AB2912">
            <v>324.00000000001296</v>
          </cell>
        </row>
        <row r="2913">
          <cell r="D2913">
            <v>12</v>
          </cell>
          <cell r="AB2913">
            <v>324.00000000001296</v>
          </cell>
        </row>
        <row r="2914">
          <cell r="D2914">
            <v>12</v>
          </cell>
          <cell r="AB2914">
            <v>324.00000000001296</v>
          </cell>
        </row>
        <row r="2915">
          <cell r="D2915">
            <v>12</v>
          </cell>
          <cell r="AB2915">
            <v>324.00000000001296</v>
          </cell>
        </row>
        <row r="2916">
          <cell r="D2916">
            <v>12</v>
          </cell>
          <cell r="AB2916">
            <v>675.00000000002706</v>
          </cell>
        </row>
        <row r="2917">
          <cell r="D2917">
            <v>12</v>
          </cell>
          <cell r="AB2917">
            <v>675.00000000002706</v>
          </cell>
        </row>
        <row r="2918">
          <cell r="D2918">
            <v>12</v>
          </cell>
          <cell r="AB2918">
            <v>675.00000000002706</v>
          </cell>
        </row>
        <row r="2919">
          <cell r="D2919">
            <v>12</v>
          </cell>
          <cell r="AB2919">
            <v>324.00000000001296</v>
          </cell>
        </row>
        <row r="2920">
          <cell r="D2920">
            <v>12</v>
          </cell>
          <cell r="AB2920">
            <v>324.00000000001296</v>
          </cell>
        </row>
        <row r="2921">
          <cell r="D2921">
            <v>12</v>
          </cell>
          <cell r="AB2921">
            <v>324.00000000001296</v>
          </cell>
        </row>
        <row r="2922">
          <cell r="D2922">
            <v>12</v>
          </cell>
          <cell r="AB2922">
            <v>855.00000000003433</v>
          </cell>
        </row>
        <row r="2923">
          <cell r="D2923">
            <v>12</v>
          </cell>
          <cell r="AB2923">
            <v>855.00000000003433</v>
          </cell>
        </row>
        <row r="2924">
          <cell r="D2924">
            <v>12</v>
          </cell>
          <cell r="AB2924">
            <v>855.00000000003433</v>
          </cell>
        </row>
        <row r="2925">
          <cell r="D2925">
            <v>12</v>
          </cell>
          <cell r="AB2925">
            <v>855.00000000003433</v>
          </cell>
        </row>
        <row r="2926">
          <cell r="D2926">
            <v>12</v>
          </cell>
          <cell r="AB2926">
            <v>855.00000000003433</v>
          </cell>
        </row>
        <row r="2927">
          <cell r="D2927">
            <v>12</v>
          </cell>
          <cell r="AB2927">
            <v>855.00000000003433</v>
          </cell>
        </row>
        <row r="2928">
          <cell r="D2928">
            <v>12</v>
          </cell>
          <cell r="AB2928">
            <v>855.00000000003433</v>
          </cell>
        </row>
        <row r="2929">
          <cell r="D2929">
            <v>12</v>
          </cell>
          <cell r="AB2929">
            <v>97.199999999997118</v>
          </cell>
        </row>
        <row r="2930">
          <cell r="D2930">
            <v>12</v>
          </cell>
          <cell r="AB2930">
            <v>97.199999999997118</v>
          </cell>
        </row>
        <row r="2931">
          <cell r="D2931">
            <v>12</v>
          </cell>
          <cell r="AB2931">
            <v>97.199999999997118</v>
          </cell>
        </row>
        <row r="2932">
          <cell r="D2932">
            <v>12</v>
          </cell>
          <cell r="AB2932">
            <v>97.199999999997118</v>
          </cell>
        </row>
        <row r="2933">
          <cell r="D2933">
            <v>12</v>
          </cell>
          <cell r="AB2933">
            <v>97.199999999997118</v>
          </cell>
        </row>
        <row r="2934">
          <cell r="D2934">
            <v>12</v>
          </cell>
          <cell r="AB2934">
            <v>324.00000000001296</v>
          </cell>
        </row>
        <row r="2935">
          <cell r="D2935">
            <v>12</v>
          </cell>
          <cell r="AB2935">
            <v>324.00000000001296</v>
          </cell>
        </row>
        <row r="2936">
          <cell r="D2936">
            <v>12</v>
          </cell>
          <cell r="AB2936">
            <v>324.00000000001296</v>
          </cell>
        </row>
        <row r="2937">
          <cell r="D2937">
            <v>12</v>
          </cell>
          <cell r="AB2937">
            <v>324.00000000001296</v>
          </cell>
        </row>
        <row r="2938">
          <cell r="D2938">
            <v>12</v>
          </cell>
          <cell r="AB2938">
            <v>324.00000000001296</v>
          </cell>
        </row>
        <row r="2939">
          <cell r="D2939">
            <v>12</v>
          </cell>
          <cell r="AB2939">
            <v>324.00000000001296</v>
          </cell>
        </row>
        <row r="2940">
          <cell r="D2940">
            <v>12</v>
          </cell>
          <cell r="AB2940">
            <v>324.00000000001296</v>
          </cell>
        </row>
        <row r="2941">
          <cell r="D2941">
            <v>12</v>
          </cell>
          <cell r="AB2941">
            <v>324.00000000001296</v>
          </cell>
        </row>
        <row r="2942">
          <cell r="D2942">
            <v>12</v>
          </cell>
          <cell r="AB2942">
            <v>324.00000000001296</v>
          </cell>
        </row>
        <row r="2943">
          <cell r="D2943">
            <v>12</v>
          </cell>
          <cell r="AB2943">
            <v>324.00000000001296</v>
          </cell>
        </row>
        <row r="2944">
          <cell r="D2944">
            <v>12</v>
          </cell>
          <cell r="AB2944">
            <v>324.00000000001296</v>
          </cell>
        </row>
        <row r="2945">
          <cell r="D2945">
            <v>12</v>
          </cell>
          <cell r="AB2945">
            <v>324.00000000001296</v>
          </cell>
        </row>
        <row r="2946">
          <cell r="D2946">
            <v>12</v>
          </cell>
          <cell r="AB2946">
            <v>324.00000000001296</v>
          </cell>
        </row>
        <row r="2947">
          <cell r="D2947">
            <v>12</v>
          </cell>
          <cell r="AB2947">
            <v>675.00000000002706</v>
          </cell>
        </row>
        <row r="2948">
          <cell r="D2948">
            <v>12</v>
          </cell>
          <cell r="AB2948">
            <v>675.00000000002706</v>
          </cell>
        </row>
        <row r="2949">
          <cell r="D2949">
            <v>12</v>
          </cell>
          <cell r="AB2949">
            <v>675.00000000002706</v>
          </cell>
        </row>
        <row r="2950">
          <cell r="D2950">
            <v>12</v>
          </cell>
          <cell r="AB2950">
            <v>180.00000000000722</v>
          </cell>
        </row>
        <row r="2951">
          <cell r="D2951">
            <v>12</v>
          </cell>
          <cell r="AB2951">
            <v>180.00000000000722</v>
          </cell>
        </row>
        <row r="2952">
          <cell r="D2952">
            <v>12</v>
          </cell>
          <cell r="AB2952">
            <v>180.00000000000722</v>
          </cell>
        </row>
        <row r="2953">
          <cell r="D2953">
            <v>12</v>
          </cell>
          <cell r="AB2953">
            <v>180.00000000000722</v>
          </cell>
        </row>
        <row r="2954">
          <cell r="D2954">
            <v>12</v>
          </cell>
          <cell r="AB2954">
            <v>180.00000000000722</v>
          </cell>
        </row>
        <row r="2955">
          <cell r="D2955">
            <v>12</v>
          </cell>
          <cell r="AB2955">
            <v>97.199999999997118</v>
          </cell>
        </row>
        <row r="2956">
          <cell r="D2956">
            <v>12</v>
          </cell>
          <cell r="AB2956">
            <v>97.199999999997118</v>
          </cell>
        </row>
        <row r="2957">
          <cell r="D2957">
            <v>12</v>
          </cell>
          <cell r="AB2957">
            <v>97.199999999997118</v>
          </cell>
        </row>
        <row r="2958">
          <cell r="D2958">
            <v>12</v>
          </cell>
          <cell r="AB2958">
            <v>97.199999999997118</v>
          </cell>
        </row>
        <row r="2959">
          <cell r="D2959">
            <v>12</v>
          </cell>
          <cell r="AB2959">
            <v>324.00000000001296</v>
          </cell>
        </row>
        <row r="2960">
          <cell r="D2960">
            <v>12</v>
          </cell>
          <cell r="AB2960">
            <v>324.00000000001296</v>
          </cell>
        </row>
        <row r="2961">
          <cell r="D2961">
            <v>12</v>
          </cell>
          <cell r="AB2961">
            <v>324.00000000001296</v>
          </cell>
        </row>
        <row r="2962">
          <cell r="D2962">
            <v>12</v>
          </cell>
          <cell r="AB2962">
            <v>324.00000000001296</v>
          </cell>
        </row>
        <row r="2963">
          <cell r="D2963">
            <v>12</v>
          </cell>
          <cell r="AB2963">
            <v>324.00000000001296</v>
          </cell>
        </row>
        <row r="2964">
          <cell r="D2964">
            <v>12</v>
          </cell>
          <cell r="AB2964">
            <v>324.00000000001296</v>
          </cell>
        </row>
        <row r="2965">
          <cell r="D2965">
            <v>12</v>
          </cell>
          <cell r="AB2965">
            <v>97.199999999997118</v>
          </cell>
        </row>
        <row r="2966">
          <cell r="D2966">
            <v>12</v>
          </cell>
          <cell r="AB2966" t="e">
            <v>#N/A</v>
          </cell>
        </row>
        <row r="2967">
          <cell r="D2967">
            <v>12</v>
          </cell>
          <cell r="AB2967" t="e">
            <v>#N/A</v>
          </cell>
        </row>
        <row r="2968">
          <cell r="D2968">
            <v>12</v>
          </cell>
          <cell r="AB2968" t="e">
            <v>#N/A</v>
          </cell>
        </row>
        <row r="2969">
          <cell r="D2969">
            <v>12</v>
          </cell>
          <cell r="AB2969" t="e">
            <v>#N/A</v>
          </cell>
        </row>
        <row r="2970">
          <cell r="D2970">
            <v>12</v>
          </cell>
          <cell r="AB2970">
            <v>97.199999999997118</v>
          </cell>
        </row>
        <row r="2971">
          <cell r="D2971">
            <v>12</v>
          </cell>
          <cell r="AB2971">
            <v>97.199999999997118</v>
          </cell>
        </row>
        <row r="2972">
          <cell r="D2972">
            <v>12</v>
          </cell>
          <cell r="AB2972">
            <v>97.199999999997118</v>
          </cell>
        </row>
        <row r="2973">
          <cell r="D2973">
            <v>12</v>
          </cell>
          <cell r="AB2973">
            <v>97.199999999997118</v>
          </cell>
        </row>
        <row r="2974">
          <cell r="D2974">
            <v>12</v>
          </cell>
          <cell r="AB2974">
            <v>0</v>
          </cell>
        </row>
        <row r="2975">
          <cell r="D2975">
            <v>12</v>
          </cell>
          <cell r="AB2975">
            <v>0</v>
          </cell>
        </row>
        <row r="2976">
          <cell r="D2976">
            <v>12</v>
          </cell>
          <cell r="AB2976">
            <v>0</v>
          </cell>
        </row>
        <row r="2977">
          <cell r="D2977">
            <v>12</v>
          </cell>
          <cell r="AB2977">
            <v>0</v>
          </cell>
        </row>
        <row r="2978">
          <cell r="D2978">
            <v>12</v>
          </cell>
          <cell r="AB2978" t="e">
            <v>#N/A</v>
          </cell>
        </row>
        <row r="2979">
          <cell r="D2979">
            <v>12</v>
          </cell>
          <cell r="AB2979" t="e">
            <v>#N/A</v>
          </cell>
        </row>
        <row r="2980">
          <cell r="D2980">
            <v>12</v>
          </cell>
          <cell r="AB2980" t="e">
            <v>#N/A</v>
          </cell>
        </row>
        <row r="2981">
          <cell r="D2981">
            <v>12</v>
          </cell>
          <cell r="AB2981" t="e">
            <v>#N/A</v>
          </cell>
        </row>
        <row r="2982">
          <cell r="D2982">
            <v>12</v>
          </cell>
          <cell r="AB2982" t="e">
            <v>#N/A</v>
          </cell>
        </row>
        <row r="2983">
          <cell r="D2983">
            <v>12</v>
          </cell>
          <cell r="AB2983" t="e">
            <v>#N/A</v>
          </cell>
        </row>
        <row r="2984">
          <cell r="D2984">
            <v>12</v>
          </cell>
          <cell r="AB2984" t="e">
            <v>#N/A</v>
          </cell>
        </row>
        <row r="2985">
          <cell r="D2985">
            <v>12</v>
          </cell>
          <cell r="AB2985" t="e">
            <v>#N/A</v>
          </cell>
        </row>
        <row r="2986">
          <cell r="D2986">
            <v>12</v>
          </cell>
          <cell r="AB2986" t="e">
            <v>#N/A</v>
          </cell>
        </row>
        <row r="2987">
          <cell r="D2987">
            <v>12</v>
          </cell>
          <cell r="AB2987" t="e">
            <v>#N/A</v>
          </cell>
        </row>
        <row r="2988">
          <cell r="D2988">
            <v>12</v>
          </cell>
          <cell r="AB2988" t="e">
            <v>#N/A</v>
          </cell>
        </row>
        <row r="2989">
          <cell r="D2989">
            <v>12</v>
          </cell>
          <cell r="AB2989" t="e">
            <v>#N/A</v>
          </cell>
        </row>
        <row r="2990">
          <cell r="D2990">
            <v>12</v>
          </cell>
          <cell r="AB2990" t="e">
            <v>#N/A</v>
          </cell>
          <cell r="AE2990">
            <v>1</v>
          </cell>
        </row>
        <row r="2991">
          <cell r="D2991">
            <v>12</v>
          </cell>
          <cell r="AB2991" t="e">
            <v>#N/A</v>
          </cell>
        </row>
        <row r="2992">
          <cell r="D2992">
            <v>12</v>
          </cell>
          <cell r="AB2992" t="e">
            <v>#N/A</v>
          </cell>
        </row>
        <row r="2993">
          <cell r="D2993">
            <v>12</v>
          </cell>
          <cell r="AB2993" t="e">
            <v>#N/A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3"/>
      <sheetName val="P1"/>
      <sheetName val="P2"/>
      <sheetName val="P3 to P4 New"/>
      <sheetName val="P4"/>
      <sheetName val="P3 template for Automation"/>
      <sheetName val="tv spot list"/>
      <sheetName val="Kategoriler"/>
      <sheetName val="Programlar"/>
      <sheetName val="Kategori Dizi kanalları"/>
      <sheetName val="PAKET"/>
      <sheetName val="Index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otList (2)"/>
    </sheetNames>
    <sheetDataSet>
      <sheetData sheetId="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1"/>
      <sheetName val="P2"/>
      <sheetName val="P3"/>
      <sheetName val="P3 to P4 New"/>
      <sheetName val="P4"/>
      <sheetName val="P3 template for Automation"/>
      <sheetName val="Index"/>
      <sheetName val="Kategori Dizi kanalları"/>
      <sheetName val="tv spot list"/>
      <sheetName val="Kategoriler"/>
      <sheetName val="Programlar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y ügyfél sx sajtóterv"/>
      <sheetName val="alapok"/>
      <sheetName val=" kimutatas"/>
      <sheetName val="tv spot list"/>
      <sheetName val="P3"/>
      <sheetName val="SpotList (2)"/>
      <sheetName val="Kategori Dizi kanalları"/>
      <sheetName val="Prices"/>
      <sheetName val="Internet"/>
      <sheetName val="GAZETE"/>
      <sheetName val="Kategoriler"/>
      <sheetName val="Materyaller"/>
      <sheetName val="Fiyat"/>
      <sheetName val="Alim Sekli"/>
      <sheetName val="rendelés melléklet"/>
      <sheetName val="Kaynak"/>
      <sheetName val="ındex"/>
      <sheetName val="FINALPHP"/>
    </sheetNames>
    <sheetDataSet>
      <sheetData sheetId="0" refreshError="1"/>
      <sheetData sheetId="1" refreshError="1">
        <row r="3">
          <cell r="B3" t="str">
            <v>Net-en</v>
          </cell>
        </row>
        <row r="4">
          <cell r="B4" t="str">
            <v>Net-net-en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lar"/>
      <sheetName val="CampaignData"/>
      <sheetName val="Kategoriler"/>
      <sheetName val="ATV"/>
      <sheetName val="KAND"/>
      <sheetName val="SHOW"/>
      <sheetName val="TGRT"/>
      <sheetName val="NTV"/>
      <sheetName val="KANAL6"/>
      <sheetName val="CINE5"/>
      <sheetName val="PRİMA"/>
      <sheetName val="KANALE"/>
      <sheetName val="TV8"/>
      <sheetName val="CNN"/>
      <sheetName val="BRT"/>
      <sheetName val="KANAL7"/>
      <sheetName val="TRT1-"/>
      <sheetName val="NO1"/>
      <sheetName val="DISCOVERY"/>
      <sheetName val="Karışık"/>
      <sheetName val="Pivot"/>
      <sheetName val="ÖZET"/>
      <sheetName val="ÖdemeKarışık"/>
      <sheetName val="Ödeme"/>
      <sheetName val="tv spot list"/>
      <sheetName val="alapok"/>
      <sheetName val="BİMAŞ"/>
      <sheetName val="STAR"/>
      <sheetName val="NUMBER ONE"/>
      <sheetName val="GENC TV"/>
      <sheetName val="CNNTURK"/>
      <sheetName val="KANAL E"/>
      <sheetName val="KISS TV"/>
      <sheetName val="BEST TV"/>
      <sheetName val="GERÇEK ÖZET"/>
      <sheetName val="Index"/>
      <sheetName val="Kategori Dizi kanalları"/>
      <sheetName val="PAKET"/>
      <sheetName val="kategori sinema ve tematik"/>
      <sheetName val="SpotList (2)"/>
      <sheetName val="tv_spot_list"/>
      <sheetName val="NUMBER_ONE"/>
      <sheetName val="GENC_TV"/>
      <sheetName val="KANAL_E"/>
      <sheetName val="KISS_TV"/>
      <sheetName val="BEST_TV"/>
      <sheetName val="GERÇEK_ÖZET"/>
      <sheetName val="Kategori_Dizi_kanalları"/>
      <sheetName val="kategori_sinema_ve_tematik"/>
      <sheetName val="SpotList_(2)"/>
      <sheetName val="Copies"/>
      <sheetName val="plan-gaz1"/>
      <sheetName val="StartTime"/>
      <sheetName val="Ref"/>
      <sheetName val="TURKCELLDEVAM.xls"/>
      <sheetName val="TURKCELLDEVAM"/>
      <sheetName val="plan-der"/>
      <sheetName val="GAZETE"/>
      <sheetName val="tv_spot_list1"/>
      <sheetName val="NUMBER_ONE1"/>
      <sheetName val="GENC_TV1"/>
      <sheetName val="KANAL_E1"/>
      <sheetName val="KISS_TV1"/>
      <sheetName val="BEST_TV1"/>
      <sheetName val="GERÇEK_ÖZET1"/>
      <sheetName val="Kategori_Dizi_kanalları1"/>
      <sheetName val="kategori_sinema_ve_tematik1"/>
      <sheetName val="SpotList_(2)1"/>
      <sheetName val="TURKCELLDEVAM_xls"/>
      <sheetName val="USDBIL"/>
      <sheetName val="tv_spot_list2"/>
      <sheetName val="NUMBER_ONE2"/>
      <sheetName val="GENC_TV2"/>
      <sheetName val="KANAL_E2"/>
      <sheetName val="KISS_TV2"/>
      <sheetName val="BEST_TV2"/>
      <sheetName val="GERÇEK_ÖZET2"/>
      <sheetName val="Kategori_Dizi_kanalları2"/>
      <sheetName val="kategori_sinema_ve_tematik2"/>
      <sheetName val="SpotList_(2)2"/>
      <sheetName val="TURKCELLDEVAM_xls1"/>
      <sheetName val="Sayfa2"/>
      <sheetName val="##"/>
      <sheetName val="Sheet1"/>
      <sheetName val="Tabelle2"/>
      <sheetName val="Tabelle3"/>
    </sheetNames>
    <sheetDataSet>
      <sheetData sheetId="0" refreshError="1">
        <row r="1">
          <cell r="A1" t="str">
            <v>Kategori</v>
          </cell>
        </row>
        <row r="2">
          <cell r="A2" t="str">
            <v>Baba Evi Önü</v>
          </cell>
          <cell r="B2" t="str">
            <v>KÖ18</v>
          </cell>
        </row>
        <row r="3">
          <cell r="A3" t="str">
            <v>Baba Evi (3. Kuşak)</v>
          </cell>
          <cell r="B3" t="str">
            <v>K18</v>
          </cell>
        </row>
        <row r="4">
          <cell r="A4" t="str">
            <v>Baba Evi (2. Kuşak)</v>
          </cell>
          <cell r="B4" t="str">
            <v>K18</v>
          </cell>
        </row>
        <row r="5">
          <cell r="A5" t="str">
            <v>Mahallenin Muhtarları Önü</v>
          </cell>
          <cell r="B5" t="str">
            <v>KÖ18</v>
          </cell>
        </row>
        <row r="6">
          <cell r="A6" t="str">
            <v>Mahallenin Muhtarları (1.Kuşak)</v>
          </cell>
          <cell r="B6" t="str">
            <v>K18</v>
          </cell>
        </row>
        <row r="7">
          <cell r="A7" t="str">
            <v>Mahallenin Muhtarları (2.Kuşak)</v>
          </cell>
          <cell r="B7" t="str">
            <v>K18</v>
          </cell>
        </row>
        <row r="8">
          <cell r="A8" t="str">
            <v>Mahallenin Muhtarları (3.Kuşak)</v>
          </cell>
          <cell r="B8" t="str">
            <v>K18</v>
          </cell>
        </row>
        <row r="9">
          <cell r="A9" t="str">
            <v>Böylemi Olacaktı Önü</v>
          </cell>
          <cell r="B9" t="str">
            <v>KÖ17</v>
          </cell>
        </row>
        <row r="10">
          <cell r="A10" t="str">
            <v>Böylemi Olacaktı (1.Kuşak)</v>
          </cell>
          <cell r="B10" t="str">
            <v>K17</v>
          </cell>
        </row>
        <row r="11">
          <cell r="A11" t="str">
            <v>Böylemi Olacaktı (2.Kuşak)</v>
          </cell>
          <cell r="B11" t="str">
            <v>K17</v>
          </cell>
        </row>
        <row r="12">
          <cell r="A12" t="str">
            <v>Böylemi Olacaktı (3.Kuşak)</v>
          </cell>
          <cell r="B12" t="str">
            <v>K17</v>
          </cell>
        </row>
        <row r="13">
          <cell r="A13" t="str">
            <v>Tatlı Kaçıklar Önü</v>
          </cell>
          <cell r="B13" t="str">
            <v>KÖ16</v>
          </cell>
        </row>
        <row r="14">
          <cell r="A14" t="str">
            <v>Tatlı Kaçıklar (2.Kuşak)</v>
          </cell>
          <cell r="B14" t="str">
            <v>K16</v>
          </cell>
        </row>
        <row r="15">
          <cell r="A15" t="str">
            <v>Tatlı Kaçıklar (3.Kuşak)</v>
          </cell>
          <cell r="B15" t="str">
            <v>K16</v>
          </cell>
        </row>
        <row r="16">
          <cell r="A16" t="str">
            <v>Merdoğlu Önü</v>
          </cell>
          <cell r="B16" t="str">
            <v>KÖ15</v>
          </cell>
        </row>
        <row r="17">
          <cell r="A17" t="str">
            <v>Merdoğlu (1.Kuşak)</v>
          </cell>
          <cell r="B17" t="str">
            <v>K15</v>
          </cell>
        </row>
        <row r="18">
          <cell r="A18" t="str">
            <v>Merdoğlu (2. Kuşak)</v>
          </cell>
          <cell r="B18" t="str">
            <v>K15</v>
          </cell>
        </row>
        <row r="19">
          <cell r="A19" t="str">
            <v>Merdoğlu (Son Kuşak)</v>
          </cell>
          <cell r="B19" t="str">
            <v>K15</v>
          </cell>
        </row>
        <row r="20">
          <cell r="A20" t="str">
            <v>Ana Haber</v>
          </cell>
          <cell r="B20" t="str">
            <v>K13</v>
          </cell>
        </row>
        <row r="21">
          <cell r="A21" t="str">
            <v>Sinema 20 (Perş.) Önü</v>
          </cell>
          <cell r="B21" t="str">
            <v>KÖ13</v>
          </cell>
        </row>
        <row r="22">
          <cell r="A22" t="str">
            <v>Sinema 20 (Perş.) (1.Kuşak)</v>
          </cell>
          <cell r="B22" t="str">
            <v>K13</v>
          </cell>
        </row>
        <row r="23">
          <cell r="A23" t="str">
            <v>Reyting Hamdi Önü</v>
          </cell>
          <cell r="B23" t="str">
            <v>KÖ13</v>
          </cell>
        </row>
        <row r="24">
          <cell r="A24" t="str">
            <v>Reyting Hamdi (1.Kuşak)</v>
          </cell>
          <cell r="B24" t="str">
            <v>K13</v>
          </cell>
        </row>
        <row r="25">
          <cell r="A25" t="str">
            <v>Sinema 20 (C.tesi) Önü</v>
          </cell>
          <cell r="B25" t="str">
            <v>KÖ13</v>
          </cell>
        </row>
        <row r="26">
          <cell r="A26" t="str">
            <v>Sinema 20 (C.tesi) (2.Kuşak)</v>
          </cell>
          <cell r="B26" t="str">
            <v>K13</v>
          </cell>
        </row>
        <row r="27">
          <cell r="A27" t="str">
            <v>Sinema 21 (Pazar) Önü</v>
          </cell>
          <cell r="B27" t="str">
            <v>KÖ13</v>
          </cell>
        </row>
        <row r="28">
          <cell r="A28" t="str">
            <v>Sinema 21 (Pazar) (2.Kuşak)</v>
          </cell>
          <cell r="B28" t="str">
            <v>K13</v>
          </cell>
        </row>
        <row r="29">
          <cell r="A29" t="str">
            <v>Gurbetçiler Önü</v>
          </cell>
          <cell r="B29" t="str">
            <v>KÖ12</v>
          </cell>
        </row>
        <row r="30">
          <cell r="A30" t="str">
            <v>Gurbetçiler</v>
          </cell>
          <cell r="B30" t="str">
            <v>K12</v>
          </cell>
        </row>
        <row r="31">
          <cell r="A31" t="str">
            <v>Sinema 22 (Salı) Önü</v>
          </cell>
          <cell r="B31" t="str">
            <v>KÖ12</v>
          </cell>
        </row>
        <row r="32">
          <cell r="A32" t="str">
            <v>Sinema 22 (Salı) (1.Kuşak)</v>
          </cell>
          <cell r="B32" t="str">
            <v>K12</v>
          </cell>
        </row>
        <row r="33">
          <cell r="A33" t="str">
            <v>Yerli Komedi Önü</v>
          </cell>
          <cell r="B33" t="str">
            <v>KÖ12</v>
          </cell>
        </row>
        <row r="34">
          <cell r="A34" t="str">
            <v>Yerli Komedi</v>
          </cell>
          <cell r="B34" t="str">
            <v>K12</v>
          </cell>
        </row>
        <row r="35">
          <cell r="A35" t="str">
            <v>Sinema (Cuma) 22 Önü</v>
          </cell>
          <cell r="B35" t="str">
            <v>KÖ12</v>
          </cell>
        </row>
        <row r="36">
          <cell r="A36" t="str">
            <v>Sinema 22 (C.tesi) Önü</v>
          </cell>
          <cell r="B36" t="str">
            <v>KÖ12</v>
          </cell>
        </row>
        <row r="37">
          <cell r="A37" t="str">
            <v>Sinema 22 (C.tesi) (1.Kuşak)</v>
          </cell>
          <cell r="B37" t="str">
            <v>K12</v>
          </cell>
        </row>
        <row r="38">
          <cell r="A38" t="str">
            <v>Ya Şundadır Ya Bunda Önü</v>
          </cell>
          <cell r="B38" t="str">
            <v>KÖ12</v>
          </cell>
        </row>
        <row r="39">
          <cell r="A39" t="str">
            <v>Ya Şundadır Ya Bunda (1.Kuşak)</v>
          </cell>
          <cell r="B39" t="str">
            <v>K12</v>
          </cell>
        </row>
        <row r="40">
          <cell r="A40" t="str">
            <v>Sinema 22 (Çarş.) Önü</v>
          </cell>
          <cell r="B40" t="str">
            <v>KÖ12</v>
          </cell>
        </row>
        <row r="41">
          <cell r="A41" t="str">
            <v>Sinema 22 (Çarş.) (1.Kuşak)</v>
          </cell>
          <cell r="B41" t="str">
            <v>K12</v>
          </cell>
        </row>
        <row r="42">
          <cell r="A42" t="str">
            <v>Çiçek Taksi Önü</v>
          </cell>
          <cell r="B42" t="str">
            <v>KÖ11</v>
          </cell>
        </row>
        <row r="43">
          <cell r="A43" t="str">
            <v>Çiçek Taksi (Mutlaka 2.Kuşak)</v>
          </cell>
          <cell r="B43" t="str">
            <v>K11</v>
          </cell>
        </row>
        <row r="44">
          <cell r="A44" t="str">
            <v>Sinema 23 (P.tesi) Önü</v>
          </cell>
          <cell r="B44" t="str">
            <v>KÖ10</v>
          </cell>
        </row>
        <row r="45">
          <cell r="A45" t="str">
            <v>Sinema 23 (P.tesi)</v>
          </cell>
          <cell r="B45" t="str">
            <v>K10</v>
          </cell>
        </row>
        <row r="46">
          <cell r="A46" t="str">
            <v>Sinema 22 Önü</v>
          </cell>
          <cell r="B46" t="str">
            <v>KÖ10</v>
          </cell>
        </row>
        <row r="47">
          <cell r="A47" t="str">
            <v>Çatısız Kadınlar Önü</v>
          </cell>
          <cell r="B47" t="str">
            <v>KÖ10</v>
          </cell>
        </row>
        <row r="48">
          <cell r="A48" t="str">
            <v>Çatısız Kadınlar (Son Kuşak)</v>
          </cell>
          <cell r="B48" t="str">
            <v>K10</v>
          </cell>
        </row>
        <row r="49">
          <cell r="A49" t="str">
            <v>Sinema 23 (C.tesi) Önü</v>
          </cell>
          <cell r="B49" t="str">
            <v>KÖ10</v>
          </cell>
        </row>
        <row r="50">
          <cell r="A50" t="str">
            <v>Sinema 23 (C.tesi) (1.Kuşak)</v>
          </cell>
          <cell r="B50" t="str">
            <v>K10</v>
          </cell>
        </row>
        <row r="51">
          <cell r="A51" t="str">
            <v>Magazin Forever Önü</v>
          </cell>
          <cell r="B51" t="str">
            <v>KÖ10</v>
          </cell>
        </row>
        <row r="52">
          <cell r="A52" t="str">
            <v>Magazin Forever (1.Kuşak)</v>
          </cell>
          <cell r="B52" t="str">
            <v>K10</v>
          </cell>
        </row>
        <row r="53">
          <cell r="A53" t="str">
            <v>Siyaset Meydanı Önü</v>
          </cell>
          <cell r="B53" t="str">
            <v>KÖ10</v>
          </cell>
        </row>
        <row r="54">
          <cell r="A54" t="str">
            <v>Siyaset Meydanı (1.Kuşak)</v>
          </cell>
          <cell r="B54" t="str">
            <v>K10</v>
          </cell>
        </row>
        <row r="55">
          <cell r="A55" t="str">
            <v>Harika Pazar (3.Kuşak)</v>
          </cell>
          <cell r="B55" t="str">
            <v>K10</v>
          </cell>
        </row>
        <row r="56">
          <cell r="A56" t="str">
            <v>Harika Pazar (Son Kuşak)</v>
          </cell>
          <cell r="B56" t="str">
            <v>K10</v>
          </cell>
        </row>
        <row r="57">
          <cell r="A57" t="str">
            <v>Sinema 23 (Cuma) Önü</v>
          </cell>
          <cell r="B57" t="str">
            <v>KÖ10</v>
          </cell>
        </row>
        <row r="58">
          <cell r="A58" t="str">
            <v>Sinema 23 (Cuma) (1.Kuşak)</v>
          </cell>
          <cell r="B58" t="str">
            <v>K10</v>
          </cell>
        </row>
        <row r="59">
          <cell r="A59" t="str">
            <v>Sinema 17 (C.tesi) Önü</v>
          </cell>
          <cell r="B59" t="str">
            <v>KÖ9</v>
          </cell>
        </row>
        <row r="60">
          <cell r="A60" t="str">
            <v>Sinema 17 (C.tesi) (1.Kuşak)</v>
          </cell>
          <cell r="B60" t="str">
            <v>K9</v>
          </cell>
        </row>
        <row r="61">
          <cell r="A61" t="str">
            <v>Sinema 17 (C.tesi) (2.Kuşak)</v>
          </cell>
          <cell r="B61" t="str">
            <v>K9</v>
          </cell>
        </row>
        <row r="62">
          <cell r="A62" t="str">
            <v>Bizim Stadyum Önü</v>
          </cell>
          <cell r="B62" t="str">
            <v>KÖ8</v>
          </cell>
        </row>
        <row r="63">
          <cell r="A63" t="str">
            <v>Bizim Stadyum</v>
          </cell>
          <cell r="B63" t="str">
            <v>K8</v>
          </cell>
        </row>
        <row r="64">
          <cell r="A64" t="str">
            <v>Baş Tacı Önü</v>
          </cell>
          <cell r="B64" t="str">
            <v>KÖ7</v>
          </cell>
        </row>
        <row r="65">
          <cell r="A65" t="str">
            <v>Baş Tacı</v>
          </cell>
          <cell r="B65" t="str">
            <v>K7</v>
          </cell>
        </row>
        <row r="66">
          <cell r="A66" t="str">
            <v>Renkli Hayatlar Önü</v>
          </cell>
          <cell r="B66" t="str">
            <v>KÖ6</v>
          </cell>
        </row>
        <row r="67">
          <cell r="A67" t="str">
            <v>Renkli Hayatlar (1.Kuşak)</v>
          </cell>
          <cell r="B67" t="str">
            <v>K6</v>
          </cell>
        </row>
        <row r="68">
          <cell r="A68" t="str">
            <v>Haberci Önü</v>
          </cell>
          <cell r="B68" t="str">
            <v>KÖ6</v>
          </cell>
        </row>
        <row r="69">
          <cell r="A69" t="str">
            <v>Haberci</v>
          </cell>
          <cell r="B69" t="str">
            <v>K6</v>
          </cell>
        </row>
        <row r="70">
          <cell r="A70" t="str">
            <v>Sinema 14 (C.tesi) Önü</v>
          </cell>
          <cell r="B70" t="str">
            <v>KÖ6</v>
          </cell>
        </row>
        <row r="71">
          <cell r="A71" t="str">
            <v>Sinema 14 (C.tesi)</v>
          </cell>
          <cell r="B71" t="str">
            <v>K6</v>
          </cell>
        </row>
        <row r="72">
          <cell r="A72" t="str">
            <v>Elifnağme (Son Kuşak)</v>
          </cell>
          <cell r="B72" t="str">
            <v>K6</v>
          </cell>
        </row>
        <row r="73">
          <cell r="A73" t="str">
            <v>Bir Bilmecem Var Önü</v>
          </cell>
          <cell r="B73" t="str">
            <v>KÖ6</v>
          </cell>
        </row>
        <row r="74">
          <cell r="A74" t="str">
            <v>Bir Bilmecem Var</v>
          </cell>
          <cell r="B74" t="str">
            <v>K6</v>
          </cell>
        </row>
        <row r="75">
          <cell r="A75" t="str">
            <v>Sabrina (C.tesi) Önü</v>
          </cell>
          <cell r="B75" t="str">
            <v>KÖ6</v>
          </cell>
        </row>
        <row r="76">
          <cell r="A76" t="str">
            <v>Sabrina (C.tesi)</v>
          </cell>
          <cell r="B76" t="str">
            <v>K6</v>
          </cell>
        </row>
        <row r="77">
          <cell r="A77" t="str">
            <v>Sabrina (Pazar) Önü</v>
          </cell>
          <cell r="B77" t="str">
            <v>KÖ6</v>
          </cell>
        </row>
        <row r="78">
          <cell r="A78" t="str">
            <v>Sabrina (Pazar)</v>
          </cell>
          <cell r="B78" t="str">
            <v>K6</v>
          </cell>
        </row>
        <row r="79">
          <cell r="A79" t="str">
            <v>Sabrina  Önü</v>
          </cell>
          <cell r="B79" t="str">
            <v>KÖ6</v>
          </cell>
        </row>
        <row r="80">
          <cell r="A80" t="str">
            <v xml:space="preserve">Sabrina </v>
          </cell>
          <cell r="B80" t="str">
            <v>K6</v>
          </cell>
        </row>
        <row r="81">
          <cell r="A81" t="str">
            <v>Gün Ortası Önü</v>
          </cell>
          <cell r="B81" t="str">
            <v>KÖ5</v>
          </cell>
        </row>
        <row r="82">
          <cell r="A82" t="str">
            <v>Gün Ortası</v>
          </cell>
          <cell r="B82" t="str">
            <v>K5</v>
          </cell>
        </row>
        <row r="83">
          <cell r="A83" t="str">
            <v>Bir Yudum İnsan Önü</v>
          </cell>
          <cell r="B83" t="str">
            <v>KÖ5</v>
          </cell>
        </row>
        <row r="84">
          <cell r="A84" t="str">
            <v>Bir Yudum İnsan</v>
          </cell>
          <cell r="B84" t="str">
            <v>K5</v>
          </cell>
        </row>
        <row r="85">
          <cell r="A85" t="str">
            <v>Pop 40 (C.tesi) Önü</v>
          </cell>
          <cell r="B85" t="str">
            <v>KÖ5</v>
          </cell>
        </row>
        <row r="86">
          <cell r="A86" t="str">
            <v>Pop 40 (C.tesi)</v>
          </cell>
          <cell r="B86" t="str">
            <v>K5</v>
          </cell>
        </row>
        <row r="87">
          <cell r="A87" t="str">
            <v>Sinema 14 (C.tesi) Önü</v>
          </cell>
          <cell r="B87" t="str">
            <v>KÖ5</v>
          </cell>
        </row>
        <row r="88">
          <cell r="A88" t="str">
            <v>Sinema 14 (C.tesi)</v>
          </cell>
          <cell r="B88" t="str">
            <v>K5</v>
          </cell>
        </row>
        <row r="89">
          <cell r="A89" t="str">
            <v>Sinema 14 (Pazar) Önü</v>
          </cell>
          <cell r="B89" t="str">
            <v>KÖ5</v>
          </cell>
        </row>
        <row r="90">
          <cell r="A90" t="str">
            <v>Sinema 14 (Pazar)</v>
          </cell>
          <cell r="B90" t="str">
            <v>K5</v>
          </cell>
        </row>
        <row r="91">
          <cell r="A91" t="str">
            <v>Viper Önü</v>
          </cell>
          <cell r="B91" t="str">
            <v>KÖ5</v>
          </cell>
        </row>
        <row r="92">
          <cell r="A92" t="str">
            <v>Viper</v>
          </cell>
          <cell r="B92" t="str">
            <v>K5</v>
          </cell>
        </row>
        <row r="93">
          <cell r="A93" t="str">
            <v>İftar Saati Önü</v>
          </cell>
          <cell r="B93" t="str">
            <v>KÖ5</v>
          </cell>
        </row>
        <row r="94">
          <cell r="A94" t="str">
            <v>İftar Saati</v>
          </cell>
          <cell r="B94" t="str">
            <v>K5</v>
          </cell>
        </row>
        <row r="95">
          <cell r="A95" t="str">
            <v>Yıldızlar</v>
          </cell>
          <cell r="B95" t="str">
            <v>K5</v>
          </cell>
        </row>
        <row r="96">
          <cell r="A96" t="str">
            <v>Gelin Kaynana Önü</v>
          </cell>
          <cell r="B96" t="str">
            <v>KÖ5</v>
          </cell>
        </row>
        <row r="97">
          <cell r="A97" t="str">
            <v>Gelin Kaynana</v>
          </cell>
          <cell r="B97" t="str">
            <v>K5</v>
          </cell>
        </row>
        <row r="98">
          <cell r="A98" t="str">
            <v>Ayşe Özgün Önü</v>
          </cell>
          <cell r="B98" t="str">
            <v>KÖ4</v>
          </cell>
        </row>
        <row r="99">
          <cell r="A99" t="str">
            <v>Ayşe Özgün (2.Kuşak)</v>
          </cell>
          <cell r="B99" t="str">
            <v>K4</v>
          </cell>
        </row>
        <row r="100">
          <cell r="A100" t="str">
            <v>A'dan Z'ye (1.Kuşak)</v>
          </cell>
          <cell r="B100" t="str">
            <v>K4</v>
          </cell>
        </row>
        <row r="101">
          <cell r="A101" t="str">
            <v>A'dan Z'ye (2.Kuşak)</v>
          </cell>
          <cell r="B101" t="str">
            <v>K4</v>
          </cell>
        </row>
        <row r="102">
          <cell r="A102" t="str">
            <v>Magic English Önü</v>
          </cell>
          <cell r="B102" t="str">
            <v>KÖ4</v>
          </cell>
        </row>
        <row r="103">
          <cell r="A103" t="str">
            <v>Magic English</v>
          </cell>
          <cell r="B103" t="str">
            <v>K4</v>
          </cell>
        </row>
        <row r="104">
          <cell r="A104" t="str">
            <v>Sabrina Önü</v>
          </cell>
          <cell r="B104" t="str">
            <v>KÖ6</v>
          </cell>
        </row>
        <row r="105">
          <cell r="A105" t="str">
            <v>Sabrina</v>
          </cell>
          <cell r="B105" t="str">
            <v>K6</v>
          </cell>
        </row>
        <row r="106">
          <cell r="A106" t="str">
            <v>Son Haber Önü</v>
          </cell>
          <cell r="B106" t="str">
            <v>KÖ4</v>
          </cell>
        </row>
        <row r="107">
          <cell r="A107" t="str">
            <v>Son Haber</v>
          </cell>
          <cell r="B107" t="str">
            <v>K4</v>
          </cell>
        </row>
        <row r="108">
          <cell r="A108" t="str">
            <v>Sabah Keyfi Önü</v>
          </cell>
          <cell r="B108" t="str">
            <v>KÖ3</v>
          </cell>
        </row>
        <row r="109">
          <cell r="A109" t="str">
            <v>Sabah Keyfi</v>
          </cell>
          <cell r="B109" t="str">
            <v>K3</v>
          </cell>
        </row>
        <row r="110">
          <cell r="A110" t="str">
            <v>Lassie Önü</v>
          </cell>
          <cell r="B110" t="str">
            <v>KÖ3</v>
          </cell>
        </row>
        <row r="111">
          <cell r="A111" t="str">
            <v>Lassie</v>
          </cell>
          <cell r="B111" t="str">
            <v>K3</v>
          </cell>
        </row>
        <row r="112">
          <cell r="A112" t="str">
            <v>Wishbone Önü</v>
          </cell>
          <cell r="B112" t="str">
            <v>KÖ3</v>
          </cell>
        </row>
        <row r="113">
          <cell r="A113" t="str">
            <v>Wishbone</v>
          </cell>
          <cell r="B113" t="str">
            <v>K3</v>
          </cell>
        </row>
        <row r="114">
          <cell r="A114" t="str">
            <v>Yıldızlar</v>
          </cell>
          <cell r="B114" t="str">
            <v>K3</v>
          </cell>
        </row>
        <row r="115">
          <cell r="A115" t="str">
            <v>Pop 40 Önü</v>
          </cell>
          <cell r="B115" t="str">
            <v>KÖ2</v>
          </cell>
        </row>
        <row r="116">
          <cell r="A116" t="str">
            <v>Pop 40</v>
          </cell>
          <cell r="B116" t="str">
            <v>K2</v>
          </cell>
        </row>
        <row r="117">
          <cell r="A117" t="str">
            <v>İhtiras Kurbanları Önü</v>
          </cell>
          <cell r="B117" t="str">
            <v>KÖ2</v>
          </cell>
        </row>
        <row r="118">
          <cell r="A118" t="str">
            <v>İhtiras Kurbanları</v>
          </cell>
          <cell r="B118" t="str">
            <v>K2</v>
          </cell>
        </row>
        <row r="119">
          <cell r="A119" t="str">
            <v>Gerçek Polis Op. Önü</v>
          </cell>
          <cell r="B119" t="str">
            <v>KÖ1</v>
          </cell>
        </row>
        <row r="120">
          <cell r="A120" t="str">
            <v>Gerçek Polis Op.</v>
          </cell>
          <cell r="B120" t="str">
            <v>K1</v>
          </cell>
        </row>
        <row r="121">
          <cell r="A121" t="str">
            <v>Kahvaltı Haberleri</v>
          </cell>
          <cell r="B121" t="str">
            <v>K1</v>
          </cell>
        </row>
        <row r="246">
          <cell r="A246" t="str">
            <v>Bizimkiler Önü</v>
          </cell>
          <cell r="B246" t="str">
            <v>KÖ19</v>
          </cell>
        </row>
        <row r="247">
          <cell r="A247" t="str">
            <v>Bizimkiler (1.Kuşak)</v>
          </cell>
          <cell r="B247" t="str">
            <v>K19</v>
          </cell>
        </row>
        <row r="248">
          <cell r="A248" t="str">
            <v>Bizimkiler (2.Kuşak)</v>
          </cell>
          <cell r="B248" t="str">
            <v>K19</v>
          </cell>
        </row>
        <row r="249">
          <cell r="A249" t="str">
            <v>Bizimkiler (3.Kuşak)</v>
          </cell>
          <cell r="B249" t="str">
            <v>K19</v>
          </cell>
        </row>
        <row r="250">
          <cell r="A250" t="str">
            <v>Şans Kapıyı Çalınca Önü</v>
          </cell>
          <cell r="B250" t="str">
            <v>KÖ17</v>
          </cell>
        </row>
        <row r="251">
          <cell r="A251" t="str">
            <v>Şans Kapıyı Çalınca (2.Kuşak)</v>
          </cell>
          <cell r="B251" t="str">
            <v>K17</v>
          </cell>
        </row>
        <row r="252">
          <cell r="A252" t="str">
            <v>Şans Kapıyı Çalınca (3.Kuşak)</v>
          </cell>
          <cell r="B252" t="str">
            <v>K17</v>
          </cell>
        </row>
        <row r="253">
          <cell r="A253" t="str">
            <v>Deli Yürek Önü</v>
          </cell>
          <cell r="B253" t="str">
            <v>KÖ18</v>
          </cell>
        </row>
        <row r="254">
          <cell r="A254" t="str">
            <v>Deli Yürek (2.Kuşak)</v>
          </cell>
          <cell r="B254" t="str">
            <v>K18</v>
          </cell>
        </row>
        <row r="255">
          <cell r="A255" t="str">
            <v>Deli Yürek (3.Kuşak)</v>
          </cell>
          <cell r="B255" t="str">
            <v>K18</v>
          </cell>
        </row>
        <row r="256">
          <cell r="A256" t="str">
            <v>Film Gibi Önü</v>
          </cell>
          <cell r="B256" t="str">
            <v>KÖ18</v>
          </cell>
        </row>
        <row r="257">
          <cell r="A257" t="str">
            <v>Film Gibi (2.Kuşak)</v>
          </cell>
          <cell r="B257" t="str">
            <v>K18</v>
          </cell>
        </row>
        <row r="258">
          <cell r="A258" t="str">
            <v>Film Gibi (Mutlaka 3.Kuşak)</v>
          </cell>
          <cell r="B258" t="str">
            <v>K18</v>
          </cell>
        </row>
        <row r="259">
          <cell r="A259" t="str">
            <v>Sırılsıklam Önü</v>
          </cell>
          <cell r="B259" t="str">
            <v>KÖ16</v>
          </cell>
        </row>
        <row r="260">
          <cell r="A260" t="str">
            <v>Sırılsıklam (Son Kuşak)</v>
          </cell>
          <cell r="B260" t="str">
            <v>K16</v>
          </cell>
        </row>
        <row r="261">
          <cell r="A261" t="str">
            <v>Hülya Avşar Show Önü</v>
          </cell>
          <cell r="B261" t="str">
            <v>KÖ16</v>
          </cell>
        </row>
        <row r="262">
          <cell r="A262" t="str">
            <v>Hülya Avşar Show (Mutlaka 1.Kuşak)</v>
          </cell>
          <cell r="B262" t="str">
            <v>K16</v>
          </cell>
        </row>
        <row r="263">
          <cell r="A263" t="str">
            <v>Hülya Avşar Show (2.Kuşak)</v>
          </cell>
          <cell r="B263" t="str">
            <v>K16</v>
          </cell>
        </row>
        <row r="264">
          <cell r="A264" t="str">
            <v>Küçük İbo Önü</v>
          </cell>
          <cell r="B264" t="str">
            <v>KÖ14</v>
          </cell>
        </row>
        <row r="265">
          <cell r="A265" t="str">
            <v>Küçük İbo (Son Kuşak)</v>
          </cell>
          <cell r="B265" t="str">
            <v>K14</v>
          </cell>
        </row>
        <row r="266">
          <cell r="A266" t="str">
            <v>Televole (1.Kuşak)</v>
          </cell>
          <cell r="B266" t="str">
            <v>K14</v>
          </cell>
        </row>
        <row r="267">
          <cell r="A267" t="str">
            <v>Örümcek Önü</v>
          </cell>
          <cell r="B267" t="str">
            <v>KÖ14</v>
          </cell>
        </row>
        <row r="268">
          <cell r="A268" t="str">
            <v>Örümcek (1.Kuşak)</v>
          </cell>
          <cell r="B268" t="str">
            <v>K14</v>
          </cell>
        </row>
        <row r="269">
          <cell r="A269" t="str">
            <v>Örümcek (2.Kuşak)</v>
          </cell>
          <cell r="B269" t="str">
            <v>K14</v>
          </cell>
        </row>
        <row r="270">
          <cell r="A270" t="str">
            <v>Maraton (Pazar)</v>
          </cell>
          <cell r="B270" t="str">
            <v>K14</v>
          </cell>
        </row>
        <row r="271">
          <cell r="A271" t="str">
            <v>Huysuz Show Önü</v>
          </cell>
          <cell r="B271" t="str">
            <v>KÖ14</v>
          </cell>
        </row>
        <row r="272">
          <cell r="A272" t="str">
            <v>Huysuz Show (1.Kuşak)</v>
          </cell>
          <cell r="B272" t="str">
            <v>K14</v>
          </cell>
        </row>
        <row r="273">
          <cell r="A273" t="str">
            <v>Huysuz Show (2.Kuşak)</v>
          </cell>
          <cell r="B273" t="str">
            <v>K14</v>
          </cell>
        </row>
        <row r="274">
          <cell r="A274" t="str">
            <v>Sinema 20 (Çarş.) Önü</v>
          </cell>
          <cell r="B274" t="str">
            <v>KÖ14</v>
          </cell>
        </row>
        <row r="275">
          <cell r="A275" t="str">
            <v>Sinema 20 (Çarş.) (2.Kuşak)</v>
          </cell>
          <cell r="B275" t="str">
            <v>K14</v>
          </cell>
        </row>
        <row r="276">
          <cell r="A276" t="str">
            <v>Sinema 20 (Çarş.) (3.Kuşak)</v>
          </cell>
          <cell r="B276" t="str">
            <v>K14</v>
          </cell>
        </row>
        <row r="277">
          <cell r="A277" t="str">
            <v>Sinema 22 (Perş.) Önü</v>
          </cell>
          <cell r="B277" t="str">
            <v>KÖ14</v>
          </cell>
        </row>
        <row r="278">
          <cell r="A278" t="str">
            <v>Sinema 22 (Perş.) (1.Kuşak)</v>
          </cell>
          <cell r="B278" t="str">
            <v>K14</v>
          </cell>
        </row>
        <row r="279">
          <cell r="A279" t="str">
            <v>Ana Haber</v>
          </cell>
          <cell r="B279" t="str">
            <v>K13</v>
          </cell>
        </row>
        <row r="280">
          <cell r="A280" t="str">
            <v>Sinema 22 (Salı) Önü</v>
          </cell>
          <cell r="B280" t="str">
            <v>KÖ13</v>
          </cell>
        </row>
        <row r="281">
          <cell r="A281" t="str">
            <v>Sinema 22 (Salı) (1.Kuşak)</v>
          </cell>
          <cell r="B281" t="str">
            <v>K13</v>
          </cell>
        </row>
        <row r="282">
          <cell r="A282" t="str">
            <v>Maraton Kupa</v>
          </cell>
          <cell r="B282" t="str">
            <v>K13</v>
          </cell>
        </row>
        <row r="283">
          <cell r="A283" t="str">
            <v>Çok Özel Önü</v>
          </cell>
          <cell r="B283" t="str">
            <v>KÖ11</v>
          </cell>
        </row>
        <row r="284">
          <cell r="A284" t="str">
            <v>Çok Özel (1.Kuşak)</v>
          </cell>
          <cell r="B284" t="str">
            <v>K11</v>
          </cell>
        </row>
        <row r="285">
          <cell r="A285" t="str">
            <v>Sinema 23 (Pazar) Önü</v>
          </cell>
          <cell r="B285" t="str">
            <v>KÖ11</v>
          </cell>
        </row>
        <row r="286">
          <cell r="A286" t="str">
            <v>Sinema 23 (Pazar) (1.Kuşak)</v>
          </cell>
          <cell r="B286" t="str">
            <v>K11</v>
          </cell>
        </row>
        <row r="287">
          <cell r="A287" t="str">
            <v>Yalan Rüzgarı Önü</v>
          </cell>
          <cell r="B287" t="str">
            <v>KÖ10</v>
          </cell>
        </row>
        <row r="288">
          <cell r="A288" t="str">
            <v>Yalan Rüzgarı (1.Kuşak)</v>
          </cell>
          <cell r="B288" t="str">
            <v>K10</v>
          </cell>
        </row>
        <row r="289">
          <cell r="A289" t="str">
            <v>Yalan Rüzgarı (2.Kuşak)</v>
          </cell>
          <cell r="B289" t="str">
            <v>K10</v>
          </cell>
        </row>
        <row r="290">
          <cell r="A290" t="str">
            <v>Ateş Hattı Önü</v>
          </cell>
          <cell r="B290" t="str">
            <v>KÖ10</v>
          </cell>
        </row>
        <row r="291">
          <cell r="A291" t="str">
            <v>Ateş Hattı</v>
          </cell>
          <cell r="B291" t="str">
            <v>K10</v>
          </cell>
        </row>
        <row r="292">
          <cell r="A292" t="str">
            <v>Ayşecik Önü</v>
          </cell>
          <cell r="B292" t="str">
            <v>KÖ8</v>
          </cell>
        </row>
        <row r="293">
          <cell r="A293" t="str">
            <v>Ayşecik</v>
          </cell>
          <cell r="B293" t="str">
            <v>K8</v>
          </cell>
        </row>
        <row r="294">
          <cell r="A294" t="str">
            <v>Merhaba Dünya Önü</v>
          </cell>
          <cell r="B294" t="str">
            <v>KÖ8</v>
          </cell>
        </row>
        <row r="295">
          <cell r="A295" t="str">
            <v>Merhaba Dünya</v>
          </cell>
          <cell r="B295" t="str">
            <v>K8</v>
          </cell>
        </row>
        <row r="296">
          <cell r="A296" t="str">
            <v>Show Zamanı Önü</v>
          </cell>
          <cell r="B296" t="str">
            <v>KÖ8</v>
          </cell>
        </row>
        <row r="297">
          <cell r="A297" t="str">
            <v>Show Zamanı</v>
          </cell>
          <cell r="B297" t="str">
            <v>K8</v>
          </cell>
        </row>
        <row r="298">
          <cell r="A298" t="str">
            <v>Cesur ve Güzel Önü</v>
          </cell>
          <cell r="B298" t="str">
            <v>KÖ7</v>
          </cell>
        </row>
        <row r="299">
          <cell r="A299" t="str">
            <v>Cesur ve Güzel (Mutlaka 2.Kuşak)</v>
          </cell>
          <cell r="B299" t="str">
            <v>K7</v>
          </cell>
        </row>
        <row r="300">
          <cell r="A300" t="str">
            <v>Yerli Dizi Önü</v>
          </cell>
          <cell r="B300" t="str">
            <v>KÖ7</v>
          </cell>
        </row>
        <row r="301">
          <cell r="A301" t="str">
            <v>Yerli Dizi</v>
          </cell>
          <cell r="B301" t="str">
            <v>K7</v>
          </cell>
        </row>
        <row r="302">
          <cell r="A302" t="str">
            <v>Pazar Süprizi Önü</v>
          </cell>
          <cell r="B302" t="str">
            <v>KÖ7</v>
          </cell>
        </row>
        <row r="303">
          <cell r="A303" t="str">
            <v>Pazar Süprizi (2.Kuşak)</v>
          </cell>
          <cell r="B303" t="str">
            <v>K7</v>
          </cell>
        </row>
        <row r="304">
          <cell r="A304" t="str">
            <v>Top 20 Önü</v>
          </cell>
          <cell r="B304" t="str">
            <v>KÖ6</v>
          </cell>
        </row>
        <row r="305">
          <cell r="A305" t="str">
            <v>Top 20 (Son Kuşak)</v>
          </cell>
          <cell r="B305" t="str">
            <v>K6</v>
          </cell>
        </row>
        <row r="306">
          <cell r="A306" t="str">
            <v>İlk On Önü</v>
          </cell>
          <cell r="B306" t="str">
            <v>KÖ6</v>
          </cell>
        </row>
        <row r="307">
          <cell r="A307" t="str">
            <v>İlk On</v>
          </cell>
          <cell r="B307" t="str">
            <v>K6</v>
          </cell>
        </row>
        <row r="308">
          <cell r="A308" t="str">
            <v>Sinema 15</v>
          </cell>
          <cell r="B308" t="str">
            <v>K5</v>
          </cell>
        </row>
        <row r="309">
          <cell r="A309" t="str">
            <v>Pencere Önü</v>
          </cell>
          <cell r="B309" t="str">
            <v>KÖ5</v>
          </cell>
        </row>
        <row r="310">
          <cell r="A310" t="str">
            <v>Pencere</v>
          </cell>
          <cell r="B310" t="str">
            <v>K5</v>
          </cell>
        </row>
        <row r="311">
          <cell r="A311" t="str">
            <v>Ekomagazin Önü</v>
          </cell>
          <cell r="B311" t="str">
            <v>KÖ5</v>
          </cell>
        </row>
        <row r="312">
          <cell r="A312" t="str">
            <v>Ekomagazin</v>
          </cell>
          <cell r="B312" t="str">
            <v>K5</v>
          </cell>
        </row>
        <row r="313">
          <cell r="A313" t="str">
            <v>Ceviz Kabuğu Önü</v>
          </cell>
          <cell r="B313" t="str">
            <v>KÖ5</v>
          </cell>
        </row>
        <row r="314">
          <cell r="A314" t="str">
            <v>Ceviz Kabuğu</v>
          </cell>
          <cell r="B314" t="str">
            <v>K5</v>
          </cell>
        </row>
        <row r="315">
          <cell r="A315" t="str">
            <v>Sinema 10 (C.tesi) Önü</v>
          </cell>
          <cell r="B315" t="str">
            <v>KÖ5</v>
          </cell>
        </row>
        <row r="316">
          <cell r="A316" t="str">
            <v>Sinema 10 (C.tesi)</v>
          </cell>
          <cell r="B316" t="str">
            <v>K5</v>
          </cell>
        </row>
        <row r="317">
          <cell r="A317" t="str">
            <v>Sinema 10 (Pazar) Önü</v>
          </cell>
          <cell r="B317" t="str">
            <v>KÖ5</v>
          </cell>
        </row>
        <row r="318">
          <cell r="A318" t="str">
            <v>Sinema 10 (Pazar)</v>
          </cell>
          <cell r="B318" t="str">
            <v>K5</v>
          </cell>
        </row>
        <row r="319">
          <cell r="A319" t="str">
            <v>Beşte Beş Önü</v>
          </cell>
          <cell r="B319" t="str">
            <v>KÖ5</v>
          </cell>
        </row>
        <row r="320">
          <cell r="A320" t="str">
            <v>Beşte Beş</v>
          </cell>
          <cell r="B320" t="str">
            <v>K5</v>
          </cell>
        </row>
        <row r="321">
          <cell r="A321" t="str">
            <v>Sinema 14 (C.tesi)</v>
          </cell>
          <cell r="B321" t="str">
            <v>K5</v>
          </cell>
        </row>
        <row r="322">
          <cell r="A322" t="str">
            <v>Lezzet Turu</v>
          </cell>
          <cell r="B322" t="str">
            <v>K5</v>
          </cell>
        </row>
        <row r="323">
          <cell r="A323" t="str">
            <v>Biz Bize Önü</v>
          </cell>
          <cell r="B323" t="str">
            <v>KÖ5</v>
          </cell>
        </row>
        <row r="324">
          <cell r="A324" t="str">
            <v>Biz Bize</v>
          </cell>
          <cell r="B324" t="str">
            <v>K5</v>
          </cell>
        </row>
        <row r="325">
          <cell r="A325" t="str">
            <v>Sinema 15 (Pazar)</v>
          </cell>
          <cell r="B325" t="str">
            <v>K5</v>
          </cell>
        </row>
        <row r="326">
          <cell r="A326" t="str">
            <v>Yanlızca Maria Önü</v>
          </cell>
          <cell r="B326" t="str">
            <v>KÖ4</v>
          </cell>
        </row>
        <row r="327">
          <cell r="A327" t="str">
            <v>Yanlızca Maria</v>
          </cell>
          <cell r="B327" t="str">
            <v>K4</v>
          </cell>
        </row>
        <row r="328">
          <cell r="A328" t="str">
            <v>Klip 99 Önü</v>
          </cell>
          <cell r="B328" t="str">
            <v>KÖ4</v>
          </cell>
        </row>
        <row r="329">
          <cell r="A329" t="str">
            <v>Klip 99</v>
          </cell>
          <cell r="B329" t="str">
            <v>K4</v>
          </cell>
        </row>
        <row r="330">
          <cell r="A330" t="str">
            <v>Moda Show Önü</v>
          </cell>
          <cell r="B330" t="str">
            <v>KÖ4</v>
          </cell>
        </row>
        <row r="331">
          <cell r="A331" t="str">
            <v>Moda Show</v>
          </cell>
          <cell r="B331" t="str">
            <v>K4</v>
          </cell>
        </row>
        <row r="332">
          <cell r="A332" t="str">
            <v>VIP Önü</v>
          </cell>
          <cell r="B332" t="str">
            <v>KÖ2</v>
          </cell>
        </row>
        <row r="333">
          <cell r="A333" t="str">
            <v>VIP</v>
          </cell>
          <cell r="B333" t="str">
            <v>K2</v>
          </cell>
        </row>
        <row r="334">
          <cell r="A334" t="str">
            <v>Show Kids Önü</v>
          </cell>
          <cell r="B334" t="str">
            <v>KÖ3</v>
          </cell>
        </row>
        <row r="335">
          <cell r="A335" t="str">
            <v>Show Kids</v>
          </cell>
          <cell r="B335" t="str">
            <v>K3</v>
          </cell>
        </row>
        <row r="336">
          <cell r="A336" t="str">
            <v>Haber Hattı Önü</v>
          </cell>
          <cell r="B336" t="str">
            <v>KÖ3</v>
          </cell>
        </row>
        <row r="337">
          <cell r="A337" t="str">
            <v>Haber Hattı</v>
          </cell>
          <cell r="B337" t="str">
            <v>K3</v>
          </cell>
        </row>
        <row r="338">
          <cell r="A338" t="str">
            <v>Son Haber Önü</v>
          </cell>
          <cell r="B338" t="str">
            <v>KÖ3</v>
          </cell>
        </row>
        <row r="339">
          <cell r="A339" t="str">
            <v>Son Haber</v>
          </cell>
          <cell r="B339" t="str">
            <v>K3</v>
          </cell>
        </row>
        <row r="340">
          <cell r="A340" t="str">
            <v>Küçük Bal Arısı Önü</v>
          </cell>
          <cell r="B340" t="str">
            <v>KÖ2</v>
          </cell>
        </row>
        <row r="341">
          <cell r="A341" t="str">
            <v>Küçük Bal Arısı</v>
          </cell>
          <cell r="B341" t="str">
            <v>K2</v>
          </cell>
        </row>
        <row r="342">
          <cell r="A342" t="str">
            <v>Toyota Vahşi Yaşam Önü</v>
          </cell>
          <cell r="B342" t="str">
            <v>KÖ2</v>
          </cell>
        </row>
        <row r="343">
          <cell r="A343" t="str">
            <v>Toyota Vahşi Yaşam</v>
          </cell>
          <cell r="B343" t="str">
            <v>K2</v>
          </cell>
        </row>
        <row r="344">
          <cell r="A344" t="str">
            <v>Kapital Önü</v>
          </cell>
          <cell r="B344" t="str">
            <v>KÖ2</v>
          </cell>
        </row>
        <row r="345">
          <cell r="A345" t="str">
            <v>Kapital</v>
          </cell>
          <cell r="B345" t="str">
            <v>K2</v>
          </cell>
        </row>
        <row r="346">
          <cell r="A346" t="str">
            <v>Güne Merhaba</v>
          </cell>
          <cell r="B346" t="str">
            <v>K1</v>
          </cell>
        </row>
        <row r="347">
          <cell r="A347" t="str">
            <v>Show Başlıyor</v>
          </cell>
          <cell r="B347" t="str">
            <v>K1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/>
      <sheetData sheetId="85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L"/>
      <sheetName val="Kategoriler"/>
      <sheetName val="Programlar"/>
      <sheetName val="ATV"/>
      <sheetName val="KAND"/>
      <sheetName val="SHOW"/>
      <sheetName val="TGRT"/>
      <sheetName val="TRT 1"/>
      <sheetName val="BRT"/>
      <sheetName val="KANAL 6"/>
      <sheetName val="FLASH"/>
      <sheetName val="CNNTURK"/>
      <sheetName val="KANAL E"/>
      <sheetName val="CINE 5"/>
      <sheetName val="KANAL 7"/>
      <sheetName val="DISCOVERY"/>
      <sheetName val="NTV"/>
      <sheetName val="PİVOT FREE"/>
      <sheetName val="KARIŞIK FREE"/>
      <sheetName val="PİVOT PARALI"/>
      <sheetName val="KARIŞIK PARALI"/>
      <sheetName val="KARIŞIK ÖDEME PLANI"/>
      <sheetName val="ÖZET"/>
      <sheetName val="ÖDEME PLANI"/>
      <sheetName val="GERÇEKLEŞEN ÖZET TABLO"/>
      <sheetName val="GERÇEKLEŞEN NORMAL"/>
      <sheetName val="PİVOT NORMAL"/>
      <sheetName val="PİVOT 23-30"/>
      <sheetName val="GERÇEKLEŞEN FREE 23-30"/>
      <sheetName val="BÜTÇE FREESİ"/>
      <sheetName val="GERÇEKLEŞEN FREE"/>
      <sheetName val="KARIŞIK GERÇEKLEŞEN"/>
      <sheetName val="GERÇEKLEŞEN ÖDEME PLANI"/>
      <sheetName val="GERÇEKLEŞEN KARIŞIK ÖDEME PLANI"/>
    </sheetNames>
    <sheetDataSet>
      <sheetData sheetId="0" refreshError="1"/>
      <sheetData sheetId="1">
        <row r="2">
          <cell r="A2" t="str">
            <v>K1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rim"/>
      <sheetName val="Sheet1"/>
      <sheetName val="knld"/>
      <sheetName val="atv"/>
      <sheetName val="1"/>
      <sheetName val="2"/>
      <sheetName val="3"/>
      <sheetName val="4"/>
      <sheetName val="5"/>
      <sheetName val="6"/>
      <sheetName val="2-3"/>
      <sheetName val="2-4"/>
      <sheetName val="2-5"/>
      <sheetName val="2-6"/>
      <sheetName val="3-4"/>
      <sheetName val="3-5"/>
      <sheetName val="3-6"/>
      <sheetName val="4-5"/>
      <sheetName val="4-6"/>
      <sheetName val="5-6"/>
      <sheetName val="Sayfa2"/>
      <sheetName val="Programlar"/>
      <sheetName val="Kategoriler"/>
      <sheetName val="REZFORM"/>
      <sheetName val="Kategori Dizi kanalları"/>
      <sheetName val="SpotList (2)"/>
      <sheetName val="Online Media-Plan"/>
      <sheetName val="plan-gaz1"/>
      <sheetName val="alapok"/>
      <sheetName val="P3"/>
      <sheetName val="Copies"/>
      <sheetName val="Exchange"/>
      <sheetName val="Payments"/>
      <sheetName val="Stations"/>
      <sheetName val="Prices"/>
      <sheetName val="Ekim"/>
      <sheetName val="CampaignData"/>
      <sheetName val="rendelés melléklet"/>
      <sheetName val="Data 2000"/>
      <sheetName val="FINALPH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2"/>
    </sheetNames>
    <sheetDataSet>
      <sheetData sheetId="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  <sheetName val="Programlar"/>
      <sheetName val="ATV"/>
      <sheetName val="KAND"/>
      <sheetName val="SHOW"/>
      <sheetName val="TGRT"/>
      <sheetName val="TRT 1"/>
      <sheetName val="BRT"/>
      <sheetName val="KANAL 6"/>
      <sheetName val="FLASH"/>
      <sheetName val="CNNTURK"/>
      <sheetName val="KANAL E"/>
      <sheetName val="CINE 5"/>
      <sheetName val="KANAL 7"/>
      <sheetName val="DISCOVERY"/>
      <sheetName val="NTV"/>
      <sheetName val="PİVOT FREE"/>
      <sheetName val="KARIŞIK FREE"/>
      <sheetName val="PİVOT PARALI"/>
      <sheetName val="KARIŞIK PARALI"/>
      <sheetName val="KARIŞIK ÖDEME PLANI"/>
      <sheetName val="ÖZET"/>
      <sheetName val="ÖDEME PLANI"/>
      <sheetName val="GERÇEKLEŞEN ÖZET TABLO"/>
      <sheetName val="GERÇEKLEŞEN NORMAL"/>
      <sheetName val="PİVOT NORMAL"/>
      <sheetName val="PİVOT 23-30"/>
      <sheetName val="GERÇEKLEŞEN FREE 23-30"/>
      <sheetName val="BÜTÇE FREESİ"/>
      <sheetName val="GERÇEKLEŞEN FREE"/>
      <sheetName val="KARIŞIK GERÇEKLEŞEN"/>
      <sheetName val="GERÇEKLEŞEN ÖDEME PLANI"/>
      <sheetName val="GERÇEKLEŞEN KARIŞIK ÖDEME PLANI"/>
      <sheetName val="KARIŞIK PLAN"/>
      <sheetName val="1-4 AĞUSTOS"/>
      <sheetName val="ÖDEME"/>
      <sheetName val="ÖDEME (REVİZE)"/>
      <sheetName val="GERÇEKLEŞEN ÖZET"/>
      <sheetName val="Sheet1"/>
      <sheetName val="Gerçekleşen Karışık"/>
      <sheetName val="TEM-AGUS ÖDEME FARKLARI"/>
      <sheetName val="KANAL D"/>
      <sheetName val="SHOW TV"/>
      <sheetName val="STAR"/>
      <sheetName val="CNBC-e"/>
      <sheetName val="CNN TÜRK"/>
      <sheetName val="HABERTÜRK"/>
      <sheetName val="TV8"/>
      <sheetName val="NUM 1 TV"/>
      <sheetName val="MOVIE MAX"/>
      <sheetName val="STAR 2"/>
      <sheetName val="EGE TV"/>
      <sheetName val="Sayfa2"/>
      <sheetName val="TRT_1"/>
      <sheetName val="KANAL_6"/>
      <sheetName val="KANAL_E"/>
      <sheetName val="CINE_5"/>
      <sheetName val="KANAL_7"/>
      <sheetName val="PİVOT_FREE"/>
      <sheetName val="KARIŞIK_FREE"/>
      <sheetName val="PİVOT_PARALI"/>
      <sheetName val="KARIŞIK_PARALI"/>
      <sheetName val="KARIŞIK_ÖDEME_PLANI"/>
      <sheetName val="ÖDEME_PLANI"/>
      <sheetName val="GERÇEKLEŞEN_ÖZET_TABLO"/>
      <sheetName val="GERÇEKLEŞEN_NORMAL"/>
      <sheetName val="PİVOT_NORMAL"/>
      <sheetName val="PİVOT_23-30"/>
      <sheetName val="GERÇEKLEŞEN_FREE_23-30"/>
      <sheetName val="BÜTÇE_FREESİ"/>
      <sheetName val="GERÇEKLEŞEN_FREE"/>
      <sheetName val="KARIŞIK_GERÇEKLEŞEN"/>
      <sheetName val="GERÇEKLEŞEN_ÖDEME_PLANI"/>
      <sheetName val="GERÇEKLEŞEN_KARIŞIK_ÖDEME_PLANI"/>
      <sheetName val="KARIŞIK_PLAN"/>
      <sheetName val="1-4_AĞUSTOS"/>
      <sheetName val="ÖDEME_(REVİZE)"/>
      <sheetName val="GERÇEKLEŞEN_ÖZET"/>
      <sheetName val="Gerçekleşen_Karışık"/>
      <sheetName val="TEM-AGUS_ÖDEME_FARKLARI"/>
      <sheetName val="KANAL_D"/>
      <sheetName val="SHOW_TV"/>
      <sheetName val="CNN_TÜRK"/>
      <sheetName val="NUM_1_TV"/>
      <sheetName val="MOVIE_MAX"/>
      <sheetName val="STAR_2"/>
      <sheetName val="EGE_TV"/>
      <sheetName val="TRT_11"/>
      <sheetName val="KANAL_61"/>
      <sheetName val="KANAL_E1"/>
      <sheetName val="CINE_51"/>
      <sheetName val="KANAL_71"/>
      <sheetName val="PİVOT_FREE1"/>
      <sheetName val="KARIŞIK_FREE1"/>
      <sheetName val="PİVOT_PARALI1"/>
      <sheetName val="KARIŞIK_PARALI1"/>
      <sheetName val="KARIŞIK_ÖDEME_PLANI1"/>
      <sheetName val="ÖDEME_PLANI1"/>
      <sheetName val="GERÇEKLEŞEN_ÖZET_TABLO1"/>
      <sheetName val="GERÇEKLEŞEN_NORMAL1"/>
      <sheetName val="PİVOT_NORMAL1"/>
      <sheetName val="PİVOT_23-301"/>
      <sheetName val="GERÇEKLEŞEN_FREE_23-301"/>
      <sheetName val="BÜTÇE_FREESİ1"/>
      <sheetName val="GERÇEKLEŞEN_FREE1"/>
      <sheetName val="KARIŞIK_GERÇEKLEŞEN1"/>
      <sheetName val="GERÇEKLEŞEN_ÖDEME_PLANI1"/>
      <sheetName val="GERÇEKLEŞEN_KARIŞIK_ÖDEME_PLAN1"/>
      <sheetName val="KARIŞIK_PLAN1"/>
      <sheetName val="1-4_AĞUSTOS1"/>
      <sheetName val="ÖDEME_(REVİZE)1"/>
      <sheetName val="GERÇEKLEŞEN_ÖZET1"/>
      <sheetName val="Gerçekleşen_Karışık1"/>
      <sheetName val="TEM-AGUS_ÖDEME_FARKLARI1"/>
      <sheetName val="KANAL_D1"/>
      <sheetName val="SHOW_TV1"/>
      <sheetName val="CNN_TÜRK1"/>
      <sheetName val="NUM_1_TV1"/>
      <sheetName val="MOVIE_MAX1"/>
      <sheetName val="STAR_21"/>
      <sheetName val="EGE_TV1"/>
      <sheetName val="HL"/>
      <sheetName val="Resource-Strings"/>
      <sheetName val="TRT_12"/>
      <sheetName val="KANAL_62"/>
      <sheetName val="KANAL_E2"/>
      <sheetName val="CINE_52"/>
      <sheetName val="KANAL_72"/>
      <sheetName val="PİVOT_FREE2"/>
      <sheetName val="KARIŞIK_FREE2"/>
      <sheetName val="PİVOT_PARALI2"/>
      <sheetName val="KARIŞIK_PARALI2"/>
      <sheetName val="KARIŞIK_ÖDEME_PLANI2"/>
      <sheetName val="ÖDEME_PLANI2"/>
      <sheetName val="GERÇEKLEŞEN_ÖZET_TABLO2"/>
      <sheetName val="GERÇEKLEŞEN_NORMAL2"/>
      <sheetName val="PİVOT_NORMAL2"/>
      <sheetName val="PİVOT_23-302"/>
      <sheetName val="GERÇEKLEŞEN_FREE_23-302"/>
      <sheetName val="BÜTÇE_FREESİ2"/>
      <sheetName val="GERÇEKLEŞEN_FREE2"/>
      <sheetName val="KARIŞIK_GERÇEKLEŞEN2"/>
      <sheetName val="GERÇEKLEŞEN_ÖDEME_PLANI2"/>
      <sheetName val="GERÇEKLEŞEN_KARIŞIK_ÖDEME_PLAN2"/>
      <sheetName val="KARIŞIK_PLAN2"/>
      <sheetName val="1-4_AĞUSTOS2"/>
      <sheetName val="ÖDEME_(REVİZE)2"/>
      <sheetName val="GERÇEKLEŞEN_ÖZET2"/>
      <sheetName val="Gerçekleşen_Karışık2"/>
      <sheetName val="TEM-AGUS_ÖDEME_FARKLARI2"/>
      <sheetName val="KANAL_D2"/>
      <sheetName val="SHOW_TV2"/>
      <sheetName val="CNN_TÜRK2"/>
      <sheetName val="NUM_1_TV2"/>
      <sheetName val="MOVIE_MAX2"/>
      <sheetName val="STAR_22"/>
      <sheetName val="EGE_TV2"/>
      <sheetName val="Copies"/>
      <sheetName val="SpotList_(2)1"/>
      <sheetName val="Exchange"/>
      <sheetName val="SpotList"/>
      <sheetName val="Payments"/>
      <sheetName val="Stations"/>
      <sheetName val="Prices"/>
      <sheetName val="Fiyat"/>
      <sheetName val="TRT_13"/>
      <sheetName val="KANAL_63"/>
      <sheetName val="KANAL_E3"/>
      <sheetName val="CINE_53"/>
      <sheetName val="KANAL_73"/>
      <sheetName val="PİVOT_FREE3"/>
      <sheetName val="KARIŞIK_FREE3"/>
      <sheetName val="PİVOT_PARALI3"/>
      <sheetName val="KARIŞIK_PARALI3"/>
      <sheetName val="KARIŞIK_ÖDEME_PLANI3"/>
      <sheetName val="ÖDEME_PLANI3"/>
      <sheetName val="GERÇEKLEŞEN_ÖZET_TABLO3"/>
      <sheetName val="GERÇEKLEŞEN_NORMAL3"/>
      <sheetName val="PİVOT_NORMAL3"/>
      <sheetName val="PİVOT_23-303"/>
      <sheetName val="GERÇEKLEŞEN_FREE_23-303"/>
      <sheetName val="BÜTÇE_FREESİ3"/>
      <sheetName val="GERÇEKLEŞEN_FREE3"/>
      <sheetName val="KARIŞIK_GERÇEKLEŞEN3"/>
      <sheetName val="GERÇEKLEŞEN_ÖDEME_PLANI3"/>
      <sheetName val="GERÇEKLEŞEN_KARIŞIK_ÖDEME_PLAN3"/>
      <sheetName val="KARIŞIK_PLAN3"/>
      <sheetName val="1-4_AĞUSTOS3"/>
      <sheetName val="ÖDEME_(REVİZE)3"/>
      <sheetName val="GERÇEKLEŞEN_ÖZET3"/>
      <sheetName val="Gerçekleşen_Karışık3"/>
      <sheetName val="TEM-AGUS_ÖDEME_FARKLARI3"/>
      <sheetName val="KANAL_D3"/>
      <sheetName val="SHOW_TV3"/>
      <sheetName val="CNN_TÜRK3"/>
      <sheetName val="NUM_1_TV3"/>
      <sheetName val="MOVIE_MAX3"/>
      <sheetName val="STAR_23"/>
      <sheetName val="EGE_TV3"/>
      <sheetName val="TRT_14"/>
      <sheetName val="KANAL_64"/>
      <sheetName val="KANAL_E4"/>
      <sheetName val="CINE_54"/>
      <sheetName val="KANAL_74"/>
      <sheetName val="PİVOT_FREE4"/>
      <sheetName val="KARIŞIK_FREE4"/>
      <sheetName val="PİVOT_PARALI4"/>
      <sheetName val="KARIŞIK_PARALI4"/>
      <sheetName val="KARIŞIK_ÖDEME_PLANI4"/>
      <sheetName val="ÖDEME_PLANI4"/>
      <sheetName val="GERÇEKLEŞEN_ÖZET_TABLO4"/>
      <sheetName val="GERÇEKLEŞEN_NORMAL4"/>
      <sheetName val="PİVOT_NORMAL4"/>
      <sheetName val="PİVOT_23-304"/>
      <sheetName val="GERÇEKLEŞEN_FREE_23-304"/>
      <sheetName val="BÜTÇE_FREESİ4"/>
      <sheetName val="GERÇEKLEŞEN_FREE4"/>
      <sheetName val="KARIŞIK_GERÇEKLEŞEN4"/>
      <sheetName val="GERÇEKLEŞEN_ÖDEME_PLANI4"/>
      <sheetName val="GERÇEKLEŞEN_KARIŞIK_ÖDEME_PLAN4"/>
      <sheetName val="KARIŞIK_PLAN4"/>
      <sheetName val="1-4_AĞUSTOS4"/>
      <sheetName val="ÖDEME_(REVİZE)4"/>
      <sheetName val="GERÇEKLEŞEN_ÖZET4"/>
      <sheetName val="Gerçekleşen_Karışık4"/>
      <sheetName val="TEM-AGUS_ÖDEME_FARKLARI4"/>
      <sheetName val="KANAL_D4"/>
      <sheetName val="SHOW_TV4"/>
      <sheetName val="CNN_TÜRK4"/>
      <sheetName val="NUM_1_TV4"/>
      <sheetName val="MOVIE_MAX4"/>
      <sheetName val="STAR_24"/>
      <sheetName val="EGE_TV4"/>
      <sheetName val="CampaignData"/>
      <sheetName val="##"/>
      <sheetName val="Скидки"/>
      <sheetName val="Ekim"/>
      <sheetName val="Fa man - real"/>
      <sheetName val="P3"/>
      <sheetName val="alapok"/>
      <sheetName val="tanimlar"/>
      <sheetName val="TRT_15"/>
      <sheetName val="KANAL_65"/>
      <sheetName val="KANAL_E5"/>
      <sheetName val="CINE_55"/>
      <sheetName val="KANAL_75"/>
      <sheetName val="PİVOT_FREE5"/>
      <sheetName val="KARIŞIK_FREE5"/>
      <sheetName val="PİVOT_PARALI5"/>
      <sheetName val="KARIŞIK_PARALI5"/>
      <sheetName val="KARIŞIK_ÖDEME_PLANI5"/>
      <sheetName val="ÖDEME_PLANI5"/>
      <sheetName val="GERÇEKLEŞEN_ÖZET_TABLO5"/>
      <sheetName val="GERÇEKLEŞEN_NORMAL5"/>
      <sheetName val="PİVOT_NORMAL5"/>
      <sheetName val="PİVOT_23-305"/>
      <sheetName val="GERÇEKLEŞEN_FREE_23-305"/>
      <sheetName val="BÜTÇE_FREESİ5"/>
      <sheetName val="GERÇEKLEŞEN_FREE5"/>
      <sheetName val="KARIŞIK_GERÇEKLEŞEN5"/>
      <sheetName val="GERÇEKLEŞEN_ÖDEME_PLANI5"/>
      <sheetName val="GERÇEKLEŞEN_KARIŞIK_ÖDEME_PLAN5"/>
      <sheetName val="KARIŞIK_PLAN5"/>
      <sheetName val="1-4_AĞUSTOS5"/>
      <sheetName val="ÖDEME_(REVİZE)5"/>
      <sheetName val="GERÇEKLEŞEN_ÖZET5"/>
      <sheetName val="Gerçekleşen_Karışık5"/>
      <sheetName val="TEM-AGUS_ÖDEME_FARKLARI5"/>
      <sheetName val="KANAL_D5"/>
      <sheetName val="SHOW_TV5"/>
      <sheetName val="CNN_TÜRK5"/>
      <sheetName val="NUM_1_TV5"/>
      <sheetName val="MOVIE_MAX5"/>
      <sheetName val="STAR_25"/>
      <sheetName val="EGE_TV5"/>
      <sheetName val="Fa_man_-_real"/>
      <sheetName val="radiomınd"/>
      <sheetName val="Foglio1"/>
      <sheetName val="Kategori Dizi kanalları"/>
      <sheetName val="Sayfa4"/>
      <sheetName val="billingtype"/>
      <sheetName val="network"/>
      <sheetName val="tuborg"/>
    </sheetNames>
    <sheetDataSet>
      <sheetData sheetId="0" refreshError="1">
        <row r="2">
          <cell r="A2" t="str">
            <v>K1</v>
          </cell>
        </row>
        <row r="48">
          <cell r="A48" t="str">
            <v>K12</v>
          </cell>
          <cell r="B48">
            <v>825</v>
          </cell>
        </row>
        <row r="49">
          <cell r="A49" t="str">
            <v>K11</v>
          </cell>
          <cell r="B49">
            <v>725</v>
          </cell>
        </row>
        <row r="50">
          <cell r="A50" t="str">
            <v>K10</v>
          </cell>
          <cell r="B50">
            <v>625</v>
          </cell>
        </row>
        <row r="51">
          <cell r="A51" t="str">
            <v>K9</v>
          </cell>
          <cell r="B51">
            <v>525</v>
          </cell>
        </row>
        <row r="52">
          <cell r="A52" t="str">
            <v>K8</v>
          </cell>
          <cell r="B52">
            <v>470</v>
          </cell>
        </row>
        <row r="53">
          <cell r="A53" t="str">
            <v>K7</v>
          </cell>
          <cell r="B53">
            <v>330</v>
          </cell>
        </row>
        <row r="54">
          <cell r="A54" t="str">
            <v>KÖ12</v>
          </cell>
          <cell r="B54">
            <v>618.75</v>
          </cell>
        </row>
        <row r="55">
          <cell r="A55" t="str">
            <v>KÖ11</v>
          </cell>
          <cell r="B55">
            <v>543.75</v>
          </cell>
        </row>
        <row r="56">
          <cell r="A56" t="str">
            <v>KÖ10</v>
          </cell>
          <cell r="B56">
            <v>468.75</v>
          </cell>
        </row>
        <row r="57">
          <cell r="A57" t="str">
            <v>KÖ9</v>
          </cell>
          <cell r="B57">
            <v>393.75</v>
          </cell>
        </row>
        <row r="58">
          <cell r="A58" t="str">
            <v>KÖ8</v>
          </cell>
          <cell r="B58">
            <v>352.5</v>
          </cell>
        </row>
        <row r="59">
          <cell r="A59" t="str">
            <v>KÖ7</v>
          </cell>
          <cell r="B59">
            <v>247.5</v>
          </cell>
        </row>
        <row r="60">
          <cell r="A60" t="str">
            <v>K6</v>
          </cell>
          <cell r="B60">
            <v>200</v>
          </cell>
        </row>
        <row r="61">
          <cell r="A61" t="str">
            <v>K5</v>
          </cell>
          <cell r="B61">
            <v>175</v>
          </cell>
        </row>
        <row r="62">
          <cell r="A62" t="str">
            <v>K4</v>
          </cell>
          <cell r="B62">
            <v>150</v>
          </cell>
        </row>
        <row r="63">
          <cell r="A63" t="str">
            <v>K3</v>
          </cell>
          <cell r="B63">
            <v>125</v>
          </cell>
        </row>
        <row r="64">
          <cell r="A64" t="str">
            <v>K2</v>
          </cell>
          <cell r="B64">
            <v>105</v>
          </cell>
        </row>
        <row r="65">
          <cell r="A65" t="str">
            <v>K1</v>
          </cell>
          <cell r="B65">
            <v>70</v>
          </cell>
        </row>
        <row r="66">
          <cell r="A66" t="str">
            <v>KÖ6</v>
          </cell>
          <cell r="B66">
            <v>150</v>
          </cell>
        </row>
        <row r="67">
          <cell r="A67" t="str">
            <v>KÖ5</v>
          </cell>
          <cell r="B67">
            <v>131.25</v>
          </cell>
        </row>
        <row r="68">
          <cell r="A68" t="str">
            <v>KÖ4</v>
          </cell>
          <cell r="B68">
            <v>112.5</v>
          </cell>
        </row>
        <row r="69">
          <cell r="A69" t="str">
            <v>KÖ3</v>
          </cell>
          <cell r="B69">
            <v>93.75</v>
          </cell>
        </row>
        <row r="70">
          <cell r="A70" t="str">
            <v>KÖ2</v>
          </cell>
          <cell r="B70">
            <v>78.75</v>
          </cell>
        </row>
        <row r="71">
          <cell r="A71" t="str">
            <v>KÖ1</v>
          </cell>
          <cell r="B71">
            <v>52.5</v>
          </cell>
        </row>
        <row r="90">
          <cell r="A90" t="str">
            <v>K12</v>
          </cell>
          <cell r="B90">
            <v>18</v>
          </cell>
        </row>
        <row r="91">
          <cell r="A91" t="str">
            <v>K11</v>
          </cell>
          <cell r="B91">
            <v>17</v>
          </cell>
        </row>
        <row r="92">
          <cell r="A92" t="str">
            <v>K10</v>
          </cell>
          <cell r="B92">
            <v>15</v>
          </cell>
        </row>
        <row r="93">
          <cell r="A93" t="str">
            <v>K9</v>
          </cell>
          <cell r="B93">
            <v>14</v>
          </cell>
        </row>
        <row r="94">
          <cell r="A94" t="str">
            <v>K8</v>
          </cell>
          <cell r="B94">
            <v>13</v>
          </cell>
        </row>
        <row r="95">
          <cell r="A95" t="str">
            <v>K7</v>
          </cell>
          <cell r="B95">
            <v>11</v>
          </cell>
        </row>
        <row r="96">
          <cell r="A96" t="str">
            <v>KÖ12</v>
          </cell>
          <cell r="B96">
            <v>12.6</v>
          </cell>
        </row>
        <row r="97">
          <cell r="A97" t="str">
            <v>KÖ11</v>
          </cell>
          <cell r="B97">
            <v>11.899999999999999</v>
          </cell>
        </row>
        <row r="98">
          <cell r="A98" t="str">
            <v>KÖ10</v>
          </cell>
          <cell r="B98">
            <v>10.5</v>
          </cell>
        </row>
        <row r="99">
          <cell r="A99" t="str">
            <v>KÖ9</v>
          </cell>
          <cell r="B99">
            <v>9.7999999999999989</v>
          </cell>
        </row>
        <row r="100">
          <cell r="A100" t="str">
            <v>KÖ8</v>
          </cell>
          <cell r="B100">
            <v>9.1</v>
          </cell>
        </row>
        <row r="101">
          <cell r="A101" t="str">
            <v>KÖ7</v>
          </cell>
          <cell r="B101">
            <v>7.6999999999999993</v>
          </cell>
        </row>
        <row r="102">
          <cell r="A102" t="str">
            <v>K6</v>
          </cell>
          <cell r="B102">
            <v>7</v>
          </cell>
        </row>
        <row r="103">
          <cell r="A103" t="str">
            <v>K5</v>
          </cell>
          <cell r="B103">
            <v>7</v>
          </cell>
        </row>
        <row r="104">
          <cell r="A104" t="str">
            <v>K4</v>
          </cell>
          <cell r="B104">
            <v>5</v>
          </cell>
        </row>
        <row r="105">
          <cell r="A105" t="str">
            <v>K3</v>
          </cell>
          <cell r="B105">
            <v>5</v>
          </cell>
        </row>
        <row r="106">
          <cell r="A106" t="str">
            <v>K2</v>
          </cell>
          <cell r="B106">
            <v>3</v>
          </cell>
        </row>
        <row r="107">
          <cell r="A107" t="str">
            <v>K1</v>
          </cell>
          <cell r="B107">
            <v>3</v>
          </cell>
        </row>
        <row r="108">
          <cell r="A108" t="str">
            <v>KÖ6</v>
          </cell>
          <cell r="B108">
            <v>4.8999999999999995</v>
          </cell>
        </row>
        <row r="109">
          <cell r="A109" t="str">
            <v>KÖ5</v>
          </cell>
          <cell r="B109">
            <v>4.8999999999999995</v>
          </cell>
        </row>
        <row r="110">
          <cell r="A110" t="str">
            <v>KÖ4</v>
          </cell>
          <cell r="B110">
            <v>3.5</v>
          </cell>
        </row>
        <row r="111">
          <cell r="A111" t="str">
            <v>KÖ3</v>
          </cell>
          <cell r="B111">
            <v>3.5</v>
          </cell>
        </row>
        <row r="112">
          <cell r="A112" t="str">
            <v>KÖ2</v>
          </cell>
          <cell r="B112">
            <v>2.0999999999999996</v>
          </cell>
        </row>
        <row r="113">
          <cell r="A113" t="str">
            <v>KÖ1</v>
          </cell>
          <cell r="B113">
            <v>2.0999999999999996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  <sheetName val="Programlar"/>
    </sheetNames>
    <sheetDataSet>
      <sheetData sheetId="0" refreshError="1"/>
      <sheetData sheetId="1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Ref"/>
      <sheetName val="Format"/>
      <sheetName val="Mod.A"/>
      <sheetName val="Mod.A1"/>
      <sheetName val="Mod.B"/>
      <sheetName val="Mod.B1"/>
      <sheetName val="copertina"/>
      <sheetName val="Indice"/>
      <sheetName val="Kategoriler"/>
      <sheetName val="\sudafrica\Sudafrica 2002\sud a"/>
      <sheetName val="SGV"/>
      <sheetName val="Ekim"/>
      <sheetName val="Foglio1"/>
      <sheetName val="TRT FM"/>
      <sheetName val="XXXX"/>
      <sheetName val="DOLLARO"/>
      <sheetName val="Conta transição_comer"/>
      <sheetName val="86_NOVEMBRO"/>
      <sheetName val="89_NOVEMBRO"/>
      <sheetName val="87_NOVEMBRO"/>
      <sheetName val="Analise_BDG"/>
      <sheetName val="Analise_F6+6"/>
      <sheetName val="Plan4"/>
      <sheetName val="Analise_F10+2"/>
      <sheetName val="FLASH"/>
      <sheetName val="comparativo_Jan_fev"/>
      <sheetName val="EXPLICMES"/>
      <sheetName val="EXPLICANO_3+9"/>
      <sheetName val="EXPLICANO"/>
      <sheetName val="EXPLICANO_BDG"/>
      <sheetName val="EXPLICABERTO"/>
      <sheetName val="FLASH_6+6"/>
      <sheetName val="Juridico"/>
      <sheetName val="CR"/>
      <sheetName val="DAF"/>
      <sheetName val="Diret."/>
      <sheetName val="Comparativo (2)"/>
      <sheetName val="Strfuncionamento.2004"/>
      <sheetName val="86"/>
      <sheetName val="89"/>
      <sheetName val="87"/>
      <sheetName val="Strfuncionamento.2005"/>
      <sheetName val="per paese"/>
      <sheetName val="per modello"/>
      <sheetName val="JATO Worksheet - Pagina 1"/>
      <sheetName val="Guida al foglio"/>
      <sheetName val="Foglio3"/>
      <sheetName val="GENERALE"/>
      <sheetName val="RIEPILOGO (2)"/>
      <sheetName val="stile &quot;93 €&quot;"/>
      <sheetName val="stile ULTERIORI"/>
      <sheetName val="riepilogo CON DETTAGLIO"/>
      <sheetName val="DETTAGLIO ULTERIORI"/>
      <sheetName val="CROMI INTERNI "/>
      <sheetName val="198 CAMBIO M32 SU 1.4 T 120"/>
      <sheetName val="ODM stile"/>
      <sheetName val="dettaglio"/>
      <sheetName val="Foglio2"/>
      <sheetName val="Gazete teaser"/>
      <sheetName val="Programlar"/>
      <sheetName val="DUCATO"/>
      <sheetName val="33&quot;"/>
      <sheetName val="Copies"/>
      <sheetName val="Kategori Dizi kanalları"/>
      <sheetName val="VENDAS"/>
      <sheetName val="Hasar Hattı"/>
      <sheetName val="ATV"/>
      <sheetName val="Indice.xls"/>
      <sheetName val="Sayfa4"/>
      <sheetName val=""/>
      <sheetName val="2.대외공문"/>
      <sheetName val="Macro1"/>
      <sheetName val="Macro2"/>
      <sheetName val="Vers_TOP(16)"/>
      <sheetName val="ALBERINIITADIESEL"/>
      <sheetName val="NORME"/>
      <sheetName val="ECOM Periodique"/>
      <sheetName val="All"/>
      <sheetName val="DB"/>
      <sheetName val="Base"/>
      <sheetName val="MacroSheet"/>
      <sheetName val="prova"/>
      <sheetName val="Prijzen"/>
      <sheetName val="PA_Weighted"/>
      <sheetName val="Instructions"/>
      <sheetName val="Assumptions"/>
      <sheetName val="Input"/>
      <sheetName val="Cost Impact PA Brand"/>
      <sheetName val="PCO v PA Cost Weighted"/>
      <sheetName val="PCO v PA Cost Weighted KM"/>
      <sheetName val="Details by Model in Euro"/>
      <sheetName val="Cost Impact PA Industrial"/>
      <sheetName val="Milestone vs PA - KM 1"/>
      <sheetName val="Milestone vs PA - KM 2"/>
      <sheetName val="Milestone vs PA - KM 3"/>
      <sheetName val="Milestone vs PA - KM 4"/>
      <sheetName val="Milestone vs PA - KM 5"/>
      <sheetName val="Milestone vs PA - KM 6"/>
      <sheetName val="Milestone vs PA - KM 7"/>
      <sheetName val="Milestone vs PA - KM 8"/>
      <sheetName val="Milestone vs PA - KM 9"/>
      <sheetName val="Milestone vs PA - KM 10"/>
      <sheetName val="Milestone vs PA - KM 11"/>
      <sheetName val="Milestone vs PA - KM 12"/>
      <sheetName val="Milestone vs PA - KM 13"/>
      <sheetName val="Milestone vs PA - KM 14"/>
      <sheetName val="Milestone vs PA - KM 15"/>
      <sheetName val="Milestone vs PA - KM 16"/>
      <sheetName val="Form_8"/>
      <sheetName val="KM Summary PA - backup"/>
      <sheetName val="KM SummaryTC - backup"/>
      <sheetName val="2007"/>
      <sheetName val="2008"/>
      <sheetName val="2009"/>
      <sheetName val="MACRO SETTING"/>
      <sheetName val="IN425C 1B 437 02"/>
      <sheetName val="IN423R 1C 433 01"/>
      <sheetName val="IN425R 1D 433 01"/>
      <sheetName val="IN422C 1D 100 04"/>
      <sheetName val="IN422C 1B 120 04"/>
      <sheetName val="IN423C 1B 145 14"/>
      <sheetName val="IN42N0 1A 120 04"/>
      <sheetName val="IN43N0 1A 140 14"/>
      <sheetName val="IN44N0 1A 140 14"/>
      <sheetName val="IN45N0 1A 140 14"/>
      <sheetName val="IN424C 1D 145 14"/>
      <sheetName val="IN425C 1C 145 14"/>
      <sheetName val="IN45N0 1B 501 06"/>
      <sheetName val="JC077C 1B 780 02"/>
      <sheetName val="JC095R 1A 100 01"/>
      <sheetName val="KS95C4 1A 781 02"/>
      <sheetName val="Cost Impact PI"/>
      <sheetName val="Input - Costs"/>
      <sheetName val="3230B.20AA.01.27 Active 1.4 TRB"/>
      <sheetName val="Mod49 compatto"/>
      <sheetName val="Gest 02"/>
      <sheetName val="ALBERINI GAS"/>
      <sheetName val="EUR GM"/>
      <sheetName val="Mercati&gt;6"/>
      <sheetName val="\\$NDS\.PCF_WORK.PCF.DAF.FIASA\"/>
      <sheetName val="[Indice.xls]_EDU_FECHAMES_JUN_2"/>
      <sheetName val="[Indice.xls]_EDU_FECHAMES_JUN_3"/>
      <sheetName val="[Indice.xls]_EDU_FECHAMES_JUN_4"/>
      <sheetName val="PROJE MAL.ANA DOSYA 3.AY"/>
      <sheetName val="TOTALE"/>
      <sheetName val="SOS_SOV"/>
      <sheetName val="TOPLAM YATIRIM"/>
      <sheetName val="TV YATIRIMI"/>
      <sheetName val="BASIN YATIRIMI"/>
      <sheetName val="전문품의"/>
      <sheetName val="Panda"/>
      <sheetName val="9124"/>
      <sheetName val="IND9899"/>
      <sheetName val="ALTRI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NPV"/>
      <sheetName val="ANADISP 99"/>
      <sheetName val="riepilogo 06"/>
      <sheetName val="PO"/>
      <sheetName val="Lead"/>
      <sheetName val="Standartwerte"/>
      <sheetName val="Essbase"/>
      <sheetName val="Riepilogo"/>
      <sheetName val="BONUS PROP"/>
      <sheetName val="\\reganzani\video\operational\T"/>
      <sheetName val="\Users\emret\AppData\Local\Micr"/>
      <sheetName val="\\192.168.1.254\2013\F\Users\em"/>
      <sheetName val="\\192.168.1.254\2013\Users\hayd"/>
      <sheetName val="\\192.168.1.254\2013\L\EDU\FECH"/>
      <sheetName val="\DBI\2011\mediamax\reckit benck"/>
      <sheetName val="kicker und TO"/>
      <sheetName val="[Indice.xls]__csimedya_my_sha_2"/>
      <sheetName val="[Indice.xls]_L_EDU_FECHAMES_J_2"/>
      <sheetName val="[Indice.xls]_L_EDU_FECHAMES_J_3"/>
      <sheetName val="[Indice.xls]__csimedya_my_sha_3"/>
      <sheetName val="[Indice.xls]_L_EDU_FECHAMES_J_4"/>
      <sheetName val="[Indice.xls]__csimedya_my_sha_4"/>
      <sheetName val="[Indice.xls]__csimedya_my_sha_9"/>
      <sheetName val="[Indice.xls]_EDU_FECHAMES_JUN_5"/>
      <sheetName val="[Indice.xls]_L_EDU_FECHAMES_J_5"/>
      <sheetName val="[Indice.xls]\EDU\FECHAMES\JUN99"/>
      <sheetName val="[Indice.xls]\L\EDU\FECHAMES\JUN"/>
      <sheetName val="[Indice.xls]__csimedya_my_sha_8"/>
      <sheetName val="[Indice.xls]__csimedya_my_sha_5"/>
      <sheetName val="[Indice.xls]__csimedya_my_sha_6"/>
      <sheetName val="[Indice.xls]__csimedya_my_sha_7"/>
      <sheetName val="[Indice.xls]_EDU_FECHAMES_JUN_6"/>
      <sheetName val="[Indice.xls]_L_EDU_FECHAMES_J_6"/>
      <sheetName val="[Indice.xls]__csimedya_my_sh_10"/>
      <sheetName val="[Indice.xls]_EDU_FECHAMES_JUN_8"/>
      <sheetName val="[Indice.xls]_L_EDU_FECHAMES_J_8"/>
      <sheetName val="[Indice.xls]__csimedya_my_sh_12"/>
      <sheetName val="[Indice.xls]_EDU_FECHAMES_JUN_7"/>
      <sheetName val="[Indice.xls]_L_EDU_FECHAMES_J_7"/>
      <sheetName val="[Indice.xls]__csimedya_my_sh_11"/>
      <sheetName val="[Indice.xls]__csimedya_my_sh_13"/>
      <sheetName val="[Indice.xls]_EDU_FECHAMES_JU_10"/>
      <sheetName val="[Indice.xls]_L_EDU_FECHAMES__10"/>
      <sheetName val="[Indice.xls]__csimedya_my_sh_20"/>
      <sheetName val="[Indice.xls]__csimedya_my_sh_15"/>
      <sheetName val="[Indice.xls]__csimedya_my_sh_14"/>
      <sheetName val="[Indice.xls]__csimedya_my_sh_18"/>
      <sheetName val="[Indice.xls]_EDU_FECHAMES_JUN_9"/>
      <sheetName val="[Indice.xls]_L_EDU_FECHAMES_J_9"/>
      <sheetName val="[Indice.xls]__csimedya_my_sh_16"/>
      <sheetName val="[Indice.xls]__csimedya_my_sh_17"/>
      <sheetName val="[Indice.xls]__csimedya_my_sh_19"/>
      <sheetName val="[Indice.xls]_EDU_FECHAMES_JU_11"/>
      <sheetName val="[Indice.xls]_L_EDU_FECHAMES__11"/>
      <sheetName val="[Indice.xls]__csimedya_my_sh_21"/>
      <sheetName val="[Indice.xls]__csimedya_my_sh_22"/>
      <sheetName val="[Indice.xls]_EDU_FECHAMES_JU_12"/>
      <sheetName val="[Indice.xls]_L_EDU_FECHAMES__12"/>
      <sheetName val="[Indice.xls]__csimedya_my_sh_23"/>
      <sheetName val="[Indice.xls][Indice.xls][Indice"/>
      <sheetName val="[Indice.xls]\sudafrica\Sudafric"/>
      <sheetName val="[Indice.xls]\\$NDS\.PCF_WORK.PC"/>
      <sheetName val="[Indice.xls]\\reganzani\video\o"/>
      <sheetName val="[Indice.xls]\Users\emret\AppDat"/>
      <sheetName val="[Indice.xls]\\192.168.1.254\201"/>
      <sheetName val="[Indice.xls]\DBI\2011\mediamax\"/>
      <sheetName val="[Indice.xls]//csimedya-my.share"/>
      <sheetName val="[Indice.xls][Indice.xls]\sudafr"/>
      <sheetName val="[Indice.xls][Indice.xls]\\$NDS\"/>
      <sheetName val="[Indice.xls][Indice.xls]\EDU\FE"/>
      <sheetName val="[Indice.xls][Indice.xls]\\regan"/>
      <sheetName val="[Indice.xls][Indice.xls]\Users\"/>
      <sheetName val="[Indice.xls][Indice.xls]\\192.1"/>
      <sheetName val="[Indice.xls][Indice.xls]\DBI\20"/>
      <sheetName val="[Indice.xls][Indice.xls]\L\EDU\"/>
      <sheetName val="[Indice.xls][Indice.xls]//csime"/>
      <sheetName val="[Indice.xls]_EDU_FECHAMES_JU_13"/>
      <sheetName val="[Indice.xls]_L_EDU_FECHAMES__13"/>
      <sheetName val="[Indice.xls]__csimedya_my_sh_24"/>
      <sheetName val="[Indice.xls]__csimedya_my_sh_25"/>
      <sheetName val="[Indice.xls]__csimedya_my_sh_27"/>
      <sheetName val="[Indice.xls]__csimedya_my_sh_26"/>
      <sheetName val="[Indice.xls]_EDU_FECHAMES_JU_16"/>
      <sheetName val="[Indice.xls]_L_EDU_FECHAMES__16"/>
      <sheetName val="[Indice.xls]__csimedya_my_sh_30"/>
      <sheetName val="[Indice.xls]_EDU_FECHAMES_JU_14"/>
      <sheetName val="[Indice.xls]_L_EDU_FECHAMES__14"/>
      <sheetName val="[Indice.xls]__csimedya_my_sh_28"/>
      <sheetName val="[Indice.xls]_EDU_FECHAMES_JU_15"/>
      <sheetName val="[Indice.xls]_L_EDU_FECHAMES__15"/>
      <sheetName val="[Indice.xls]__csimedya_my_sh_29"/>
      <sheetName val="[Indice.xls]__csimedya_my_sh_31"/>
      <sheetName val="[Indice.xls]__csimedya_my_sh_32"/>
      <sheetName val="[Indice.xls]_EDU_FECHAMES_JU_18"/>
      <sheetName val="[Indice.xls]_L_EDU_FECHAMES__18"/>
      <sheetName val="[Indice.xls]__csimedya_my_sh_33"/>
      <sheetName val="[Indice.xls]_EDU_FECHAMES_JU_17"/>
      <sheetName val="[Indice.xls]_L_EDU_FECHAMES__17"/>
      <sheetName val="[Indice.xls]__csimedya_my_sh_34"/>
      <sheetName val="[Indice.xls]__csimedya_my_sh_35"/>
      <sheetName val="[Indice.xls]__csimedya_my_sh_38"/>
      <sheetName val="[Indice.xls]__csimedya_my_sh_36"/>
      <sheetName val="[Indice.xls]__csimedya_my_sh_37"/>
      <sheetName val="[Indice.xls]__csimedya_my_sh_40"/>
      <sheetName val="[Indice.xls]_EDU_FECHAMES_JU_19"/>
      <sheetName val="[Indice.xls]_L_EDU_FECHAMES__19"/>
      <sheetName val="[Indice.xls]__csimedya_my_sh_39"/>
      <sheetName val="[Indice.xls]__csimedya_my_sh_41"/>
      <sheetName val="[Indice.xls]_EDU_FECHAMES_JU_20"/>
      <sheetName val="[Indice.xls]_L_EDU_FECHAMES__20"/>
      <sheetName val="[Indice.xls]__csimedya_my_sh_43"/>
      <sheetName val="[Indice.xls]__csimedya_my_sh_42"/>
      <sheetName val="[Indice.xls]__csimedya_my_sh_44"/>
      <sheetName val="[Indice.xls]__csimedya_my_sh_45"/>
      <sheetName val="[Indice.xls]_EDU_FECHAMES_JU_21"/>
      <sheetName val="[Indice.xls]_EDU_FECHAMES_JU_25"/>
      <sheetName val="[Indice.xls]_EDU_FECHAMES_JU_22"/>
      <sheetName val="[Indice.xls]_EDU_FECHAMES_JU_24"/>
      <sheetName val="[Indice.xls]_EDU_FECHAMES_JU_23"/>
      <sheetName val="[Indice.xls]_EDU_FECHAMES_JU_26"/>
      <sheetName val="[Indice.xls]_EDU_FECHAMES_JU_29"/>
      <sheetName val="[Indice.xls]_EDU_FECHAMES_JU_27"/>
      <sheetName val="[Indice.xls]_EDU_FECHAMES_JU_28"/>
      <sheetName val="[Indice.xls]_EDU_FECHAMES_JU_30"/>
      <sheetName val="[Indice.xls]_EDU_FECHAMES_JU_31"/>
      <sheetName val="Memo Marzo"/>
      <sheetName val="CAR CASH"/>
      <sheetName val="\\F0236715\condivisi\WINDOWS\TE"/>
      <sheetName val="estraz.apert.2001"/>
      <sheetName val="Mod_A"/>
      <sheetName val="Mod_A1"/>
      <sheetName val="Mod_B"/>
      <sheetName val="Mod_B1"/>
      <sheetName val="Conta_transição_comer"/>
      <sheetName val="Diret_"/>
      <sheetName val="Comparativo_(2)"/>
      <sheetName val="Strfuncionamento_2004"/>
      <sheetName val="Strfuncionamento_2005"/>
      <sheetName val="per_paese"/>
      <sheetName val="per_modello"/>
      <sheetName val="JATO_Worksheet_-_Pagina_1"/>
      <sheetName val="Guida_al_foglio"/>
      <sheetName val="RIEPILOGO_(2)"/>
      <sheetName val="stile_&quot;93_€&quot;"/>
      <sheetName val="stile_ULTERIORI"/>
      <sheetName val="riepilogo_CON_DETTAGLIO"/>
      <sheetName val="DETTAGLIO_ULTERIORI"/>
      <sheetName val="CROMI_INTERNI_"/>
      <sheetName val="198_CAMBIO_M32_SU_1_4_T_120"/>
      <sheetName val="ODM_stile"/>
      <sheetName val="Gazete_teaser"/>
      <sheetName val="LOB_prodn"/>
      <sheetName val="AG"/>
      <sheetName val="AG Calendarization"/>
      <sheetName val="CE Calendarization"/>
      <sheetName val="CE"/>
      <sheetName val="Cost_Impact_PA_Brand"/>
      <sheetName val="PCO_v_PA_Cost_Weighted"/>
      <sheetName val="PCO_v_PA_Cost_Weighted_KM"/>
      <sheetName val="Details_by_Model_in_Euro"/>
      <sheetName val="Cost_Impact_PA_Industrial"/>
      <sheetName val="Milestone_vs_PA_-_KM_1"/>
      <sheetName val="Milestone_vs_PA_-_KM_2"/>
      <sheetName val="Milestone_vs_PA_-_KM_3"/>
      <sheetName val="Milestone_vs_PA_-_KM_4"/>
      <sheetName val="Milestone_vs_PA_-_KM_5"/>
      <sheetName val="Milestone_vs_PA_-_KM_6"/>
      <sheetName val="Milestone_vs_PA_-_KM_7"/>
      <sheetName val="Milestone_vs_PA_-_KM_8"/>
      <sheetName val="Milestone_vs_PA_-_KM_9"/>
      <sheetName val="Milestone_vs_PA_-_KM_10"/>
      <sheetName val="Milestone_vs_PA_-_KM_11"/>
      <sheetName val="Milestone_vs_PA_-_KM_12"/>
      <sheetName val="Milestone_vs_PA_-_KM_13"/>
      <sheetName val="Milestone_vs_PA_-_KM_14"/>
      <sheetName val="Milestone_vs_PA_-_KM_15"/>
      <sheetName val="Milestone_vs_PA_-_KM_16"/>
      <sheetName val="KM_Summary_PA_-_backup"/>
      <sheetName val="KM_SummaryTC_-_backup"/>
      <sheetName val="MACRO_SETTING"/>
      <sheetName val="IN425C_1B_437_02"/>
      <sheetName val="IN423R_1C_433_01"/>
      <sheetName val="IN425R_1D_433_01"/>
      <sheetName val="IN422C_1D_100_04"/>
      <sheetName val="IN422C_1B_120_04"/>
      <sheetName val="IN423C_1B_145_14"/>
      <sheetName val="IN42N0_1A_120_04"/>
      <sheetName val="IN43N0_1A_140_14"/>
      <sheetName val="IN44N0_1A_140_14"/>
      <sheetName val="IN45N0_1A_140_14"/>
      <sheetName val="IN424C_1D_145_14"/>
      <sheetName val="IN425C_1C_145_14"/>
      <sheetName val="IN45N0_1B_501_06"/>
      <sheetName val="JC077C_1B_780_02"/>
      <sheetName val="JC095R_1A_100_01"/>
      <sheetName val="KS95C4_1A_781_02"/>
      <sheetName val="Cost_Impact_PI"/>
      <sheetName val="Input_-_Costs"/>
      <sheetName val="3230B_20AA_01_27_Active_1_4_TRB"/>
      <sheetName val="NA Ford Mgmt Sum"/>
      <sheetName val="PSTRAT."/>
      <sheetName val="MAR99"/>
      <sheetName val="Pivotf3+9_it"/>
      <sheetName val="Pivotf3+9_vc"/>
      <sheetName val="Pivotf3+9_vc_it"/>
      <sheetName val="Pivotf3+9"/>
      <sheetName val="Pivot_seg_it"/>
      <sheetName val="Pivot_seg_vc_it"/>
      <sheetName val="Pivot_mese"/>
      <sheetName val="Pivot_mese_Vc"/>
      <sheetName val="TRT_FM"/>
      <sheetName val="Kategori_Dizi_kanalları"/>
      <sheetName val="Hasar_Hattı"/>
      <sheetName val="Indice_xls"/>
      <sheetName val="2_대외공문"/>
      <sheetName val="ECOM_Periodique"/>
      <sheetName val="\sudafrica\Sudafrica_2002\sud_a"/>
      <sheetName val="Mod49_compatto"/>
      <sheetName val="Gest_02"/>
      <sheetName val="ALBERINI_GAS"/>
      <sheetName val="EUR_GM"/>
      <sheetName val="\\192_168_1_254\2013\F\Users\em"/>
      <sheetName val="\\192_168_1_254\2013\Users\hayd"/>
      <sheetName val="\\192_168_1_254\2013\L\EDU\FECH"/>
      <sheetName val="\\$NDS\_PCF_WORK_PCF_DAF_FIASA\"/>
      <sheetName val="\DBI\2011\mediamax\reckit_benck"/>
      <sheetName val="\EDU\FECHAMES\JUN99\Indice_xls"/>
      <sheetName val="\L\EDU\FECHAMES\JUN99\Indice_xl"/>
      <sheetName val="TOPLAM_YATIRIM"/>
      <sheetName val="TV_YATIRIMI"/>
      <sheetName val="BASIN_YATIRIMI"/>
      <sheetName val="PROJE_MAL_ANA_DOSYA_3_AY"/>
      <sheetName val="C_E__2004"/>
      <sheetName val="C_E__2005"/>
      <sheetName val="C_E__2006"/>
      <sheetName val="C_E__2007"/>
      <sheetName val="TOTALE_MERCATI"/>
      <sheetName val="ANADISP_99"/>
      <sheetName val="riepilogo_06"/>
      <sheetName val="BONUS_PROP"/>
      <sheetName val="[Indice.xls]_L_EDU_FECHAMES__21"/>
      <sheetName val="[Indice.xls]__csimedya_my_sh_53"/>
      <sheetName val="[Indice.xls]_EDU_FECHAMES_JU_51"/>
      <sheetName val="[Indice.xls]_L_EDU_FECHAMES__51"/>
      <sheetName val="[Indice.xls]_L_EDU_FECHAMES__22"/>
      <sheetName val="[Indice.xls]_EDU_FECHAMES_JU_33"/>
      <sheetName val="[Indice.xls]_L_EDU_FECHAMES__33"/>
      <sheetName val="[Indice.xls]_EDU_FECHAMES_JU_32"/>
      <sheetName val="[Indice.xls]_L_EDU_FECHAMES__32"/>
      <sheetName val="[Indice.xls]_L_EDU_FECHAMES__31"/>
      <sheetName val="[Indice.xls]_L_EDU_FECHAMES__25"/>
      <sheetName val="[Indice.xls]_L_EDU_FECHAMES__23"/>
      <sheetName val="[Indice.xls]_L_EDU_FECHAMES__24"/>
      <sheetName val="[Indice.xls]_L_EDU_FECHAMES__26"/>
      <sheetName val="[Indice.xls]_L_EDU_FECHAMES__27"/>
      <sheetName val="[Indice.xls]_L_EDU_FECHAMES__28"/>
      <sheetName val="[Indice.xls]_L_EDU_FECHAMES__30"/>
      <sheetName val="[Indice.xls]_L_EDU_FECHAMES__29"/>
      <sheetName val="[Indice.xls]_EDU_FECHAMES_JU_34"/>
      <sheetName val="[Indice.xls]_L_EDU_FECHAMES__34"/>
      <sheetName val="[Indice.xls]_EDU_FECHAMES_JU_35"/>
      <sheetName val="[Indice.xls]_L_EDU_FECHAMES__35"/>
      <sheetName val="[Indice.xls]__csimedya_my_sh_47"/>
      <sheetName val="[Indice.xls]_EDU_FECHAMES_JU_39"/>
      <sheetName val="[Indice.xls]_L_EDU_FECHAMES__39"/>
      <sheetName val="[Indice.xls]_EDU_FECHAMES_JU_36"/>
      <sheetName val="[Indice.xls]_L_EDU_FECHAMES__36"/>
      <sheetName val="[Indice.xls]_EDU_FECHAMES_JU_37"/>
      <sheetName val="[Indice.xls]_L_EDU_FECHAMES__37"/>
      <sheetName val="[Indice.xls]_EDU_FECHAMES_JU_38"/>
      <sheetName val="[Indice.xls]_L_EDU_FECHAMES__38"/>
      <sheetName val="[Indice.xls]_EDU_FECHAMES_JU_45"/>
      <sheetName val="[Indice.xls]_L_EDU_FECHAMES__45"/>
      <sheetName val="[Indice.xls]_EDU_FECHAMES_JU_44"/>
      <sheetName val="[Indice.xls]_L_EDU_FECHAMES__44"/>
      <sheetName val="[Indice.xls]_EDU_FECHAMES_JU_40"/>
      <sheetName val="[Indice.xls]_L_EDU_FECHAMES__40"/>
      <sheetName val="[Indice.xls]_EDU_FECHAMES_JU_41"/>
      <sheetName val="[Indice.xls]_L_EDU_FECHAMES__41"/>
      <sheetName val="[Indice.xls]_EDU_FECHAMES_JU_42"/>
      <sheetName val="[Indice.xls]_L_EDU_FECHAMES__42"/>
      <sheetName val="[Indice.xls]_EDU_FECHAMES_JU_43"/>
      <sheetName val="[Indice.xls]_L_EDU_FECHAMES__43"/>
      <sheetName val="[Indice.xls]_EDU_FECHAMES_JU_46"/>
      <sheetName val="[Indice.xls]_L_EDU_FECHAMES__46"/>
      <sheetName val="[Indice.xls]__csimedya_my_sh_46"/>
      <sheetName val="[Indice.xls]_EDU_FECHAMES_JU_48"/>
      <sheetName val="[Indice.xls]_L_EDU_FECHAMES__48"/>
      <sheetName val="[Indice.xls]_EDU_FECHAMES_JU_47"/>
      <sheetName val="[Indice.xls]_L_EDU_FECHAMES__47"/>
      <sheetName val="[Indice.xls]__csimedya_my_sh_48"/>
      <sheetName val="[Indice.xls]__csimedya_my_sh_51"/>
      <sheetName val="[Indice.xls]__csimedya_my_sh_49"/>
      <sheetName val="[Indice.xls]_EDU_FECHAMES_JU_49"/>
      <sheetName val="[Indice.xls]_L_EDU_FECHAMES__49"/>
      <sheetName val="[Indice.xls]__csimedya_my_sh_50"/>
      <sheetName val="[Indice.xls]__csimedya_my_sh_52"/>
      <sheetName val="[Indice.xls]_EDU_FECHAMES_JU_50"/>
      <sheetName val="[Indice.xls]_L_EDU_FECHAMES__50"/>
      <sheetName val="[Indice.xls]__csimedya_my_sh_56"/>
      <sheetName val="[Indice.xls]__csimedya_my_sh_54"/>
      <sheetName val="[Indice.xls]__csimedya_my_sh_55"/>
      <sheetName val="[Indice.xls]__csimedya_my_sh_57"/>
      <sheetName val="[Indice.xls]__csimedya_my_sh_58"/>
      <sheetName val="[Indice.xls]__csimedya_my_sh_60"/>
      <sheetName val="[Indice.xls]__csimedya_my_sh_59"/>
      <sheetName val="[Indice.xls]__csimedya_my_sh_63"/>
      <sheetName val="[Indice.xls]__csimedya_my_sh_61"/>
      <sheetName val="[Indice.xls]__csimedya_my_sh_62"/>
      <sheetName val="[Indice.xls]__csimedya_my_sh_64"/>
      <sheetName val="[Indice.xls]__csimedya_my_sh_66"/>
      <sheetName val="[Indice.xls]__csimedya_my_sh_65"/>
      <sheetName val="[Indice.xls]_EDU_FECHAMES_JU_53"/>
      <sheetName val="[Indice.xls]_EDU_FECHAMES_JU_52"/>
      <sheetName val="[Indice.xls]_EDU_FECHAMES_JU_54"/>
      <sheetName val="[Indice.xls]_L_EDU_FECHAMES__52"/>
      <sheetName val="[Indice.xls]__csimedya_my_sh_67"/>
      <sheetName val="[Indice.xls]_EDU_FECHAMES_JU_55"/>
      <sheetName val="[Indice.xls]_L_EDU_FECHAMES__53"/>
      <sheetName val="[Indice.xls]__csimedya_my_sh_68"/>
      <sheetName val="[Indice.xls]__csimedya_my_sh_71"/>
      <sheetName val="[Indice.xls]__csimedya_my_sh_69"/>
      <sheetName val="[Indice.xls]__csimedya_my_sh_70"/>
      <sheetName val="[Indice.xls]_EDU_FECHAMES_JU_61"/>
      <sheetName val="[Indice.xls]_L_EDU_FECHAMES__61"/>
      <sheetName val="[Indice.xls]_L_EDU_FECHAMES__54"/>
      <sheetName val="[Indice.xls]_L_EDU_FECHAMES__55"/>
      <sheetName val="[Indice.xls]_EDU_FECHAMES_JU_56"/>
      <sheetName val="[Indice.xls]_L_EDU_FECHAMES__56"/>
      <sheetName val="[Indice.xls]_EDU_FECHAMES_JU_57"/>
      <sheetName val="[Indice.xls]_L_EDU_FECHAMES__57"/>
      <sheetName val="[Indice.xls]_EDU_FECHAMES_JU_58"/>
      <sheetName val="[Indice.xls]_L_EDU_FECHAMES__58"/>
      <sheetName val="[Indice.xls]_EDU_FECHAMES_JU_59"/>
      <sheetName val="[Indice.xls]_L_EDU_FECHAMES__59"/>
      <sheetName val="[Indice.xls]_EDU_FECHAMES_JU_60"/>
      <sheetName val="[Indice.xls]_L_EDU_FECHAMES__60"/>
      <sheetName val="[Indice.xls]_EDU_FECHAMES_JU_62"/>
      <sheetName val="[Indice.xls]_L_EDU_FECHAMES__62"/>
      <sheetName val="[Indice.xls]__csimedya_my_sh_78"/>
      <sheetName val="[Indice.xls]_EDU_FECHAMES_JU_63"/>
      <sheetName val="[Indice.xls]_L_EDU_FECHAMES__63"/>
      <sheetName val="[Indice.xls]__csimedya_my_sh_74"/>
      <sheetName val="[Indice.xls]_EDU_FECHAMES_JU_64"/>
      <sheetName val="[Indice.xls]_L_EDU_FECHAMES__64"/>
      <sheetName val="[Indice.xls]__csimedya_my_sh_72"/>
      <sheetName val="[Indice.xls]__csimedya_my_sh_73"/>
      <sheetName val="[Indice.xls]__csimedya_my_sh_75"/>
      <sheetName val="[Indice.xls]_EDU_FECHAMES_JU_65"/>
      <sheetName val="[Indice.xls]_L_EDU_FECHAMES__65"/>
      <sheetName val="[Indice.xls]_EDU_FECHAMES_JU_66"/>
      <sheetName val="[Indice.xls]_L_EDU_FECHAMES__66"/>
      <sheetName val="[Indice.xls]__csimedya_my_sh_76"/>
      <sheetName val="[Indice.xls]_EDU_FECHAMES_JU_67"/>
      <sheetName val="[Indice.xls]_L_EDU_FECHAMES__67"/>
      <sheetName val="[Indice.xls]__csimedya_my_sh_77"/>
      <sheetName val="[Indice.xls]_EDU_FECHAMES_JU_68"/>
      <sheetName val="[Indice.xls]_L_EDU_FECHAMES__68"/>
      <sheetName val="[Indice.xls]__csimedya_my_sh_79"/>
      <sheetName val="[Indice.xls]__csimedya_my_sh_80"/>
      <sheetName val="[Indice.xls]_EDU_FECHAMES_JU_69"/>
      <sheetName val="[Indice.xls]_L_EDU_FECHAMES__69"/>
      <sheetName val="[Indice.xls]_EDU_FECHAMES_JU_70"/>
      <sheetName val="[Indice.xls]_L_EDU_FECHAMES__70"/>
      <sheetName val="[Indice.xls]__csimedya_my_sh_82"/>
      <sheetName val="[Indice.xls]__csimedya_my_sh_81"/>
      <sheetName val="[Indice.xls]_EDU_FECHAMES_JU_73"/>
      <sheetName val="[Indice.xls]_L_EDU_FECHAMES__73"/>
      <sheetName val="[Indice.xls]_EDU_FECHAMES_JU_71"/>
      <sheetName val="[Indice.xls]_L_EDU_FECHAMES__71"/>
      <sheetName val="[Indice.xls]_EDU_FECHAMES_JU_72"/>
      <sheetName val="[Indice.xls]_L_EDU_FECHAMES__72"/>
      <sheetName val="[Indice.xls]__csimedya_my_sh_83"/>
      <sheetName val="[Indice.xls]__csimedya_my_sh_85"/>
      <sheetName val="[Indice.xls]__csimedya_my_sh_84"/>
      <sheetName val="[Indice.xls]__csimedya_my_sh_86"/>
      <sheetName val="[Indice.xls]__csimedya_my_sh_87"/>
      <sheetName val="[Indice.xls]_EDU_FECHAMES_JU_74"/>
      <sheetName val="[Indice.xls]_L_EDU_FECHAMES__74"/>
      <sheetName val="[Indice.xls]__csimedya_my_sh_88"/>
      <sheetName val="[Indice.xls]_EDU_FECHAMES_JU_75"/>
      <sheetName val="[Indice.xls]_L_EDU_FECHAMES__75"/>
      <sheetName val="[Indice.xls]__csimedya_my_sh_89"/>
      <sheetName val="[Indice.xls]_EDU_FECHAMES_JU_76"/>
      <sheetName val="[Indice.xls]_L_EDU_FECHAMES__76"/>
      <sheetName val="[Indice.xls]__csimedya_my_sh_90"/>
      <sheetName val="[Indice.xls]_EDU_FECHAMES_JU_77"/>
      <sheetName val="[Indice.xls]_L_EDU_FECHAMES__77"/>
      <sheetName val="[Indice.xls]_EDU_FECHAMES_JU_78"/>
      <sheetName val="[Indice.xls]_L_EDU_FECHAMES__78"/>
      <sheetName val="[Indice.xls]__csimedya_my_sh_91"/>
      <sheetName val="[Indice.xls]__csimedya_my_sh_98"/>
      <sheetName val="[Indice.xls]__csimedya_my_sh_92"/>
      <sheetName val="[Indice.xls]__csimedya_my_sh_93"/>
      <sheetName val="[Indice.xls]__csimedya_my_sh_95"/>
      <sheetName val="[Indice.xls]_EDU_FECHAMES_JU_82"/>
      <sheetName val="[Indice.xls]_L_EDU_FECHAMES__82"/>
      <sheetName val="[Indice.xls]_EDU_FECHAMES_JU_81"/>
      <sheetName val="[Indice.xls]_L_EDU_FECHAMES__81"/>
      <sheetName val="[Indice.xls]_EDU_FECHAMES_JU_79"/>
      <sheetName val="[Indice.xls]_L_EDU_FECHAMES__79"/>
      <sheetName val="[Indice.xls]_EDU_FECHAMES_JU_80"/>
      <sheetName val="[Indice.xls]_L_EDU_FECHAMES__80"/>
      <sheetName val="[Indice.xls]__csimedya_my_sh_94"/>
      <sheetName val="[Indice.xls]_EDU_FECHAMES_JU_83"/>
      <sheetName val="[Indice.xls]_L_EDU_FECHAMES__83"/>
      <sheetName val="[Indice.xls]__csimedya_my_sh_96"/>
      <sheetName val="[Indice.xls]_EDU_FECHAMES_JU_84"/>
      <sheetName val="[Indice.xls]_L_EDU_FECHAMES__84"/>
      <sheetName val="[Indice.xls]__csimedya_my_sh_97"/>
      <sheetName val="[Indice.xls]_EDU_FECHAMES_JU_85"/>
      <sheetName val="[Indice.xls]_L_EDU_FECHAMES__85"/>
      <sheetName val="[Indice.xls]__csimedya_my_sh_99"/>
      <sheetName val="[Indice.xls]__csimedya_my_s_100"/>
      <sheetName val="[Indice.xls]_EDU_FECHAMES_JU_87"/>
      <sheetName val="[Indice.xls]_L_EDU_FECHAMES__87"/>
      <sheetName val="[Indice.xls]_EDU_FECHAMES_JU_86"/>
      <sheetName val="[Indice.xls]_L_EDU_FECHAMES__86"/>
      <sheetName val="[Indice.xls]__csimedya_my_s_101"/>
      <sheetName val="[Indice.xls]_EDU_FECHAMES_JU_88"/>
      <sheetName val="[Indice.xls]_L_EDU_FECHAMES__88"/>
      <sheetName val="[Indice.xls]__csimedya_my_s_102"/>
      <sheetName val="[Indice.xls]_EDU_FECHAMES_JU_89"/>
      <sheetName val="[Indice.xls]_L_EDU_FECHAMES__89"/>
      <sheetName val="[Indice.xls]__csimedya_my_s_103"/>
      <sheetName val="[Indice.xls]__csimedya_my_s_104"/>
      <sheetName val="[Indice.xls]_EDU_FECHAMES_JU_90"/>
      <sheetName val="[Indice.xls]_L_EDU_FECHAMES__90"/>
      <sheetName val="[Indice.xls]__csimedya_my_s_105"/>
      <sheetName val="[Indice.xls]_EDU_FECHAMES_JU_91"/>
      <sheetName val="[Indice.xls]_L_EDU_FECHAMES__91"/>
      <sheetName val="[Indice.xls]__csimedya_my_s_106"/>
      <sheetName val="[Indice.xls]_EDU_FECHAMES_JU_92"/>
      <sheetName val="[Indice.xls]_L_EDU_FECHAMES__92"/>
      <sheetName val="[Indice.xls]__csimedya_my_s_107"/>
      <sheetName val="[Indice.xls]_EDU_FECHAMES_JU_93"/>
      <sheetName val="[Indice.xls]_L_EDU_FECHAMES__93"/>
      <sheetName val="[Indice.xls]_EDU_FECHAMES_JU_94"/>
      <sheetName val="[Indice.xls]_L_EDU_FECHAMES__94"/>
      <sheetName val="[Indice.xls]__csimedya_my_s_108"/>
      <sheetName val="[Indice.xls]_sudafrica_Sudafr_2"/>
      <sheetName val="[Indice.xls]___NDS__PCF_WORK__2"/>
      <sheetName val="[Indice.xls]__reganzani_video_2"/>
      <sheetName val="[Indice.xls]_Users_emret_AppD_2"/>
      <sheetName val="[Indice.xls]__192_168_1_254_2_2"/>
      <sheetName val="[Indice.xls]__192_168_1_254_2_3"/>
      <sheetName val="[Indice.xls]__192_168_1_254_2_4"/>
      <sheetName val="[Indice.xls]_DBI_2011_mediama_2"/>
      <sheetName val="[Indice.xls]_EDU_FECHAMES_JU_96"/>
      <sheetName val="[Indice.xls]_L_EDU_FECHAMES__96"/>
      <sheetName val="[Indice.xls]__csimedya_my_s_110"/>
      <sheetName val="[Indice.xls]_EDU_FECHAMES_JU_95"/>
      <sheetName val="[Indice.xls]_L_EDU_FECHAMES__95"/>
      <sheetName val="[Indice.xls]__csimedya_my_s_109"/>
      <sheetName val="[Indice.xls]_EDU_FECHAMES_JU_97"/>
      <sheetName val="[Indice.xls]_L_EDU_FECHAMES__97"/>
      <sheetName val="[Indice.xls]__csimedya_my_s_111"/>
      <sheetName val="[Indice.xls]__csimedya_my_s_112"/>
      <sheetName val="[Indice.xls]__csimedya_my_s_113"/>
      <sheetName val="[Indice.xls]_EDU_FECHAMES_JU_98"/>
      <sheetName val="[Indice.xls]_L_EDU_FECHAMES__98"/>
      <sheetName val="[Indice.xls]_EDU_FECHAMES_JU_99"/>
      <sheetName val="[Indice.xls]_L_EDU_FECHAMES__99"/>
      <sheetName val="[Indice.xls]__csimedya_my_s_114"/>
      <sheetName val="[Indice.xls]__csimedya_my_s_115"/>
      <sheetName val="[Indice.xls]_EDU_FECHAMES_J_100"/>
      <sheetName val="[Indice.xls]_L_EDU_FECHAMES_100"/>
      <sheetName val="[Indice.xls]__csimedya_my_s_130"/>
      <sheetName val="[Indice.xls]__csimedya_my_s_120"/>
      <sheetName val="[Indice.xls]__csimedya_my_s_116"/>
      <sheetName val="[Indice.xls]__csimedya_my_s_117"/>
      <sheetName val="[Indice.xls]__csimedya_my_s_118"/>
      <sheetName val="[Indice.xls]__csimedya_my_s_119"/>
      <sheetName val="[Indice.xls]__csimedya_my_s_121"/>
      <sheetName val="[Indice.xls]__csimedya_my_s_122"/>
      <sheetName val="[Indice.xls]__csimedya_my_s_123"/>
      <sheetName val="[Indice.xls]__csimedya_my_s_124"/>
      <sheetName val="[Indice.xls]__csimedya_my_s_128"/>
      <sheetName val="[Indice.xls]__csimedya_my_s_125"/>
      <sheetName val="[Indice.xls]__csimedya_my_s_126"/>
      <sheetName val="[Indice.xls]__csimedya_my_s_127"/>
      <sheetName val="[Indice.xls]__csimedya_my_s_129"/>
      <sheetName val="[Indice.xls]__csimedya_my_s_131"/>
      <sheetName val="[Indice.xls]_EDU_FECHAMES_J_101"/>
      <sheetName val="[Indice.xls]_L_EDU_FECHAMES_101"/>
      <sheetName val="[Indice.xls]__csimedya_my_s_132"/>
      <sheetName val="[Indice.xls]__csimedya_my_s_134"/>
      <sheetName val="[Indice.xls]__csimedya_my_s_133"/>
      <sheetName val="[Indice.xls]_EDU_FECHAMES_J_102"/>
      <sheetName val="[Indice.xls]_L_EDU_FECHAMES_102"/>
      <sheetName val="[Indice.xls]_EDU_FECHAMES_J_103"/>
      <sheetName val="[Indice.xls]_L_EDU_FECHAMES_103"/>
      <sheetName val="[Indice.xls]_EDU_FECHAMES_J_104"/>
      <sheetName val="[Indice.xls]_L_EDU_FECHAMES_104"/>
      <sheetName val="[Indice.xls]__csimedya_my_s_135"/>
      <sheetName val="[Indice.xls]_EDU_FECHAMES_J_105"/>
      <sheetName val="[Indice.xls]_L_EDU_FECHAMES_105"/>
      <sheetName val="[Indice.xls]__csimedya_my_s_136"/>
      <sheetName val="[Indice.xls]_EDU_FECHAMES_J_106"/>
      <sheetName val="[Indice.xls]_L_EDU_FECHAMES_106"/>
      <sheetName val="[Indice.xls]__csimedya_my_s_137"/>
      <sheetName val="[Indice.xls]__csimedya_my_s_138"/>
      <sheetName val="[Indice.xls]_EDU_FECHAMES_J_107"/>
      <sheetName val="[Indice.xls]_L_EDU_FECHAMES_107"/>
      <sheetName val="[Indice.xls]_EDU_FECHAMES_J_108"/>
      <sheetName val="[Indice.xls]_L_EDU_FECHAMES_108"/>
      <sheetName val="[Indice.xls]__csimedya_my_s_139"/>
      <sheetName val="[Indice.xls]__csimedya_my_s_140"/>
      <sheetName val="[Indice.xls]_EDU_FECHAMES_J_109"/>
      <sheetName val="[Indice.xls]_L_EDU_FECHAMES_109"/>
      <sheetName val="[Indice.xls]__csimedya_my_s_143"/>
      <sheetName val="[Indice.xls]__csimedya_my_s_141"/>
      <sheetName val="[Indice.xls]__csimedya_my_s_142"/>
      <sheetName val="[Indice.xls]__csimedya_my_s_144"/>
      <sheetName val="[Indice.xls]__csimedya_my_s_146"/>
      <sheetName val="[Indice.xls]__csimedya_my_s_145"/>
      <sheetName val="[Indice.xls]__csimedya_my_s_148"/>
      <sheetName val="[Indice.xls]__csimedya_my_s_147"/>
      <sheetName val="[Indice.xls]__csimedya_my_s_149"/>
      <sheetName val="[Indice.xls]__csimedya_my_s_150"/>
      <sheetName val="[Indice.xls]__csimedya_my_s_151"/>
      <sheetName val="[Indice.xls]_EDU_FECHAMES_J_110"/>
      <sheetName val="[Indice.xls]_L_EDU_FECHAMES_110"/>
      <sheetName val="[Indice.xls]_EDU_FECHAMES_J_112"/>
      <sheetName val="[Indice.xls]_L_EDU_FECHAMES_112"/>
      <sheetName val="[Indice.xls]_EDU_FECHAMES_J_111"/>
      <sheetName val="[Indice.xls]_L_EDU_FECHAMES_111"/>
      <sheetName val="[Indice.xls]_EDU_FECHAMES_J_118"/>
      <sheetName val="[Indice.xls]_L_EDU_FECHAMES_118"/>
      <sheetName val="[Indice.xls]_EDU_FECHAMES_J_116"/>
      <sheetName val="[Indice.xls]_L_EDU_FECHAMES_116"/>
      <sheetName val="[Indice.xls]_EDU_FECHAMES_J_113"/>
      <sheetName val="[Indice.xls]_L_EDU_FECHAMES_113"/>
      <sheetName val="[Indice.xls]_EDU_FECHAMES_J_114"/>
      <sheetName val="[Indice.xls]_L_EDU_FECHAMES_114"/>
      <sheetName val="[Indice.xls]_EDU_FECHAMES_J_115"/>
      <sheetName val="[Indice.xls]_L_EDU_FECHAMES_115"/>
      <sheetName val="[Indice.xls]_EDU_FECHAMES_J_117"/>
      <sheetName val="[Indice.xls]_L_EDU_FECHAMES_117"/>
      <sheetName val="[Indice.xls]_EDU_FECHAMES_J_119"/>
      <sheetName val="[Indice.xls]_L_EDU_FECHAMES_119"/>
      <sheetName val="[Indice.xls]_EDU_FECHAMES_J_123"/>
      <sheetName val="[Indice.xls]_L_EDU_FECHAMES_123"/>
      <sheetName val="[Indice.xls]_EDU_FECHAMES_J_120"/>
      <sheetName val="[Indice.xls]_L_EDU_FECHAMES_120"/>
      <sheetName val="[Indice.xls]_EDU_FECHAMES_J_121"/>
      <sheetName val="[Indice.xls]_L_EDU_FECHAMES_121"/>
      <sheetName val="[Indice.xls]_EDU_FECHAMES_J_122"/>
      <sheetName val="[Indice.xls]_L_EDU_FECHAMES_122"/>
      <sheetName val="[Indice.xls]_EDU_FECHAMES_J_124"/>
      <sheetName val="[Indice.xls]_L_EDU_FECHAMES_124"/>
    </sheetNames>
    <definedNames>
      <definedName name="Anno" refersTo="='Ref'!$B$19"/>
      <definedName name="Data" refersTo="='Ref'!$B$8"/>
      <definedName name="Mese" refersTo="='Ref'!$B$18"/>
      <definedName name="Mesi" refersTo="='Ref'!$A$26:$B$37"/>
    </definedNames>
    <sheetDataSet>
      <sheetData sheetId="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  <row r="26">
          <cell r="A26" t="str">
            <v>Gennaio</v>
          </cell>
          <cell r="B26" t="str">
            <v>GARANZIA CONTRATTUALE</v>
          </cell>
        </row>
        <row r="27">
          <cell r="A27" t="str">
            <v>Febbraio</v>
          </cell>
          <cell r="B27" t="str">
            <v>I.C.P.</v>
          </cell>
        </row>
        <row r="28">
          <cell r="A28" t="str">
            <v>E</v>
          </cell>
          <cell r="B28" t="str">
            <v>EVOLUZIONE COSTI</v>
          </cell>
        </row>
        <row r="29">
          <cell r="A29" t="str">
            <v>Aprile</v>
          </cell>
          <cell r="B29" t="str">
            <v>PROIEZIONE COSTO PIENO - (GRAFICO)</v>
          </cell>
        </row>
        <row r="30">
          <cell r="A30" t="str">
            <v>Maggio</v>
          </cell>
          <cell r="B30" t="str">
            <v>EVOLUZIONE COSTO PIENO - (TABELLA)</v>
          </cell>
        </row>
        <row r="31">
          <cell r="A31" t="str">
            <v>F</v>
          </cell>
          <cell r="B31" t="str">
            <v>ANDAMENTO ORGANICI</v>
          </cell>
        </row>
        <row r="32">
          <cell r="A32" t="str">
            <v>F</v>
          </cell>
          <cell r="B32" t="str">
            <v>ANDAMENTO ORGANICI</v>
          </cell>
        </row>
        <row r="33">
          <cell r="A33" t="str">
            <v>G</v>
          </cell>
          <cell r="B33" t="str">
            <v>GAP COSTI / PREZZI</v>
          </cell>
        </row>
        <row r="34">
          <cell r="A34" t="str">
            <v>Settembre</v>
          </cell>
          <cell r="B34" t="str">
            <v>ANDAMENTO PUNTUALE COSTI/RICAVI</v>
          </cell>
        </row>
        <row r="35">
          <cell r="A35" t="str">
            <v>Ottobre</v>
          </cell>
          <cell r="B35" t="str">
            <v>GESTIONE DELL'INFLAZIONE</v>
          </cell>
        </row>
        <row r="36">
          <cell r="A36" t="str">
            <v>H</v>
          </cell>
          <cell r="B36" t="str">
            <v>MARGINI PER PRODOTTO</v>
          </cell>
        </row>
        <row r="37">
          <cell r="A37" t="str">
            <v>Dicembre</v>
          </cell>
          <cell r="B37" t="str">
            <v>MARGINI UNITARI DEI MODELLI DI PRODUZIONE</v>
          </cell>
        </row>
      </sheetData>
      <sheetData sheetId="1" refreshError="1">
        <row r="1">
          <cell r="B1" t="str">
            <v>FIAT AUTO SUD AFRICA</v>
          </cell>
        </row>
        <row r="8">
          <cell r="B8">
            <v>37226</v>
          </cell>
        </row>
        <row r="18">
          <cell r="B18" t="str">
            <v>Dicembre</v>
          </cell>
        </row>
        <row r="19">
          <cell r="B19">
            <v>2001</v>
          </cell>
        </row>
        <row r="26">
          <cell r="A26" t="str">
            <v>Gennaio</v>
          </cell>
          <cell r="B26">
            <v>31</v>
          </cell>
        </row>
        <row r="27">
          <cell r="A27" t="str">
            <v>Febbraio</v>
          </cell>
          <cell r="B27">
            <v>28</v>
          </cell>
        </row>
        <row r="28">
          <cell r="A28" t="str">
            <v>Marzo</v>
          </cell>
          <cell r="B28">
            <v>31</v>
          </cell>
        </row>
        <row r="29">
          <cell r="A29" t="str">
            <v>Aprile</v>
          </cell>
          <cell r="B29">
            <v>30</v>
          </cell>
        </row>
        <row r="30">
          <cell r="A30" t="str">
            <v>Maggio</v>
          </cell>
          <cell r="B30">
            <v>31</v>
          </cell>
        </row>
        <row r="31">
          <cell r="A31" t="str">
            <v>Giugno</v>
          </cell>
          <cell r="B31">
            <v>30</v>
          </cell>
        </row>
        <row r="32">
          <cell r="A32" t="str">
            <v>Luglio</v>
          </cell>
          <cell r="B32">
            <v>31</v>
          </cell>
        </row>
        <row r="33">
          <cell r="A33" t="str">
            <v>Agosto</v>
          </cell>
          <cell r="B33">
            <v>31</v>
          </cell>
        </row>
        <row r="34">
          <cell r="A34" t="str">
            <v>Settembre</v>
          </cell>
          <cell r="B34">
            <v>30</v>
          </cell>
        </row>
        <row r="35">
          <cell r="A35" t="str">
            <v>Ottobre</v>
          </cell>
          <cell r="B35">
            <v>31</v>
          </cell>
        </row>
        <row r="36">
          <cell r="A36" t="str">
            <v>Novembre</v>
          </cell>
          <cell r="B36">
            <v>30</v>
          </cell>
        </row>
        <row r="37">
          <cell r="A37" t="str">
            <v>Dicembre</v>
          </cell>
          <cell r="B37">
            <v>31</v>
          </cell>
        </row>
      </sheetData>
      <sheetData sheetId="2" refreshError="1">
        <row r="1">
          <cell r="B1" t="str">
            <v>FIAT AUTO SUD AFRICA</v>
          </cell>
        </row>
        <row r="8">
          <cell r="B8" t="str">
            <v>BUDGET</v>
          </cell>
        </row>
        <row r="18">
          <cell r="B18">
            <v>1.86</v>
          </cell>
        </row>
        <row r="19">
          <cell r="B19" t="str">
            <v>=Ref!$B$1</v>
          </cell>
        </row>
      </sheetData>
      <sheetData sheetId="3" refreshError="1">
        <row r="1">
          <cell r="B1" t="str">
            <v>FIAT AUTO SUD AFRICA</v>
          </cell>
        </row>
        <row r="8">
          <cell r="B8" t="str">
            <v>BUDGET</v>
          </cell>
        </row>
        <row r="18">
          <cell r="B18">
            <v>1.86</v>
          </cell>
        </row>
        <row r="19">
          <cell r="B19">
            <v>0.3</v>
          </cell>
        </row>
      </sheetData>
      <sheetData sheetId="4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>
            <v>-1.07</v>
          </cell>
        </row>
        <row r="19">
          <cell r="B19">
            <v>0</v>
          </cell>
        </row>
      </sheetData>
      <sheetData sheetId="5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6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7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9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3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5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6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3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5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6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3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9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0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1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3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5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6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9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5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5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53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5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5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6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5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5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5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3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5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6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9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0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3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5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6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9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8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0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1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3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5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6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9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0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1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10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11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1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1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9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0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5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6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0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6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6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 t="str">
            <v>BILANCIAMENTO PRODUZIONE / VENDITA</v>
          </cell>
        </row>
      </sheetData>
      <sheetData sheetId="16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6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17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7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7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18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18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18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8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18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6" refreshError="1"/>
      <sheetData sheetId="19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0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0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0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06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0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1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1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4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1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1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1" refreshError="1"/>
      <sheetData sheetId="22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8" refreshError="1"/>
      <sheetData sheetId="229" refreshError="1"/>
      <sheetData sheetId="230" refreshError="1"/>
      <sheetData sheetId="23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3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3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3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3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36" refreshError="1"/>
      <sheetData sheetId="237" refreshError="1"/>
      <sheetData sheetId="238" refreshError="1"/>
      <sheetData sheetId="239" refreshError="1"/>
      <sheetData sheetId="24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41" refreshError="1"/>
      <sheetData sheetId="24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4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4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4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50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5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5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54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5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5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6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6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4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6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7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73" refreshError="1"/>
      <sheetData sheetId="274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7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8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8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8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8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8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8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8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8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8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8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9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9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94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9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9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0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0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0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0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0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0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0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0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1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1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1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1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2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32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32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3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4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2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43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44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45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46" refreshError="1"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47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48" refreshError="1"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49" refreshError="1">
        <row r="18">
          <cell r="B18" t="str">
            <v>Dicembre</v>
          </cell>
        </row>
        <row r="19">
          <cell r="B19">
            <v>1999</v>
          </cell>
        </row>
      </sheetData>
      <sheetData sheetId="350" refreshError="1">
        <row r="18">
          <cell r="B18" t="str">
            <v>Dicembre</v>
          </cell>
        </row>
        <row r="19">
          <cell r="B19">
            <v>1999</v>
          </cell>
        </row>
      </sheetData>
      <sheetData sheetId="351" refreshError="1">
        <row r="18">
          <cell r="B18" t="str">
            <v>Dicembre</v>
          </cell>
        </row>
        <row r="19">
          <cell r="B19">
            <v>1999</v>
          </cell>
        </row>
      </sheetData>
      <sheetData sheetId="352" refreshError="1">
        <row r="18">
          <cell r="B18" t="str">
            <v>Dicembre</v>
          </cell>
        </row>
        <row r="19">
          <cell r="B19">
            <v>1999</v>
          </cell>
        </row>
      </sheetData>
      <sheetData sheetId="353" refreshError="1">
        <row r="18">
          <cell r="B18" t="str">
            <v>Dicembre</v>
          </cell>
        </row>
        <row r="19">
          <cell r="B19">
            <v>1999</v>
          </cell>
        </row>
      </sheetData>
      <sheetData sheetId="354" refreshError="1"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55" refreshError="1"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56" refreshError="1">
        <row r="18">
          <cell r="B18" t="str">
            <v>Dicembre</v>
          </cell>
        </row>
        <row r="19">
          <cell r="B19">
            <v>1999</v>
          </cell>
        </row>
      </sheetData>
      <sheetData sheetId="357" refreshError="1">
        <row r="18">
          <cell r="B18" t="str">
            <v>Dicembre</v>
          </cell>
        </row>
        <row r="19">
          <cell r="B19">
            <v>1999</v>
          </cell>
        </row>
      </sheetData>
      <sheetData sheetId="358" refreshError="1">
        <row r="18">
          <cell r="B18" t="str">
            <v>Dicembre</v>
          </cell>
        </row>
        <row r="19">
          <cell r="B19">
            <v>1999</v>
          </cell>
        </row>
      </sheetData>
      <sheetData sheetId="359" refreshError="1"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60" refreshError="1">
        <row r="18">
          <cell r="B18" t="str">
            <v>Dicembre</v>
          </cell>
        </row>
        <row r="19">
          <cell r="B19">
            <v>1999</v>
          </cell>
        </row>
      </sheetData>
      <sheetData sheetId="361" refreshError="1"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62" refreshError="1">
        <row r="18">
          <cell r="B18" t="str">
            <v>Dicembre</v>
          </cell>
        </row>
        <row r="19">
          <cell r="B19">
            <v>1999</v>
          </cell>
        </row>
      </sheetData>
      <sheetData sheetId="363" refreshError="1"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64" refreshError="1">
        <row r="18">
          <cell r="B18" t="str">
            <v>Dicembre</v>
          </cell>
        </row>
        <row r="19">
          <cell r="B19">
            <v>1999</v>
          </cell>
        </row>
      </sheetData>
      <sheetData sheetId="365" refreshError="1"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66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36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68" refreshError="1"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36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0" refreshError="1">
        <row r="18">
          <cell r="B18" t="str">
            <v>ASPETTI PRODUTTIVI</v>
          </cell>
        </row>
        <row r="19">
          <cell r="B19">
            <v>1999</v>
          </cell>
        </row>
      </sheetData>
      <sheetData sheetId="37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72" refreshError="1">
        <row r="18">
          <cell r="B18" t="str">
            <v>ASPETTI PRODUTTIVI</v>
          </cell>
        </row>
        <row r="19">
          <cell r="B19">
            <v>1999</v>
          </cell>
        </row>
      </sheetData>
      <sheetData sheetId="373" refreshError="1"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74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37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6" refreshError="1"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7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78" refreshError="1"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37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80" refreshError="1">
        <row r="18">
          <cell r="B18" t="str">
            <v>ASPETTI PRODUTTIVI</v>
          </cell>
        </row>
        <row r="19">
          <cell r="B19">
            <v>1999</v>
          </cell>
        </row>
      </sheetData>
      <sheetData sheetId="38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82" refreshError="1">
        <row r="18">
          <cell r="B18" t="str">
            <v>ASPETTI PRODUTTIVI</v>
          </cell>
        </row>
        <row r="19">
          <cell r="B19">
            <v>1999</v>
          </cell>
        </row>
      </sheetData>
      <sheetData sheetId="383" refreshError="1"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84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385" refreshError="1"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86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38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88" refreshError="1">
        <row r="18">
          <cell r="B18" t="str">
            <v>ASPETTI PRODUTTIVI</v>
          </cell>
        </row>
        <row r="19">
          <cell r="B19">
            <v>1999</v>
          </cell>
        </row>
      </sheetData>
      <sheetData sheetId="38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90" refreshError="1">
        <row r="18">
          <cell r="B18" t="str">
            <v>ASPETTI PRODUTTIVI</v>
          </cell>
        </row>
        <row r="19">
          <cell r="B19">
            <v>1999</v>
          </cell>
        </row>
      </sheetData>
      <sheetData sheetId="39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92" refreshError="1">
        <row r="18">
          <cell r="B18" t="str">
            <v>ASPETTI PRODUTTIVI</v>
          </cell>
        </row>
        <row r="19">
          <cell r="B19">
            <v>1999</v>
          </cell>
        </row>
      </sheetData>
      <sheetData sheetId="393" refreshError="1"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94" refreshError="1">
        <row r="18">
          <cell r="B18" t="str">
            <v>Dicembre</v>
          </cell>
        </row>
        <row r="19">
          <cell r="B19">
            <v>1999</v>
          </cell>
        </row>
      </sheetData>
      <sheetData sheetId="395" refreshError="1"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96" refreshError="1"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98" refreshError="1"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39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00" refreshError="1">
        <row r="18">
          <cell r="B18" t="str">
            <v>ASPETTI PRODUTTIVI</v>
          </cell>
        </row>
        <row r="19">
          <cell r="B19">
            <v>1999</v>
          </cell>
        </row>
      </sheetData>
      <sheetData sheetId="40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02" refreshError="1">
        <row r="18">
          <cell r="B18" t="str">
            <v>ASPETTI PRODUTTIVI</v>
          </cell>
        </row>
        <row r="19">
          <cell r="B19">
            <v>1999</v>
          </cell>
        </row>
      </sheetData>
      <sheetData sheetId="403" refreshError="1"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404" refreshError="1"/>
      <sheetData sheetId="40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0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0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0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10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1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1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1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14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1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16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17" refreshError="1"/>
      <sheetData sheetId="418" refreshError="1"/>
      <sheetData sheetId="41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20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2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2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2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2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2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2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0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3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3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4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3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6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3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3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40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4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4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4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44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4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46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4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4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4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5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5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5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54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5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5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6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6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4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4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8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8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4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8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90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9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9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9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94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9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96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9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9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9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00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0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0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0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0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0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0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0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1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1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1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1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1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1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1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1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1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1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2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2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2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2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2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2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2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2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2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2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3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3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3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4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4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4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4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4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4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5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5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5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54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60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6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6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6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64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6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66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6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6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7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7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7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8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8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8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84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8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8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8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9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9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94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9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9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9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00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0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0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0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1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14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16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1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19" refreshError="1"/>
      <sheetData sheetId="62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24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2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26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2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30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3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4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4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4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5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5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5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5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5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5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60" refreshError="1"/>
      <sheetData sheetId="66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6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64" refreshError="1"/>
      <sheetData sheetId="66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6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6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69" refreshError="1"/>
      <sheetData sheetId="670" refreshError="1"/>
      <sheetData sheetId="67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86" refreshError="1"/>
      <sheetData sheetId="68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88" refreshError="1"/>
      <sheetData sheetId="68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90" refreshError="1"/>
      <sheetData sheetId="69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92" refreshError="1"/>
      <sheetData sheetId="69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94" refreshError="1"/>
      <sheetData sheetId="69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96" refreshError="1"/>
      <sheetData sheetId="69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98" refreshError="1"/>
      <sheetData sheetId="69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00" refreshError="1"/>
      <sheetData sheetId="70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02" refreshError="1"/>
      <sheetData sheetId="70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04" refreshError="1"/>
      <sheetData sheetId="70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06" refreshError="1"/>
      <sheetData sheetId="70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08" refreshError="1"/>
      <sheetData sheetId="70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10" refreshError="1"/>
      <sheetData sheetId="71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12" refreshError="1"/>
      <sheetData sheetId="71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14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a Plan"/>
      <sheetName val="Ordino.Sablon"/>
      <sheetName val="MedPlan.Sablon"/>
      <sheetName val="Client"/>
      <sheetName val="Media Type"/>
      <sheetName val="Network"/>
      <sheetName val="Sites"/>
      <sheetName val="Format"/>
      <sheetName val="Buying Method"/>
      <sheetName val="Placement"/>
      <sheetName val="Adserving"/>
      <sheetName val="Viewability"/>
      <sheetName val="Indexes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Name</v>
          </cell>
        </row>
      </sheetData>
      <sheetData sheetId="6">
        <row r="1">
          <cell r="A1" t="str">
            <v>Name</v>
          </cell>
        </row>
      </sheetData>
      <sheetData sheetId="7">
        <row r="1">
          <cell r="A1" t="str">
            <v>Format</v>
          </cell>
        </row>
        <row r="2">
          <cell r="A2" t="str">
            <v>160x600</v>
          </cell>
        </row>
        <row r="3">
          <cell r="A3" t="str">
            <v>160x600,  300x250, 728x90</v>
          </cell>
        </row>
        <row r="4">
          <cell r="A4" t="str">
            <v>234x60 + Textlink</v>
          </cell>
        </row>
        <row r="5">
          <cell r="A5" t="str">
            <v>250x250</v>
          </cell>
        </row>
        <row r="6">
          <cell r="A6" t="str">
            <v>300x250</v>
          </cell>
        </row>
        <row r="7">
          <cell r="A7" t="str">
            <v>300x250</v>
          </cell>
        </row>
        <row r="8">
          <cell r="A8" t="str">
            <v>Expandable</v>
          </cell>
        </row>
        <row r="9">
          <cell r="A9" t="str">
            <v>300x250, 728x90</v>
          </cell>
        </row>
        <row r="10">
          <cell r="A10" t="str">
            <v>300x600</v>
          </cell>
        </row>
        <row r="11">
          <cell r="A11" t="str">
            <v>600x300</v>
          </cell>
        </row>
        <row r="12">
          <cell r="A12" t="str">
            <v>626 x 400</v>
          </cell>
        </row>
        <row r="13">
          <cell r="A13" t="str">
            <v>646x20</v>
          </cell>
        </row>
        <row r="14">
          <cell r="A14" t="str">
            <v>728x90</v>
          </cell>
        </row>
        <row r="15">
          <cell r="A15" t="str">
            <v>900x300</v>
          </cell>
        </row>
        <row r="16">
          <cell r="A16" t="str">
            <v>960x90</v>
          </cell>
        </row>
        <row r="17">
          <cell r="A17" t="str">
            <v>960x80</v>
          </cell>
        </row>
        <row r="18">
          <cell r="A18" t="str">
            <v>970x90</v>
          </cell>
        </row>
        <row r="19">
          <cell r="A19" t="str">
            <v>Ad injection</v>
          </cell>
        </row>
        <row r="20">
          <cell r="A20" t="str">
            <v>Ad text</v>
          </cell>
        </row>
        <row r="21">
          <cell r="A21" t="str">
            <v>Advertorial</v>
          </cell>
        </row>
        <row r="22">
          <cell r="A22" t="str">
            <v>Banner</v>
          </cell>
        </row>
        <row r="23">
          <cell r="A23" t="str">
            <v xml:space="preserve">Blog Content </v>
          </cell>
        </row>
        <row r="24">
          <cell r="A24" t="str">
            <v>Branding</v>
          </cell>
        </row>
        <row r="25">
          <cell r="A25" t="str">
            <v>Branding Pageskin</v>
          </cell>
        </row>
        <row r="26">
          <cell r="A26" t="str">
            <v>Button</v>
          </cell>
        </row>
        <row r="27">
          <cell r="A27" t="str">
            <v>Content Branding</v>
          </cell>
        </row>
        <row r="28">
          <cell r="A28" t="str">
            <v>Entry+Adlink</v>
          </cell>
        </row>
        <row r="29">
          <cell r="A29" t="str">
            <v>Extended Preroll</v>
          </cell>
        </row>
        <row r="30">
          <cell r="A30" t="str">
            <v>Facebook Integrated Content Branding</v>
          </cell>
        </row>
        <row r="31">
          <cell r="A31" t="str">
            <v>Flash Tema</v>
          </cell>
        </row>
        <row r="32">
          <cell r="A32" t="str">
            <v>Filmstrip Rich Media</v>
          </cell>
        </row>
        <row r="33">
          <cell r="A33" t="str">
            <v>Flyer</v>
          </cell>
        </row>
        <row r="34">
          <cell r="A34" t="str">
            <v>Freeform</v>
          </cell>
        </row>
        <row r="35">
          <cell r="A35" t="str">
            <v>Full Motion Rich Media Seeding</v>
          </cell>
        </row>
        <row r="36">
          <cell r="A36" t="str">
            <v>Full Page Skin</v>
          </cell>
        </row>
        <row r="37">
          <cell r="A37" t="str">
            <v>Google Banner</v>
          </cell>
        </row>
        <row r="38">
          <cell r="A38" t="str">
            <v>InMail</v>
          </cell>
        </row>
        <row r="39">
          <cell r="A39" t="str">
            <v>I-Roll</v>
          </cell>
        </row>
        <row r="40">
          <cell r="A40" t="str">
            <v>Interstitial</v>
          </cell>
        </row>
        <row r="41">
          <cell r="A41" t="str">
            <v>Inventory</v>
          </cell>
        </row>
        <row r="42">
          <cell r="A42" t="str">
            <v>Interactive Playerskin</v>
          </cell>
        </row>
        <row r="43">
          <cell r="A43" t="str">
            <v xml:space="preserve">L Banner Expandable </v>
          </cell>
        </row>
        <row r="44">
          <cell r="A44" t="str">
            <v>Like Ad</v>
          </cell>
        </row>
        <row r="45">
          <cell r="A45" t="str">
            <v xml:space="preserve">Like Ad, Sponsored Stories, Poll Ad, Page Post Ads </v>
          </cell>
        </row>
        <row r="46">
          <cell r="A46" t="str">
            <v>Mailing</v>
          </cell>
        </row>
        <row r="47">
          <cell r="A47" t="str">
            <v>Marketplace Ads</v>
          </cell>
        </row>
        <row r="48">
          <cell r="A48" t="str">
            <v>Masbook</v>
          </cell>
        </row>
        <row r="49">
          <cell r="A49" t="str">
            <v>Masthead</v>
          </cell>
        </row>
        <row r="50">
          <cell r="A50" t="str">
            <v>Midroll</v>
          </cell>
        </row>
        <row r="51">
          <cell r="A51" t="str">
            <v>Midroll // Preroll</v>
          </cell>
        </row>
        <row r="52">
          <cell r="A52" t="str">
            <v>Mobile Banner</v>
          </cell>
        </row>
        <row r="53">
          <cell r="A53" t="str">
            <v xml:space="preserve">Page Post Ads </v>
          </cell>
        </row>
        <row r="54">
          <cell r="A54" t="str">
            <v>Pageskin</v>
          </cell>
        </row>
        <row r="55">
          <cell r="A55" t="str">
            <v xml:space="preserve">Pageskin takeover </v>
          </cell>
        </row>
        <row r="56">
          <cell r="A56" t="str">
            <v>Playerskin</v>
          </cell>
        </row>
        <row r="57">
          <cell r="A57" t="str">
            <v>Preroll</v>
          </cell>
        </row>
        <row r="58">
          <cell r="A58" t="str">
            <v>Presititial</v>
          </cell>
        </row>
        <row r="59">
          <cell r="A59" t="str">
            <v>Project</v>
          </cell>
        </row>
        <row r="60">
          <cell r="A60" t="str">
            <v>Promoted Account</v>
          </cell>
        </row>
        <row r="61">
          <cell r="A61" t="str">
            <v>Promoted Ttwwet</v>
          </cell>
        </row>
        <row r="62">
          <cell r="A62" t="str">
            <v xml:space="preserve">Rich Media </v>
          </cell>
        </row>
        <row r="63">
          <cell r="A63" t="str">
            <v>Rich Media 650 x 170 -- 650x340</v>
          </cell>
        </row>
        <row r="64">
          <cell r="A64" t="str">
            <v>Rich Media 728x90 -- 990x90</v>
          </cell>
        </row>
        <row r="65">
          <cell r="A65" t="str">
            <v>Roadblock</v>
          </cell>
        </row>
        <row r="66">
          <cell r="A66" t="str">
            <v>Roater altı banner 710x101</v>
          </cell>
        </row>
        <row r="67">
          <cell r="A67" t="str">
            <v>Sidekick</v>
          </cell>
        </row>
        <row r="68">
          <cell r="A68" t="str">
            <v>Slider</v>
          </cell>
        </row>
        <row r="69">
          <cell r="A69" t="str">
            <v>Sponsored Stories</v>
          </cell>
        </row>
        <row r="70">
          <cell r="A70" t="str">
            <v>Sponsored Stories &amp; Flyer</v>
          </cell>
        </row>
        <row r="71">
          <cell r="A71" t="str">
            <v>Sponsored Stories Like Ad</v>
          </cell>
        </row>
        <row r="72">
          <cell r="A72" t="str">
            <v>Sponsorship</v>
          </cell>
        </row>
        <row r="73">
          <cell r="A73" t="str">
            <v>Standard Google Banners</v>
          </cell>
        </row>
        <row r="74">
          <cell r="A74" t="str">
            <v>Takeover</v>
          </cell>
        </row>
        <row r="75">
          <cell r="A75" t="str">
            <v>Tema</v>
          </cell>
        </row>
        <row r="76">
          <cell r="A76" t="str">
            <v>Tema + Entry</v>
          </cell>
        </row>
        <row r="77">
          <cell r="A77" t="str">
            <v>Tema + Entry+Adlink</v>
          </cell>
        </row>
        <row r="78">
          <cell r="A78" t="str">
            <v>Text</v>
          </cell>
        </row>
        <row r="79">
          <cell r="A79" t="str">
            <v>Textlink</v>
          </cell>
        </row>
        <row r="80">
          <cell r="A80" t="str">
            <v>Tıkla Kazan</v>
          </cell>
        </row>
        <row r="81">
          <cell r="A81" t="str">
            <v>Trended Topic</v>
          </cell>
        </row>
        <row r="82">
          <cell r="A82" t="str">
            <v xml:space="preserve">Video </v>
          </cell>
        </row>
        <row r="83">
          <cell r="A83" t="str">
            <v>Video Overlay</v>
          </cell>
        </row>
        <row r="84">
          <cell r="A84" t="str">
            <v>Video Pageskin</v>
          </cell>
        </row>
        <row r="85">
          <cell r="A85" t="str">
            <v>Video Seeding</v>
          </cell>
        </row>
        <row r="86">
          <cell r="A86" t="str">
            <v>Widget</v>
          </cell>
        </row>
        <row r="87">
          <cell r="A87" t="str">
            <v>Video Star Rich Media</v>
          </cell>
        </row>
      </sheetData>
      <sheetData sheetId="8">
        <row r="1">
          <cell r="A1" t="str">
            <v>CPM</v>
          </cell>
        </row>
      </sheetData>
      <sheetData sheetId="9">
        <row r="1">
          <cell r="A1" t="str">
            <v>Home Page</v>
          </cell>
        </row>
      </sheetData>
      <sheetData sheetId="10"/>
      <sheetData sheetId="11"/>
      <sheetData sheetId="12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a Plan"/>
      <sheetName val="Ordino.Sablon"/>
      <sheetName val="MedPlan.Sablon"/>
      <sheetName val="Client"/>
      <sheetName val="Media Type"/>
      <sheetName val="Network"/>
      <sheetName val="Sites"/>
      <sheetName val="Format"/>
      <sheetName val="Buying Method"/>
      <sheetName val="Placement"/>
      <sheetName val="Adserving"/>
      <sheetName val="Viewability"/>
      <sheetName val="Indexes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Name</v>
          </cell>
        </row>
      </sheetData>
      <sheetData sheetId="6">
        <row r="1">
          <cell r="A1" t="str">
            <v>Name</v>
          </cell>
        </row>
      </sheetData>
      <sheetData sheetId="7">
        <row r="1">
          <cell r="A1" t="str">
            <v>Format</v>
          </cell>
        </row>
        <row r="2">
          <cell r="A2" t="str">
            <v>160x600</v>
          </cell>
        </row>
        <row r="3">
          <cell r="A3" t="str">
            <v>160x600,  300x250, 728x90</v>
          </cell>
        </row>
        <row r="4">
          <cell r="A4" t="str">
            <v>234x60 + Textlink</v>
          </cell>
        </row>
        <row r="5">
          <cell r="A5" t="str">
            <v>250x250</v>
          </cell>
        </row>
        <row r="6">
          <cell r="A6" t="str">
            <v>300x250</v>
          </cell>
        </row>
        <row r="7">
          <cell r="A7" t="str">
            <v>300x250</v>
          </cell>
        </row>
        <row r="8">
          <cell r="A8" t="str">
            <v>Expandable</v>
          </cell>
        </row>
        <row r="9">
          <cell r="A9" t="str">
            <v>300x250, 728x90</v>
          </cell>
        </row>
        <row r="10">
          <cell r="A10" t="str">
            <v>300x600</v>
          </cell>
        </row>
        <row r="11">
          <cell r="A11" t="str">
            <v>600x300</v>
          </cell>
        </row>
        <row r="12">
          <cell r="A12" t="str">
            <v>626 x 400</v>
          </cell>
        </row>
        <row r="13">
          <cell r="A13" t="str">
            <v>646x20</v>
          </cell>
        </row>
        <row r="14">
          <cell r="A14" t="str">
            <v>728x90</v>
          </cell>
        </row>
        <row r="15">
          <cell r="A15" t="str">
            <v>900x300</v>
          </cell>
        </row>
        <row r="16">
          <cell r="A16" t="str">
            <v>960x90</v>
          </cell>
        </row>
        <row r="17">
          <cell r="A17" t="str">
            <v>960x80</v>
          </cell>
        </row>
        <row r="18">
          <cell r="A18" t="str">
            <v>970x90</v>
          </cell>
        </row>
        <row r="19">
          <cell r="A19" t="str">
            <v>Ad injection</v>
          </cell>
        </row>
        <row r="20">
          <cell r="A20" t="str">
            <v>Ad text</v>
          </cell>
        </row>
        <row r="21">
          <cell r="A21" t="str">
            <v>Advertorial</v>
          </cell>
        </row>
        <row r="22">
          <cell r="A22" t="str">
            <v>Banner</v>
          </cell>
        </row>
        <row r="23">
          <cell r="A23" t="str">
            <v xml:space="preserve">Blog Content </v>
          </cell>
        </row>
        <row r="24">
          <cell r="A24" t="str">
            <v>Branding</v>
          </cell>
        </row>
        <row r="25">
          <cell r="A25" t="str">
            <v>Branding Pageskin</v>
          </cell>
        </row>
        <row r="26">
          <cell r="A26" t="str">
            <v>Button</v>
          </cell>
        </row>
        <row r="27">
          <cell r="A27" t="str">
            <v>Content Branding</v>
          </cell>
        </row>
        <row r="28">
          <cell r="A28" t="str">
            <v>Entry+Adlink</v>
          </cell>
        </row>
        <row r="29">
          <cell r="A29" t="str">
            <v>Extended Preroll</v>
          </cell>
        </row>
        <row r="30">
          <cell r="A30" t="str">
            <v>Facebook Integrated Content Branding</v>
          </cell>
        </row>
        <row r="31">
          <cell r="A31" t="str">
            <v>Flash Tema</v>
          </cell>
        </row>
        <row r="32">
          <cell r="A32" t="str">
            <v>Filmstrip Rich Media</v>
          </cell>
        </row>
        <row r="33">
          <cell r="A33" t="str">
            <v>Flyer</v>
          </cell>
        </row>
        <row r="34">
          <cell r="A34" t="str">
            <v>Freeform</v>
          </cell>
        </row>
        <row r="35">
          <cell r="A35" t="str">
            <v>Full Motion Rich Media Seeding</v>
          </cell>
        </row>
        <row r="36">
          <cell r="A36" t="str">
            <v>Full Page Skin</v>
          </cell>
        </row>
        <row r="37">
          <cell r="A37" t="str">
            <v>Google Banner</v>
          </cell>
        </row>
        <row r="38">
          <cell r="A38" t="str">
            <v>InMail</v>
          </cell>
        </row>
        <row r="39">
          <cell r="A39" t="str">
            <v>I-Roll</v>
          </cell>
        </row>
        <row r="40">
          <cell r="A40" t="str">
            <v>Interstitial</v>
          </cell>
        </row>
        <row r="41">
          <cell r="A41" t="str">
            <v>Inventory</v>
          </cell>
        </row>
        <row r="42">
          <cell r="A42" t="str">
            <v>Interactive Playerskin</v>
          </cell>
        </row>
        <row r="43">
          <cell r="A43" t="str">
            <v xml:space="preserve">L Banner Expandable </v>
          </cell>
        </row>
        <row r="44">
          <cell r="A44" t="str">
            <v>Like Ad</v>
          </cell>
        </row>
        <row r="45">
          <cell r="A45" t="str">
            <v xml:space="preserve">Like Ad, Sponsored Stories, Poll Ad, Page Post Ads </v>
          </cell>
        </row>
        <row r="46">
          <cell r="A46" t="str">
            <v>Mailing</v>
          </cell>
        </row>
        <row r="47">
          <cell r="A47" t="str">
            <v>Marketplace Ads</v>
          </cell>
        </row>
        <row r="48">
          <cell r="A48" t="str">
            <v>Masbook</v>
          </cell>
        </row>
        <row r="49">
          <cell r="A49" t="str">
            <v>Masthead</v>
          </cell>
        </row>
        <row r="50">
          <cell r="A50" t="str">
            <v>Midroll</v>
          </cell>
        </row>
        <row r="51">
          <cell r="A51" t="str">
            <v>Midroll // Preroll</v>
          </cell>
        </row>
        <row r="52">
          <cell r="A52" t="str">
            <v>Mobile Banner</v>
          </cell>
        </row>
        <row r="53">
          <cell r="A53" t="str">
            <v xml:space="preserve">Page Post Ads </v>
          </cell>
        </row>
        <row r="54">
          <cell r="A54" t="str">
            <v>Pageskin</v>
          </cell>
        </row>
        <row r="55">
          <cell r="A55" t="str">
            <v xml:space="preserve">Pageskin takeover </v>
          </cell>
        </row>
        <row r="56">
          <cell r="A56" t="str">
            <v>Playerskin</v>
          </cell>
        </row>
        <row r="57">
          <cell r="A57" t="str">
            <v>Preroll</v>
          </cell>
        </row>
        <row r="58">
          <cell r="A58" t="str">
            <v>Presititial</v>
          </cell>
        </row>
        <row r="59">
          <cell r="A59" t="str">
            <v>Project</v>
          </cell>
        </row>
        <row r="60">
          <cell r="A60" t="str">
            <v>Promoted Account</v>
          </cell>
        </row>
        <row r="61">
          <cell r="A61" t="str">
            <v>Promoted Ttwwet</v>
          </cell>
        </row>
        <row r="62">
          <cell r="A62" t="str">
            <v xml:space="preserve">Rich Media </v>
          </cell>
        </row>
        <row r="63">
          <cell r="A63" t="str">
            <v>Rich Media 650 x 170 -- 650x340</v>
          </cell>
        </row>
        <row r="64">
          <cell r="A64" t="str">
            <v>Rich Media 728x90 -- 990x90</v>
          </cell>
        </row>
        <row r="65">
          <cell r="A65" t="str">
            <v>Roadblock</v>
          </cell>
        </row>
        <row r="66">
          <cell r="A66" t="str">
            <v>Roater altı banner 710x101</v>
          </cell>
        </row>
        <row r="67">
          <cell r="A67" t="str">
            <v>Sidekick</v>
          </cell>
        </row>
        <row r="68">
          <cell r="A68" t="str">
            <v>Slider</v>
          </cell>
        </row>
        <row r="69">
          <cell r="A69" t="str">
            <v>Sponsored Stories</v>
          </cell>
        </row>
        <row r="70">
          <cell r="A70" t="str">
            <v>Sponsored Stories &amp; Flyer</v>
          </cell>
        </row>
        <row r="71">
          <cell r="A71" t="str">
            <v>Sponsored Stories Like Ad</v>
          </cell>
        </row>
        <row r="72">
          <cell r="A72" t="str">
            <v>Sponsorship</v>
          </cell>
        </row>
        <row r="73">
          <cell r="A73" t="str">
            <v>Standard Google Banners</v>
          </cell>
        </row>
        <row r="74">
          <cell r="A74" t="str">
            <v>Takeover</v>
          </cell>
        </row>
        <row r="75">
          <cell r="A75" t="str">
            <v>Tema</v>
          </cell>
        </row>
        <row r="76">
          <cell r="A76" t="str">
            <v>Tema + Entry</v>
          </cell>
        </row>
        <row r="77">
          <cell r="A77" t="str">
            <v>Tema + Entry+Adlink</v>
          </cell>
        </row>
        <row r="78">
          <cell r="A78" t="str">
            <v>Text</v>
          </cell>
        </row>
        <row r="79">
          <cell r="A79" t="str">
            <v>Textlink</v>
          </cell>
        </row>
        <row r="80">
          <cell r="A80" t="str">
            <v>Tıkla Kazan</v>
          </cell>
        </row>
        <row r="81">
          <cell r="A81" t="str">
            <v>Trended Topic</v>
          </cell>
        </row>
        <row r="82">
          <cell r="A82" t="str">
            <v xml:space="preserve">Video </v>
          </cell>
        </row>
        <row r="83">
          <cell r="A83" t="str">
            <v>Video Overlay</v>
          </cell>
        </row>
        <row r="84">
          <cell r="A84" t="str">
            <v>Video Pageskin</v>
          </cell>
        </row>
        <row r="85">
          <cell r="A85" t="str">
            <v>Video Seeding</v>
          </cell>
        </row>
        <row r="86">
          <cell r="A86" t="str">
            <v>Widget</v>
          </cell>
        </row>
        <row r="87">
          <cell r="A87" t="str">
            <v>Video Star Rich Media</v>
          </cell>
        </row>
      </sheetData>
      <sheetData sheetId="8">
        <row r="1">
          <cell r="A1" t="str">
            <v>CPM</v>
          </cell>
        </row>
      </sheetData>
      <sheetData sheetId="9">
        <row r="1">
          <cell r="A1" t="str">
            <v>Home Page</v>
          </cell>
        </row>
      </sheetData>
      <sheetData sheetId="10"/>
      <sheetData sheetId="11"/>
      <sheetData sheetId="12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KANTOY"/>
    </sheetNames>
    <definedNames>
      <definedName name="calculate"/>
    </definedNames>
    <sheetDataSet>
      <sheetData sheetId="0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-gaz1"/>
      <sheetName val="BimCarlsLansder"/>
      <sheetName val="plan_gaz1"/>
      <sheetName val="Kategoriler"/>
      <sheetName val="Sayfa2"/>
      <sheetName val="XLRpt_TempSheet"/>
      <sheetName val="alapok"/>
      <sheetName val="plan-der"/>
      <sheetName val="Copies"/>
      <sheetName val="SpotList (2)"/>
      <sheetName val="Exchange"/>
      <sheetName val="Payments"/>
      <sheetName val="Stations"/>
      <sheetName val="Prices"/>
      <sheetName val="P3"/>
      <sheetName val="BimCarlsLansder.xls"/>
      <sheetName val="##"/>
      <sheetName val="CampaignData"/>
      <sheetName val="PlanData"/>
      <sheetName val="ExchangeRates"/>
      <sheetName val="ManualDiscounts"/>
      <sheetName val="NetPrices"/>
      <sheetName val="PlanSheet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1"/>
      <sheetName val="P2"/>
      <sheetName val="P3"/>
      <sheetName val="P3 to P4 New"/>
      <sheetName val="P4"/>
      <sheetName val="P3 template for Automation"/>
      <sheetName val="Index"/>
      <sheetName val="Kategori Dizi kanalları"/>
      <sheetName val="tv spot list"/>
      <sheetName val="Kategoriler"/>
      <sheetName val="Programlar"/>
      <sheetName val="PAKET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fe Break Medya Plani#1  (27 0"/>
      <sheetName val="Flowchart"/>
      <sheetName val="Bütçe Özeti"/>
      <sheetName val="TV"/>
      <sheetName val="Sheet1"/>
      <sheetName val="Sheet2"/>
      <sheetName val="Proje"/>
      <sheetName val="Cihan"/>
      <sheetName val="Fiyatlar Aralık vs.Mayıs"/>
    </sheetNames>
    <definedNames>
      <definedName name="hhhh"/>
      <definedName name="İndirim"/>
      <definedName name="NM"/>
      <definedName name="ŞİŞİ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T FM"/>
      <sheetName val="Bellona Mart  Bütçe TL"/>
      <sheetName val="ALEM FM"/>
      <sheetName val="BEST FM"/>
      <sheetName val="DÜNYA RADYO"/>
      <sheetName val="RADYO D"/>
      <sheetName val="BURÇ FM"/>
      <sheetName val="RADYO 7"/>
      <sheetName val="NTV RADYO"/>
      <sheetName val="R.TATLISES"/>
      <sheetName val="SHOW RADYO"/>
      <sheetName val="RADYO VIVA"/>
      <sheetName val="TGRT FM"/>
      <sheetName val="MARMARA FM"/>
      <sheetName val="plan-gaz1"/>
      <sheetName val="Kategori Dizi kanalları"/>
      <sheetName val="Kategoriler"/>
      <sheetName val="bir.XLS"/>
      <sheetName val="bir"/>
      <sheetName val="tv spot list"/>
    </sheetNames>
    <sheetDataSet>
      <sheetData sheetId="0" refreshError="1">
        <row r="2">
          <cell r="Z2">
            <v>1</v>
          </cell>
        </row>
        <row r="3">
          <cell r="Z3">
            <v>1</v>
          </cell>
        </row>
        <row r="4">
          <cell r="Z4">
            <v>1</v>
          </cell>
        </row>
        <row r="5">
          <cell r="Z5">
            <v>1</v>
          </cell>
        </row>
        <row r="6">
          <cell r="Z6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Ref"/>
      <sheetName val="Format"/>
      <sheetName val="Mod.A"/>
      <sheetName val="Mod.A1"/>
      <sheetName val="Mod.B"/>
      <sheetName val="Mod.B1"/>
      <sheetName val="copertina"/>
      <sheetName val="TRT FM"/>
      <sheetName val="SGV"/>
      <sheetName val="Indice"/>
      <sheetName val="Ekim"/>
      <sheetName val="Foglio1"/>
      <sheetName val="Kategoriler"/>
      <sheetName val="XXXX"/>
      <sheetName val="DOLLARO"/>
      <sheetName val="Conta transição_comer"/>
      <sheetName val="86_NOVEMBRO"/>
      <sheetName val="89_NOVEMBRO"/>
      <sheetName val="87_NOVEMBRO"/>
      <sheetName val="Analise_BDG"/>
      <sheetName val="Analise_F6+6"/>
      <sheetName val="Plan4"/>
      <sheetName val="Analise_F10+2"/>
      <sheetName val="FLASH"/>
      <sheetName val="comparativo_Jan_fev"/>
      <sheetName val="EXPLICMES"/>
      <sheetName val="EXPLICANO_3+9"/>
      <sheetName val="EXPLICANO"/>
      <sheetName val="EXPLICANO_BDG"/>
      <sheetName val="EXPLICABERTO"/>
      <sheetName val="FLASH_6+6"/>
      <sheetName val="Juridico"/>
      <sheetName val="CR"/>
      <sheetName val="DAF"/>
      <sheetName val="Diret."/>
      <sheetName val="Comparativo (2)"/>
      <sheetName val="Strfuncionamento.2004"/>
      <sheetName val="86"/>
      <sheetName val="89"/>
      <sheetName val="87"/>
      <sheetName val="Strfuncionamento.2005"/>
      <sheetName val="per paese"/>
      <sheetName val="per modello"/>
      <sheetName val="JATO Worksheet - Pagina 1"/>
      <sheetName val="Guida al foglio"/>
      <sheetName val="Foglio3"/>
      <sheetName val="GENERALE"/>
      <sheetName val="RIEPILOGO (2)"/>
      <sheetName val="stile &quot;93 €&quot;"/>
      <sheetName val="stile ULTERIORI"/>
      <sheetName val="riepilogo CON DETTAGLIO"/>
      <sheetName val="DETTAGLIO ULTERIORI"/>
      <sheetName val="CROMI INTERNI "/>
      <sheetName val="198 CAMBIO M32 SU 1.4 T 120"/>
      <sheetName val="ODM stile"/>
      <sheetName val="dettaglio"/>
      <sheetName val="Foglio2"/>
      <sheetName val="Gazete teaser"/>
      <sheetName val="Programlar"/>
      <sheetName val="DUCATO"/>
      <sheetName val="33&quot;"/>
      <sheetName val="Copies"/>
      <sheetName val="Kategori Dizi kanalları"/>
      <sheetName val="VENDAS"/>
      <sheetName val="Hasar Hattı"/>
      <sheetName val="ATV"/>
      <sheetName val="Indice.xls"/>
      <sheetName val=""/>
      <sheetName val="2.대외공문"/>
      <sheetName val="Macro1"/>
      <sheetName val="Macro2"/>
      <sheetName val="Vers_TOP(16)"/>
      <sheetName val="ALBERINIITADIESEL"/>
      <sheetName val="NORME"/>
      <sheetName val="ECOM Periodique"/>
      <sheetName val="All"/>
      <sheetName val="DB"/>
      <sheetName val="Sayfa4"/>
      <sheetName val="전문품의"/>
      <sheetName val="Panda"/>
      <sheetName val="9124"/>
      <sheetName val="\sudafrica\Sudafrica 2002\sud a"/>
      <sheetName val="Base"/>
      <sheetName val="\\$NDS\.PCF_WORK.PCF.DAF.FIASA\"/>
      <sheetName val="prova"/>
      <sheetName val="Prijzen"/>
      <sheetName val="PA_Weighted"/>
      <sheetName val="Instructions"/>
      <sheetName val="Assumptions"/>
      <sheetName val="Input"/>
      <sheetName val="Cost Impact PA Brand"/>
      <sheetName val="PCO v PA Cost Weighted"/>
      <sheetName val="PCO v PA Cost Weighted KM"/>
      <sheetName val="Details by Model in Euro"/>
      <sheetName val="Cost Impact PA Industrial"/>
      <sheetName val="Milestone vs PA - KM 1"/>
      <sheetName val="Milestone vs PA - KM 2"/>
      <sheetName val="Milestone vs PA - KM 3"/>
      <sheetName val="Milestone vs PA - KM 4"/>
      <sheetName val="Milestone vs PA - KM 5"/>
      <sheetName val="Milestone vs PA - KM 6"/>
      <sheetName val="Milestone vs PA - KM 7"/>
      <sheetName val="Milestone vs PA - KM 8"/>
      <sheetName val="Milestone vs PA - KM 9"/>
      <sheetName val="Milestone vs PA - KM 10"/>
      <sheetName val="Milestone vs PA - KM 11"/>
      <sheetName val="Milestone vs PA - KM 12"/>
      <sheetName val="Milestone vs PA - KM 13"/>
      <sheetName val="Milestone vs PA - KM 14"/>
      <sheetName val="Milestone vs PA - KM 15"/>
      <sheetName val="Milestone vs PA - KM 16"/>
      <sheetName val="Form_8"/>
      <sheetName val="KM Summary PA - backup"/>
      <sheetName val="KM SummaryTC - backup"/>
      <sheetName val="2007"/>
      <sheetName val="2008"/>
      <sheetName val="2009"/>
      <sheetName val="MACRO SETTING"/>
      <sheetName val="IN425C 1B 437 02"/>
      <sheetName val="IN423R 1C 433 01"/>
      <sheetName val="IN425R 1D 433 01"/>
      <sheetName val="IN422C 1D 100 04"/>
      <sheetName val="IN422C 1B 120 04"/>
      <sheetName val="IN423C 1B 145 14"/>
      <sheetName val="IN42N0 1A 120 04"/>
      <sheetName val="IN43N0 1A 140 14"/>
      <sheetName val="IN44N0 1A 140 14"/>
      <sheetName val="IN45N0 1A 140 14"/>
      <sheetName val="IN424C 1D 145 14"/>
      <sheetName val="IN425C 1C 145 14"/>
      <sheetName val="IN45N0 1B 501 06"/>
      <sheetName val="JC077C 1B 780 02"/>
      <sheetName val="JC095R 1A 100 01"/>
      <sheetName val="KS95C4 1A 781 02"/>
      <sheetName val="Cost Impact PI"/>
      <sheetName val="Input - Costs"/>
      <sheetName val="3230B.20AA.01.27 Active 1.4 TRB"/>
      <sheetName val="Mod49 compatto"/>
      <sheetName val="Gest 02"/>
      <sheetName val="ALBERINI GAS"/>
      <sheetName val="EUR GM"/>
      <sheetName val="Mercati&gt;6"/>
      <sheetName val="SOS_SOV"/>
      <sheetName val="TOPLAM YATIRIM"/>
      <sheetName val="TV YATIRIMI"/>
      <sheetName val="BASIN YATIRIMI"/>
      <sheetName val="PROJE MAL.ANA DOSYA 3.AY"/>
      <sheetName val="TOTALE"/>
      <sheetName val="MacroSheet"/>
      <sheetName val="IND9899"/>
      <sheetName val="ALTRI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NPV"/>
      <sheetName val="ANADISP 99"/>
      <sheetName val="riepilogo 06"/>
      <sheetName val="PO"/>
      <sheetName val="Lead"/>
      <sheetName val="Standartwerte"/>
      <sheetName val="Essbase"/>
      <sheetName val="Riepilogo"/>
      <sheetName val="BONUS PROP"/>
      <sheetName val="\\reganzani\video\operational\T"/>
      <sheetName val="\Users\emret\AppData\Local\Micr"/>
      <sheetName val="\\192.168.1.254\2013\F\Users\em"/>
      <sheetName val="\\192.168.1.254\2013\Users\hayd"/>
      <sheetName val="\\192.168.1.254\2013\L\EDU\FECH"/>
      <sheetName val="\DBI\2011\mediamax\reckit benck"/>
      <sheetName val="[Indice.xls]__csimedya_my_sha_2"/>
      <sheetName val="kicker und TO"/>
      <sheetName val="[Indice.xls]_EDU_FECHAMES_JUN_2"/>
      <sheetName val="[Indice.xls]_L_EDU_FECHAMES_J_2"/>
      <sheetName val="Mod_A"/>
      <sheetName val="Mod_A1"/>
      <sheetName val="Mod_B"/>
      <sheetName val="Mod_B1"/>
      <sheetName val="TRT_FM"/>
      <sheetName val="Conta_transição_comer"/>
      <sheetName val="Diret_"/>
      <sheetName val="Comparativo_(2)"/>
      <sheetName val="Strfuncionamento_2004"/>
      <sheetName val="Strfuncionamento_2005"/>
      <sheetName val="per_paese"/>
      <sheetName val="per_modello"/>
      <sheetName val="JATO_Worksheet_-_Pagina_1"/>
      <sheetName val="Guida_al_foglio"/>
      <sheetName val="RIEPILOGO_(2)"/>
      <sheetName val="stile_&quot;93_€&quot;"/>
      <sheetName val="stile_ULTERIORI"/>
      <sheetName val="riepilogo_CON_DETTAGLIO"/>
      <sheetName val="DETTAGLIO_ULTERIORI"/>
      <sheetName val="CROMI_INTERNI_"/>
      <sheetName val="198_CAMBIO_M32_SU_1_4_T_120"/>
      <sheetName val="ODM_stile"/>
      <sheetName val="Gazete_teaser"/>
      <sheetName val="Kategori_Dizi_kanalları"/>
      <sheetName val="Hasar_Hattı"/>
      <sheetName val="Indice_xls"/>
      <sheetName val="2_대외공문"/>
      <sheetName val="ECOM_Periodique"/>
      <sheetName val="\sudafrica\Sudafrica_2002\sud_a"/>
      <sheetName val="Cost_Impact_PA_Brand"/>
      <sheetName val="PCO_v_PA_Cost_Weighted"/>
      <sheetName val="PCO_v_PA_Cost_Weighted_KM"/>
      <sheetName val="Details_by_Model_in_Euro"/>
      <sheetName val="Cost_Impact_PA_Industrial"/>
      <sheetName val="Milestone_vs_PA_-_KM_1"/>
      <sheetName val="Milestone_vs_PA_-_KM_2"/>
      <sheetName val="Milestone_vs_PA_-_KM_3"/>
      <sheetName val="Milestone_vs_PA_-_KM_4"/>
      <sheetName val="Milestone_vs_PA_-_KM_5"/>
      <sheetName val="Milestone_vs_PA_-_KM_6"/>
      <sheetName val="Milestone_vs_PA_-_KM_7"/>
      <sheetName val="Milestone_vs_PA_-_KM_8"/>
      <sheetName val="Milestone_vs_PA_-_KM_9"/>
      <sheetName val="Milestone_vs_PA_-_KM_10"/>
      <sheetName val="Milestone_vs_PA_-_KM_11"/>
      <sheetName val="Milestone_vs_PA_-_KM_12"/>
      <sheetName val="Milestone_vs_PA_-_KM_13"/>
      <sheetName val="Milestone_vs_PA_-_KM_14"/>
      <sheetName val="Milestone_vs_PA_-_KM_15"/>
      <sheetName val="Milestone_vs_PA_-_KM_16"/>
      <sheetName val="KM_Summary_PA_-_backup"/>
      <sheetName val="KM_SummaryTC_-_backup"/>
      <sheetName val="MACRO_SETTING"/>
      <sheetName val="IN425C_1B_437_02"/>
      <sheetName val="IN423R_1C_433_01"/>
      <sheetName val="IN425R_1D_433_01"/>
      <sheetName val="IN422C_1D_100_04"/>
      <sheetName val="IN422C_1B_120_04"/>
      <sheetName val="IN423C_1B_145_14"/>
      <sheetName val="IN42N0_1A_120_04"/>
      <sheetName val="IN43N0_1A_140_14"/>
      <sheetName val="IN44N0_1A_140_14"/>
      <sheetName val="IN45N0_1A_140_14"/>
      <sheetName val="IN424C_1D_145_14"/>
      <sheetName val="IN425C_1C_145_14"/>
      <sheetName val="IN45N0_1B_501_06"/>
      <sheetName val="JC077C_1B_780_02"/>
      <sheetName val="JC095R_1A_100_01"/>
      <sheetName val="KS95C4_1A_781_02"/>
      <sheetName val="Cost_Impact_PI"/>
      <sheetName val="Input_-_Costs"/>
      <sheetName val="3230B_20AA_01_27_Active_1_4_TRB"/>
      <sheetName val="Mod49_compatto"/>
      <sheetName val="Gest_02"/>
      <sheetName val="ALBERINI_GAS"/>
      <sheetName val="EUR_GM"/>
      <sheetName val="\\192_168_1_254\2013\F\Users\em"/>
      <sheetName val="\\192_168_1_254\2013\Users\hayd"/>
      <sheetName val="\\192_168_1_254\2013\L\EDU\FECH"/>
      <sheetName val="\\$NDS\_PCF_WORK_PCF_DAF_FIASA\"/>
      <sheetName val="\DBI\2011\mediamax\reckit_benck"/>
      <sheetName val="\EDU\FECHAMES\JUN99\Indice_xls"/>
      <sheetName val="\L\EDU\FECHAMES\JUN99\Indice_xl"/>
      <sheetName val="TOPLAM_YATIRIM"/>
      <sheetName val="TV_YATIRIMI"/>
      <sheetName val="BASIN_YATIRIMI"/>
      <sheetName val="PROJE_MAL_ANA_DOSYA_3_AY"/>
      <sheetName val="C_E__2004"/>
      <sheetName val="C_E__2005"/>
      <sheetName val="C_E__2006"/>
      <sheetName val="C_E__2007"/>
      <sheetName val="TOTALE_MERCATI"/>
      <sheetName val="ANADISP_99"/>
      <sheetName val="riepilogo_06"/>
      <sheetName val="BONUS_PROP"/>
      <sheetName val="Memo Marzo"/>
      <sheetName val="CAR CASH"/>
      <sheetName val="\\F0236715\condivisi\WINDOWS\TE"/>
      <sheetName val="estraz.apert.2001"/>
      <sheetName val="LOB_prodn"/>
      <sheetName val="AG"/>
      <sheetName val="AG Calendarization"/>
      <sheetName val="CE Calendarization"/>
      <sheetName val="CE"/>
      <sheetName val="NA Ford Mgmt Sum"/>
      <sheetName val="PSTRAT."/>
      <sheetName val="MAR99"/>
      <sheetName val="Pivotf3+9_it"/>
      <sheetName val="Pivotf3+9_vc"/>
      <sheetName val="Pivotf3+9_vc_it"/>
      <sheetName val="Pivotf3+9"/>
      <sheetName val="Pivot_seg_it"/>
      <sheetName val="Pivot_seg_vc_it"/>
      <sheetName val="Pivot_mese"/>
      <sheetName val="Pivot_mese_Vc"/>
      <sheetName val="\\Server\ortak\Volumes\ORTAK\T1"/>
      <sheetName val="[Indice.xls]_EDU_FECHAMES_JUN_3"/>
      <sheetName val="[Indice.xls]_L_EDU_FECHAMES_J_3"/>
      <sheetName val="[Indice.xls]__csimedya_my_sha_3"/>
      <sheetName val="[Indice.xls]_EDU_FECHAMES_JUN_4"/>
      <sheetName val="[Indice.xls]_L_EDU_FECHAMES_J_4"/>
      <sheetName val="[Indice.xls]__csimedya_my_sha_4"/>
      <sheetName val="[Indice.xls]__csimedya_my_sha_9"/>
      <sheetName val="[Indice.xls]_EDU_FECHAMES_JUN_5"/>
      <sheetName val="[Indice.xls]_L_EDU_FECHAMES_J_5"/>
      <sheetName val="[Indice.xls]\EDU\FECHAMES\JUN99"/>
      <sheetName val="[Indice.xls]\L\EDU\FECHAMES\JUN"/>
      <sheetName val="[Indice.xls]__csimedya_my_sha_8"/>
      <sheetName val="[Indice.xls]__csimedya_my_sha_5"/>
      <sheetName val="[Indice.xls]__csimedya_my_sha_6"/>
      <sheetName val="[Indice.xls]__csimedya_my_sha_7"/>
      <sheetName val="[Indice.xls]_EDU_FECHAMES_JUN_6"/>
      <sheetName val="[Indice.xls]_L_EDU_FECHAMES_J_6"/>
      <sheetName val="[Indice.xls]__csimedya_my_sh_10"/>
      <sheetName val="[Indice.xls]_EDU_FECHAMES_JUN_8"/>
      <sheetName val="[Indice.xls]_L_EDU_FECHAMES_J_8"/>
      <sheetName val="[Indice.xls]__csimedya_my_sh_12"/>
      <sheetName val="[Indice.xls]_EDU_FECHAMES_JUN_7"/>
      <sheetName val="[Indice.xls]_L_EDU_FECHAMES_J_7"/>
      <sheetName val="[Indice.xls]__csimedya_my_sh_11"/>
      <sheetName val="[Indice.xls]__csimedya_my_sh_13"/>
      <sheetName val="[Indice.xls]_EDU_FECHAMES_JU_10"/>
      <sheetName val="[Indice.xls]_L_EDU_FECHAMES__10"/>
      <sheetName val="[Indice.xls]__csimedya_my_sh_20"/>
      <sheetName val="[Indice.xls]__csimedya_my_sh_15"/>
      <sheetName val="[Indice.xls]__csimedya_my_sh_14"/>
      <sheetName val="[Indice.xls]__csimedya_my_sh_18"/>
      <sheetName val="[Indice.xls]_EDU_FECHAMES_JUN_9"/>
      <sheetName val="[Indice.xls]_L_EDU_FECHAMES_J_9"/>
      <sheetName val="[Indice.xls]__csimedya_my_sh_16"/>
      <sheetName val="[Indice.xls]__csimedya_my_sh_17"/>
      <sheetName val="[Indice.xls]__csimedya_my_sh_19"/>
      <sheetName val="[Indice.xls]_EDU_FECHAMES_JU_11"/>
      <sheetName val="[Indice.xls]_L_EDU_FECHAMES__11"/>
      <sheetName val="[Indice.xls]__csimedya_my_sh_21"/>
      <sheetName val="[Indice.xls]__csimedya_my_sh_22"/>
      <sheetName val="[Indice.xls]_EDU_FECHAMES_JU_12"/>
      <sheetName val="[Indice.xls]_L_EDU_FECHAMES__12"/>
      <sheetName val="[Indice.xls]__csimedya_my_sh_23"/>
      <sheetName val="[Indice.xls][Indice.xls][Indice"/>
      <sheetName val="[Indice.xls]\sudafrica\Sudafric"/>
      <sheetName val="[Indice.xls]\\$NDS\.PCF_WORK.PC"/>
      <sheetName val="[Indice.xls]\\reganzani\video\o"/>
      <sheetName val="[Indice.xls]\Users\emret\AppDat"/>
      <sheetName val="[Indice.xls]\\192.168.1.254\201"/>
      <sheetName val="[Indice.xls]\DBI\2011\mediamax\"/>
      <sheetName val="[Indice.xls]//csimedya-my.share"/>
      <sheetName val="[Indice.xls]\\192_168_1_254\201"/>
      <sheetName val="[Indice.xls]\\$NDS\_PCF_WORK_PC"/>
      <sheetName val="[Indice.xls]\\F0236715\condivis"/>
      <sheetName val="[Indice.xls][Indice.xls]\sudafr"/>
      <sheetName val="[Indice.xls][Indice.xls]\\$NDS\"/>
      <sheetName val="[Indice.xls][Indice.xls]\EDU\FE"/>
      <sheetName val="[Indice.xls][Indice.xls]\\regan"/>
      <sheetName val="[Indice.xls][Indice.xls]\Users\"/>
      <sheetName val="[Indice.xls][Indice.xls]\\192.1"/>
      <sheetName val="[Indice.xls][Indice.xls]\DBI\20"/>
      <sheetName val="[Indice.xls][Indice.xls]\L\EDU\"/>
      <sheetName val="[Indice.xls][Indice.xls]//csime"/>
      <sheetName val="[Indice.xls][Indice.xls]\\192_1"/>
      <sheetName val="[Indice.xls][Indice.xls]\\F0236"/>
      <sheetName val="[Indice.xls]_EDU_FECHAMES_JU_13"/>
      <sheetName val="[Indice.xls]_L_EDU_FECHAMES__13"/>
      <sheetName val="[Indice.xls]__csimedya_my_sh_24"/>
      <sheetName val="[Indice.xls]__csimedya_my_sh_25"/>
      <sheetName val="[Indice.xls][Indice.xls]\\Serve"/>
      <sheetName val="[Indice.xls]__csimedya_my_sh_27"/>
      <sheetName val="[Indice.xls]__csimedya_my_sh_26"/>
      <sheetName val="[Indice.xls]_EDU_FECHAMES_JU_16"/>
      <sheetName val="[Indice.xls]_L_EDU_FECHAMES__16"/>
      <sheetName val="[Indice.xls]__csimedya_my_sh_30"/>
      <sheetName val="[Indice.xls]_EDU_FECHAMES_JU_14"/>
      <sheetName val="[Indice.xls]_L_EDU_FECHAMES__14"/>
      <sheetName val="[Indice.xls]__csimedya_my_sh_28"/>
      <sheetName val="[Indice.xls]_EDU_FECHAMES_JU_15"/>
      <sheetName val="[Indice.xls]_L_EDU_FECHAMES__15"/>
      <sheetName val="[Indice.xls]__csimedya_my_sh_29"/>
      <sheetName val="[Indice.xls]__csimedya_my_sh_31"/>
      <sheetName val="[Indice.xls]__csimedya_my_sh_32"/>
      <sheetName val="[Indice.xls]_EDU_FECHAMES_JU_18"/>
      <sheetName val="[Indice.xls]_L_EDU_FECHAMES__18"/>
      <sheetName val="[Indice.xls]__csimedya_my_sh_33"/>
      <sheetName val="[Indice.xls]_EDU_FECHAMES_JU_17"/>
      <sheetName val="[Indice.xls]_L_EDU_FECHAMES__17"/>
      <sheetName val="[Indice.xls]__csimedya_my_sh_34"/>
      <sheetName val="[Indice.xls]__csimedya_my_sh_35"/>
      <sheetName val="[Indice.xls]__csimedya_my_sh_38"/>
      <sheetName val="[Indice.xls]__csimedya_my_sh_36"/>
      <sheetName val="[Indice.xls]__csimedya_my_sh_37"/>
      <sheetName val="[Indice.xls]__csimedya_my_sh_40"/>
      <sheetName val="[Indice.xls]_EDU_FECHAMES_JU_19"/>
      <sheetName val="[Indice.xls]_L_EDU_FECHAMES__19"/>
      <sheetName val="[Indice.xls]__csimedya_my_sh_39"/>
      <sheetName val="[Indice.xls]__csimedya_my_sh_41"/>
      <sheetName val="[Indice.xls]_EDU_FECHAMES_JU_20"/>
      <sheetName val="[Indice.xls]_L_EDU_FECHAMES__20"/>
      <sheetName val="[Indice.xls]__csimedya_my_sh_43"/>
      <sheetName val="[Indice.xls]__csimedya_my_sh_42"/>
      <sheetName val="[Indice.xls]__csimedya_my_sh_44"/>
      <sheetName val="[Indice.xls]__csimedya_my_sh_45"/>
      <sheetName val="현금흐름표"/>
      <sheetName val="SUP'S PASS DOM"/>
      <sheetName val="INPUT_PO"/>
      <sheetName val="1998"/>
      <sheetName val="Rules"/>
      <sheetName val="Mod_A2"/>
      <sheetName val="Mod_A11"/>
      <sheetName val="Mod_B2"/>
      <sheetName val="Mod_B11"/>
      <sheetName val="Conta_transição_comer1"/>
      <sheetName val="Diret_1"/>
      <sheetName val="Comparativo_(2)1"/>
      <sheetName val="Strfuncionamento_20041"/>
      <sheetName val="Strfuncionamento_20051"/>
      <sheetName val="per_paese1"/>
      <sheetName val="per_modello1"/>
      <sheetName val="JATO_Worksheet_-_Pagina_11"/>
      <sheetName val="Guida_al_foglio1"/>
      <sheetName val="RIEPILOGO_(2)1"/>
      <sheetName val="stile_&quot;93_€&quot;1"/>
      <sheetName val="stile_ULTERIORI1"/>
      <sheetName val="riepilogo_CON_DETTAGLIO1"/>
      <sheetName val="DETTAGLIO_ULTERIORI1"/>
      <sheetName val="CROMI_INTERNI_1"/>
      <sheetName val="198_CAMBIO_M32_SU_1_4_T_1201"/>
      <sheetName val="ODM_stile1"/>
      <sheetName val="Gazete_teaser1"/>
      <sheetName val="Memo_Marzo"/>
      <sheetName val="CAR_CASH"/>
      <sheetName val="estraz_apert_2001"/>
      <sheetName val="FGACODE"/>
      <sheetName val="_EDU_FECHAMES_JUN99_Indice.xls"/>
      <sheetName val="__F0236715_condivisi_WINDOWS_TE"/>
      <sheetName val="personali"/>
      <sheetName val="spares timing"/>
      <sheetName val="Conta transi??o_comer"/>
      <sheetName val="Conta_transi??o_comer"/>
      <sheetName val="Conta_transi??o_comer1"/>
      <sheetName val="MISforgeforging"/>
      <sheetName val="Cost_Redn"/>
      <sheetName val="MAREA"/>
      <sheetName val="Marea MY"/>
      <sheetName val="ULYSSE"/>
      <sheetName val="Brava-o MY"/>
      <sheetName val="SEI"/>
      <sheetName val="MULTIPLA"/>
      <sheetName val="P.TO"/>
      <sheetName val="COUPE"/>
      <sheetName val="MENSUAL"/>
      <sheetName val="sch. prodotto sed. ant."/>
      <sheetName val="EST-REP=AMP"/>
      <sheetName val="[Indice.xls]_EDU_FECHAMES_JU_21"/>
      <sheetName val="[Indice.xls]_L_EDU_FECHAMES__21"/>
      <sheetName val="[Indice.xls]__csimedya_my_sh_46"/>
      <sheetName val="Köprü"/>
      <sheetName val="[Indice.xls]\\Server\ortak\Volu"/>
      <sheetName val="D.TAKİP"/>
      <sheetName val="[Indice.xls]_EDU_FECHAMES_JU_25"/>
      <sheetName val="[Indice.xls]_L_EDU_FECHAMES__25"/>
      <sheetName val="[Indice.xls]__csimedya_my_sh_50"/>
      <sheetName val="[Indice.xls]_EDU_FECHAMES_JU_22"/>
      <sheetName val="[Indice.xls]_L_EDU_FECHAMES__22"/>
      <sheetName val="[Indice.xls]__csimedya_my_sh_47"/>
      <sheetName val="[Indice.xls]_EDU_FECHAMES_JU_24"/>
      <sheetName val="[Indice.xls]_L_EDU_FECHAMES__24"/>
      <sheetName val="[Indice.xls]__csimedya_my_sh_49"/>
      <sheetName val="[Indice.xls]_EDU_FECHAMES_JU_23"/>
      <sheetName val="[Indice.xls]_L_EDU_FECHAMES__23"/>
      <sheetName val="[Indice.xls]__csimedya_my_sh_48"/>
      <sheetName val="[Indice.xls]_EDU_FECHAMES_JU_26"/>
      <sheetName val="[Indice.xls]_L_EDU_FECHAMES__26"/>
      <sheetName val="[Indice.xls]__csimedya_my_sh_51"/>
      <sheetName val="[Indice.xls]_EDU_FECHAMES_JU_29"/>
      <sheetName val="[Indice.xls]_L_EDU_FECHAMES__29"/>
      <sheetName val="[Indice.xls]__csimedya_my_sh_54"/>
      <sheetName val="[Indice.xls]_EDU_FECHAMES_JU_27"/>
      <sheetName val="[Indice.xls]_L_EDU_FECHAMES__27"/>
      <sheetName val="[Indice.xls]__csimedya_my_sh_52"/>
      <sheetName val="[Indice.xls]_EDU_FECHAMES_JU_28"/>
      <sheetName val="[Indice.xls]_L_EDU_FECHAMES__28"/>
      <sheetName val="[Indice.xls]__csimedya_my_sh_53"/>
      <sheetName val="[Indice.xls]_EDU_FECHAMES_JU_30"/>
      <sheetName val="[Indice.xls]_L_EDU_FECHAMES__30"/>
      <sheetName val="[Indice.xls]__csimedya_my_sh_55"/>
      <sheetName val="[Indice.xls]_EDU_FECHAMES_JU_31"/>
      <sheetName val="[Indice.xls]_L_EDU_FECHAMES__31"/>
      <sheetName val="[Indice.xls]__csimedya_my_sh_56"/>
      <sheetName val="[Indice.xls]_EDU_FECHAMES_JU_51"/>
      <sheetName val="[Indice.xls]_L_EDU_FECHAMES__51"/>
      <sheetName val="[Indice.xls]_EDU_FECHAMES_JU_33"/>
      <sheetName val="[Indice.xls]_L_EDU_FECHAMES__33"/>
      <sheetName val="[Indice.xls]_EDU_FECHAMES_JU_32"/>
      <sheetName val="[Indice.xls]_L_EDU_FECHAMES__32"/>
      <sheetName val="[Indice.xls]_EDU_FECHAMES_JU_34"/>
      <sheetName val="[Indice.xls]_L_EDU_FECHAMES__34"/>
      <sheetName val="[Indice.xls]_EDU_FECHAMES_JU_35"/>
      <sheetName val="[Indice.xls]_L_EDU_FECHAMES__35"/>
      <sheetName val="[Indice.xls]_EDU_FECHAMES_JU_39"/>
      <sheetName val="[Indice.xls]_L_EDU_FECHAMES__39"/>
      <sheetName val="[Indice.xls]_EDU_FECHAMES_JU_36"/>
      <sheetName val="[Indice.xls]_L_EDU_FECHAMES__36"/>
      <sheetName val="[Indice.xls]_EDU_FECHAMES_JU_37"/>
      <sheetName val="[Indice.xls]_L_EDU_FECHAMES__37"/>
      <sheetName val="[Indice.xls]_EDU_FECHAMES_JU_38"/>
      <sheetName val="[Indice.xls]_L_EDU_FECHAMES__38"/>
      <sheetName val="[Indice.xls]_EDU_FECHAMES_JU_45"/>
      <sheetName val="[Indice.xls]_L_EDU_FECHAMES__45"/>
      <sheetName val="[Indice.xls]_EDU_FECHAMES_JU_44"/>
      <sheetName val="[Indice.xls]_L_EDU_FECHAMES__44"/>
      <sheetName val="[Indice.xls]_EDU_FECHAMES_JU_40"/>
      <sheetName val="[Indice.xls]_L_EDU_FECHAMES__40"/>
      <sheetName val="[Indice.xls]_EDU_FECHAMES_JU_41"/>
      <sheetName val="[Indice.xls]_L_EDU_FECHAMES__41"/>
      <sheetName val="[Indice.xls]_EDU_FECHAMES_JU_42"/>
      <sheetName val="[Indice.xls]_L_EDU_FECHAMES__42"/>
      <sheetName val="[Indice.xls]_EDU_FECHAMES_JU_43"/>
      <sheetName val="[Indice.xls]_L_EDU_FECHAMES__43"/>
      <sheetName val="[Indice.xls]_EDU_FECHAMES_JU_46"/>
      <sheetName val="[Indice.xls]_L_EDU_FECHAMES__46"/>
      <sheetName val="[Indice.xls]_EDU_FECHAMES_JU_48"/>
      <sheetName val="[Indice.xls]_L_EDU_FECHAMES__48"/>
      <sheetName val="[Indice.xls]_EDU_FECHAMES_JU_47"/>
      <sheetName val="[Indice.xls]_L_EDU_FECHAMES__47"/>
      <sheetName val="[Indice.xls]_EDU_FECHAMES_JU_49"/>
      <sheetName val="[Indice.xls]_L_EDU_FECHAMES__49"/>
      <sheetName val="[Indice.xls]_EDU_FECHAMES_JU_50"/>
      <sheetName val="[Indice.xls]_L_EDU_FECHAMES__50"/>
      <sheetName val="[Indice.xls]__csimedya_my_sh_57"/>
      <sheetName val="[Indice.xls]__csimedya_my_sh_58"/>
      <sheetName val="[Indice.xls]__csimedya_my_sh_60"/>
      <sheetName val="[Indice.xls]__csimedya_my_sh_59"/>
      <sheetName val="[Indice.xls]__csimedya_my_sh_63"/>
      <sheetName val="[Indice.xls]__csimedya_my_sh_61"/>
      <sheetName val="[Indice.xls]__csimedya_my_sh_62"/>
      <sheetName val="[Indice.xls]__csimedya_my_sh_64"/>
      <sheetName val="[Indice.xls]__csimedya_my_sh_66"/>
      <sheetName val="[Indice.xls]__csimedya_my_sh_65"/>
      <sheetName val="[Indice.xls]_EDU_FECHAMES_JU_53"/>
      <sheetName val="[Indice.xls]_L_EDU_FECHAMES__53"/>
      <sheetName val="[Indice.xls]__csimedya_my_sh_72"/>
      <sheetName val="[Indice.xls]_EDU_FECHAMES_JU_52"/>
      <sheetName val="[Indice.xls]_L_EDU_FECHAMES__52"/>
      <sheetName val="[Indice.xls]__csimedya_my_sh_67"/>
      <sheetName val="[Indice.xls]__csimedya_my_sh_68"/>
      <sheetName val="[Indice.xls]__csimedya_my_sh_69"/>
      <sheetName val="[Indice.xls]__csimedya_my_sh_70"/>
      <sheetName val="[Indice.xls]__csimedya_my_sh_71"/>
      <sheetName val="[Indice.xls]_EDU_FECHAMES_JU_54"/>
      <sheetName val="[Indice.xls]_L_EDU_FECHAMES__54"/>
      <sheetName val="[Indice.xls]__csimedya_my_sh_73"/>
      <sheetName val="[Indice.xls]_EDU_FECHAMES_JU_55"/>
      <sheetName val="[Indice.xls]_L_EDU_FECHAMES__55"/>
      <sheetName val="[Indice.xls]__csimedya_my_sh_74"/>
      <sheetName val="[Indice.xls]__csimedya_my_sh_75"/>
      <sheetName val="[Indice.xls]_EDU_FECHAMES_JU_61"/>
      <sheetName val="[Indice.xls]_L_EDU_FECHAMES__61"/>
      <sheetName val="[Indice.xls]_EDU_FECHAMES_JU_56"/>
      <sheetName val="[Indice.xls]_L_EDU_FECHAMES__56"/>
      <sheetName val="[Indice.xls]_EDU_FECHAMES_JU_57"/>
      <sheetName val="[Indice.xls]_L_EDU_FECHAMES__57"/>
      <sheetName val="[Indice.xls]_EDU_FECHAMES_JU_58"/>
      <sheetName val="[Indice.xls]_L_EDU_FECHAMES__58"/>
      <sheetName val="[Indice.xls]_EDU_FECHAMES_JU_59"/>
      <sheetName val="[Indice.xls]_L_EDU_FECHAMES__59"/>
      <sheetName val="[Indice.xls]_EDU_FECHAMES_JU_60"/>
      <sheetName val="[Indice.xls]_L_EDU_FECHAMES__60"/>
      <sheetName val="[Indice.xls]_EDU_FECHAMES_JU_62"/>
      <sheetName val="[Indice.xls]_L_EDU_FECHAMES__62"/>
      <sheetName val="[Indice.xls]__csimedya_my_sh_78"/>
      <sheetName val="[Indice.xls]_EDU_FECHAMES_JU_63"/>
      <sheetName val="[Indice.xls]_L_EDU_FECHAMES__63"/>
      <sheetName val="[Indice.xls]_EDU_FECHAMES_JU_64"/>
      <sheetName val="[Indice.xls]_L_EDU_FECHAMES__64"/>
      <sheetName val="[Indice.xls]_EDU_FECHAMES_JU_65"/>
      <sheetName val="[Indice.xls]_L_EDU_FECHAMES__65"/>
      <sheetName val="[Indice.xls]_EDU_FECHAMES_JU_66"/>
      <sheetName val="[Indice.xls]_L_EDU_FECHAMES__66"/>
      <sheetName val="[Indice.xls]__csimedya_my_sh_76"/>
      <sheetName val="[Indice.xls]_EDU_FECHAMES_JU_67"/>
      <sheetName val="[Indice.xls]_L_EDU_FECHAMES__67"/>
      <sheetName val="[Indice.xls]__csimedya_my_sh_77"/>
      <sheetName val="[Indice.xls]_EDU_FECHAMES_JU_68"/>
      <sheetName val="[Indice.xls]_L_EDU_FECHAMES__68"/>
      <sheetName val="[Indice.xls]__csimedya_my_sh_79"/>
      <sheetName val="[Indice.xls]__csimedya_my_sh_80"/>
      <sheetName val="[Indice.xls]_EDU_FECHAMES_JU_69"/>
      <sheetName val="[Indice.xls]_L_EDU_FECHAMES__69"/>
      <sheetName val="[Indice.xls]_EDU_FECHAMES_JU_70"/>
      <sheetName val="[Indice.xls]_L_EDU_FECHAMES__70"/>
      <sheetName val="[Indice.xls]__csimedya_my_sh_82"/>
      <sheetName val="[Indice.xls]__csimedya_my_sh_81"/>
      <sheetName val="[Indice.xls]_EDU_FECHAMES_JU_73"/>
      <sheetName val="[Indice.xls]_L_EDU_FECHAMES__73"/>
      <sheetName val="[Indice.xls]_EDU_FECHAMES_JU_71"/>
      <sheetName val="[Indice.xls]_L_EDU_FECHAMES__71"/>
      <sheetName val="[Indice.xls]_EDU_FECHAMES_JU_72"/>
      <sheetName val="[Indice.xls]_L_EDU_FECHAMES__72"/>
      <sheetName val="[Indice.xls]__csimedya_my_sh_83"/>
      <sheetName val="[Indice.xls]__csimedya_my_sh_85"/>
      <sheetName val="[Indice.xls]__csimedya_my_sh_84"/>
      <sheetName val="[Indice.xls]__csimedya_my_sh_86"/>
      <sheetName val="[Indice.xls]__csimedya_my_sh_87"/>
      <sheetName val="[Indice.xls]_EDU_FECHAMES_JU_74"/>
      <sheetName val="[Indice.xls]_L_EDU_FECHAMES__74"/>
      <sheetName val="[Indice.xls]__csimedya_my_sh_88"/>
      <sheetName val="[Indice.xls]_EDU_FECHAMES_JU_75"/>
      <sheetName val="[Indice.xls]_L_EDU_FECHAMES__75"/>
      <sheetName val="[Indice.xls]__csimedya_my_sh_89"/>
      <sheetName val="[Indice.xls]_EDU_FECHAMES_JU_76"/>
      <sheetName val="[Indice.xls]_L_EDU_FECHAMES__76"/>
      <sheetName val="[Indice.xls]__csimedya_my_sh_90"/>
      <sheetName val="[Indice.xls]_EDU_FECHAMES_JU_77"/>
      <sheetName val="[Indice.xls]_L_EDU_FECHAMES__77"/>
      <sheetName val="[Indice.xls]_EDU_FECHAMES_JU_78"/>
      <sheetName val="[Indice.xls]_L_EDU_FECHAMES__78"/>
      <sheetName val="[Indice.xls]__csimedya_my_sh_91"/>
      <sheetName val="[Indice.xls]__csimedya_my_sh_98"/>
      <sheetName val="[Indice.xls]__csimedya_my_sh_92"/>
      <sheetName val="[Indice.xls]__csimedya_my_sh_93"/>
      <sheetName val="[Indice.xls]__csimedya_my_sh_95"/>
      <sheetName val="[Indice.xls]_EDU_FECHAMES_JU_82"/>
      <sheetName val="[Indice.xls]_L_EDU_FECHAMES__82"/>
      <sheetName val="[Indice.xls]_EDU_FECHAMES_JU_81"/>
      <sheetName val="[Indice.xls]_L_EDU_FECHAMES__81"/>
      <sheetName val="[Indice.xls]_EDU_FECHAMES_JU_79"/>
      <sheetName val="[Indice.xls]_L_EDU_FECHAMES__79"/>
      <sheetName val="[Indice.xls]_EDU_FECHAMES_JU_80"/>
      <sheetName val="[Indice.xls]_L_EDU_FECHAMES__80"/>
      <sheetName val="[Indice.xls]__csimedya_my_sh_94"/>
      <sheetName val="[Indice.xls]_EDU_FECHAMES_JU_83"/>
      <sheetName val="[Indice.xls]_L_EDU_FECHAMES__83"/>
      <sheetName val="[Indice.xls]__csimedya_my_sh_96"/>
      <sheetName val="[Indice.xls]_EDU_FECHAMES_JU_84"/>
      <sheetName val="[Indice.xls]_L_EDU_FECHAMES__84"/>
      <sheetName val="[Indice.xls]__csimedya_my_sh_97"/>
      <sheetName val="[Indice.xls]_EDU_FECHAMES_JU_85"/>
      <sheetName val="[Indice.xls]_L_EDU_FECHAMES__85"/>
      <sheetName val="[Indice.xls]__csimedya_my_sh_99"/>
      <sheetName val="[Indice.xls]__csimedya_my_s_100"/>
      <sheetName val="[Indice.xls]_EDU_FECHAMES_JU_87"/>
      <sheetName val="[Indice.xls]_L_EDU_FECHAMES__87"/>
      <sheetName val="[Indice.xls]_EDU_FECHAMES_JU_86"/>
      <sheetName val="[Indice.xls]_L_EDU_FECHAMES__86"/>
      <sheetName val="[Indice.xls]__csimedya_my_s_101"/>
      <sheetName val="[Indice.xls]_EDU_FECHAMES_JU_88"/>
      <sheetName val="[Indice.xls]_L_EDU_FECHAMES__88"/>
      <sheetName val="[Indice.xls]__csimedya_my_s_102"/>
      <sheetName val="[Indice.xls]_EDU_FECHAMES_JU_89"/>
      <sheetName val="[Indice.xls]_L_EDU_FECHAMES__89"/>
      <sheetName val="[Indice.xls]__csimedya_my_s_103"/>
      <sheetName val="[Indice.xls]__csimedya_my_s_104"/>
      <sheetName val="[Indice.xls]_EDU_FECHAMES_JU_90"/>
      <sheetName val="[Indice.xls]_L_EDU_FECHAMES__90"/>
      <sheetName val="[Indice.xls]__csimedya_my_s_105"/>
      <sheetName val="[Indice.xls]_EDU_FECHAMES_JU_91"/>
      <sheetName val="[Indice.xls]_L_EDU_FECHAMES__91"/>
      <sheetName val="[Indice.xls]__csimedya_my_s_106"/>
      <sheetName val="[Indice.xls]_EDU_FECHAMES_JU_92"/>
      <sheetName val="[Indice.xls]_L_EDU_FECHAMES__92"/>
      <sheetName val="[Indice.xls]__csimedya_my_s_107"/>
      <sheetName val="[Indice.xls]_EDU_FECHAMES_JU_93"/>
      <sheetName val="[Indice.xls]_L_EDU_FECHAMES__93"/>
      <sheetName val="[Indice.xls]_EDU_FECHAMES_JU_94"/>
      <sheetName val="[Indice.xls]_L_EDU_FECHAMES__94"/>
      <sheetName val="[Indice.xls]__csimedya_my_s_108"/>
      <sheetName val="[Indice.xls]_sudafrica_Sudafr_2"/>
      <sheetName val="[Indice.xls]___NDS__PCF_WORK__2"/>
      <sheetName val="[Indice.xls]__reganzani_video_2"/>
      <sheetName val="[Indice.xls]_Users_emret_AppD_2"/>
      <sheetName val="[Indice.xls]__192_168_1_254_2_2"/>
      <sheetName val="[Indice.xls]__192_168_1_254_2_3"/>
      <sheetName val="[Indice.xls]__192_168_1_254_2_4"/>
      <sheetName val="[Indice.xls]_DBI_2011_mediama_2"/>
      <sheetName val="[Indice.xls]__F0236715_condiv_2"/>
      <sheetName val="[Indice.xls]_sudafrica_Sudafr_3"/>
      <sheetName val="[Indice.xls]__192_168_1_254_2_5"/>
      <sheetName val="[Indice.xls]__192_168_1_254_2_6"/>
      <sheetName val="[Indice.xls]__192_168_1_254_2_7"/>
      <sheetName val="[Indice.xls]___NDS__PCF_WORK__3"/>
      <sheetName val="[Indice.xls]_DBI_2011_mediama_3"/>
      <sheetName val="[Indice.xls]_EDU_FECHAMES_JU_96"/>
      <sheetName val="[Indice.xls]_L_EDU_FECHAMES__96"/>
      <sheetName val="[Indice.xls]__csimedya_my_s_110"/>
      <sheetName val="[Indice.xls]_EDU_FECHAMES_JU_95"/>
      <sheetName val="[Indice.xls]_L_EDU_FECHAMES__95"/>
      <sheetName val="[Indice.xls]__csimedya_my_s_109"/>
      <sheetName val="[Indice.xls]_EDU_FECHAMES_JU_97"/>
      <sheetName val="[Indice.xls]_L_EDU_FECHAMES__97"/>
      <sheetName val="[Indice.xls]__csimedya_my_s_111"/>
      <sheetName val="[Indice.xls]__csimedya_my_s_112"/>
      <sheetName val="[Indice.xls]__csimedya_my_s_113"/>
      <sheetName val="[Indice.xls]_EDU_FECHAMES_JU_98"/>
      <sheetName val="[Indice.xls]_L_EDU_FECHAMES__98"/>
      <sheetName val="[Indice.xls]_EDU_FECHAMES_JU_99"/>
      <sheetName val="[Indice.xls]_L_EDU_FECHAMES__99"/>
      <sheetName val="[Indice.xls]__csimedya_my_s_114"/>
      <sheetName val="[Indice.xls]__csimedya_my_s_115"/>
      <sheetName val="[Indice.xls]_EDU_FECHAMES_J_100"/>
      <sheetName val="[Indice.xls]_L_EDU_FECHAMES_100"/>
      <sheetName val="[Indice.xls]__csimedya_my_s_130"/>
      <sheetName val="[Indice.xls]__csimedya_my_s_120"/>
      <sheetName val="[Indice.xls]__csimedya_my_s_116"/>
      <sheetName val="[Indice.xls]__csimedya_my_s_117"/>
      <sheetName val="[Indice.xls]__csimedya_my_s_118"/>
      <sheetName val="[Indice.xls]__csimedya_my_s_119"/>
      <sheetName val="[Indice.xls]__csimedya_my_s_121"/>
      <sheetName val="[Indice.xls]__csimedya_my_s_122"/>
      <sheetName val="[Indice.xls]__csimedya_my_s_123"/>
      <sheetName val="[Indice.xls]__csimedya_my_s_124"/>
      <sheetName val="[Indice.xls]__csimedya_my_s_128"/>
      <sheetName val="[Indice.xls]__csimedya_my_s_125"/>
      <sheetName val="[Indice.xls]__csimedya_my_s_126"/>
      <sheetName val="[Indice.xls]__csimedya_my_s_127"/>
      <sheetName val="[Indice.xls]__csimedya_my_s_129"/>
      <sheetName val="[Indice.xls]__csimedya_my_s_131"/>
      <sheetName val="[Indice.xls]_EDU_FECHAMES_J_101"/>
      <sheetName val="[Indice.xls]_L_EDU_FECHAMES_101"/>
      <sheetName val="[Indice.xls]__csimedya_my_s_132"/>
      <sheetName val="[Indice.xls]__csimedya_my_s_134"/>
      <sheetName val="[Indice.xls]__csimedya_my_s_133"/>
      <sheetName val="[Indice.xls]_EDU_FECHAMES_J_102"/>
      <sheetName val="[Indice.xls]_L_EDU_FECHAMES_102"/>
      <sheetName val="[Indice.xls]_EDU_FECHAMES_J_103"/>
      <sheetName val="[Indice.xls]_L_EDU_FECHAMES_103"/>
      <sheetName val="[Indice.xls]_EDU_FECHAMES_J_104"/>
      <sheetName val="[Indice.xls]_L_EDU_FECHAMES_104"/>
      <sheetName val="[Indice.xls]__csimedya_my_s_135"/>
      <sheetName val="[Indice.xls]_EDU_FECHAMES_J_105"/>
      <sheetName val="[Indice.xls]_L_EDU_FECHAMES_105"/>
      <sheetName val="[Indice.xls]__csimedya_my_s_136"/>
      <sheetName val="[Indice.xls]_EDU_FECHAMES_J_106"/>
      <sheetName val="[Indice.xls]_L_EDU_FECHAMES_106"/>
      <sheetName val="[Indice.xls]__csimedya_my_s_137"/>
      <sheetName val="plan-gaz1"/>
      <sheetName val="[Indice.xls]__csimedya_my_s_138"/>
      <sheetName val="[Indice.xls]_EDU_FECHAMES_J_107"/>
      <sheetName val="[Indice.xls]_L_EDU_FECHAMES_107"/>
      <sheetName val="[Indice.xls]_EDU_FECHAMES_J_108"/>
      <sheetName val="[Indice.xls]_L_EDU_FECHAMES_108"/>
      <sheetName val="[Indice.xls]__csimedya_my_s_139"/>
      <sheetName val="[Indice.xls]__csimedya_my_s_140"/>
      <sheetName val="[Indice.xls]_EDU_FECHAMES_J_109"/>
      <sheetName val="[Indice.xls]_L_EDU_FECHAMES_109"/>
      <sheetName val="[Indice.xls]__csimedya_my_s_143"/>
      <sheetName val="[Indice.xls]__csimedya_my_s_141"/>
      <sheetName val="[Indice.xls]__csimedya_my_s_142"/>
      <sheetName val="[Indice.xls]__csimedya_my_s_144"/>
      <sheetName val="[Indice.xls]__csimedya_my_s_146"/>
      <sheetName val="[Indice.xls]__csimedya_my_s_145"/>
      <sheetName val="[Indice.xls]__csimedya_my_s_148"/>
      <sheetName val="[Indice.xls]__csimedya_my_s_147"/>
      <sheetName val="[Indice.xls]__csimedya_my_s_149"/>
      <sheetName val="[Indice.xls]__csimedya_my_s_150"/>
      <sheetName val="[Indice.xls]__csimedya_my_s_151"/>
      <sheetName val="[Indice.xls]_EDU_FECHAMES_J_111"/>
      <sheetName val="[Indice.xls]_L_EDU_FECHAMES_111"/>
      <sheetName val="[Indice.xls]_EDU_FECHAMES_J_110"/>
      <sheetName val="[Indice.xls]_L_EDU_FECHAMES_110"/>
      <sheetName val="[Indice.xls]_EDU_FECHAMES_J_112"/>
      <sheetName val="[Indice.xls]_L_EDU_FECHAMES_112"/>
      <sheetName val="[Indice.xls]_EDU_FECHAMES_J_118"/>
      <sheetName val="[Indice.xls]_L_EDU_FECHAMES_118"/>
      <sheetName val="[Indice.xls]_EDU_FECHAMES_J_116"/>
      <sheetName val="[Indice.xls]_L_EDU_FECHAMES_116"/>
      <sheetName val="[Indice.xls]_EDU_FECHAMES_J_113"/>
      <sheetName val="[Indice.xls]_L_EDU_FECHAMES_113"/>
      <sheetName val="[Indice.xls]_EDU_FECHAMES_J_114"/>
      <sheetName val="[Indice.xls]_L_EDU_FECHAMES_114"/>
      <sheetName val="[Indice.xls]_EDU_FECHAMES_J_115"/>
      <sheetName val="[Indice.xls]_L_EDU_FECHAMES_115"/>
      <sheetName val="[Indice.xls]_EDU_FECHAMES_J_117"/>
      <sheetName val="[Indice.xls]_L_EDU_FECHAMES_117"/>
      <sheetName val="[Indice.xls]_EDU_FECHAMES_J_119"/>
      <sheetName val="[Indice.xls]_L_EDU_FECHAMES_119"/>
      <sheetName val="[Indice.xls]_EDU_FECHAMES_J_123"/>
      <sheetName val="[Indice.xls]_L_EDU_FECHAMES_123"/>
      <sheetName val="[Indice.xls]_EDU_FECHAMES_J_120"/>
      <sheetName val="[Indice.xls]_L_EDU_FECHAMES_120"/>
      <sheetName val="[Indice.xls]_EDU_FECHAMES_J_121"/>
      <sheetName val="[Indice.xls]_L_EDU_FECHAMES_121"/>
      <sheetName val="[Indice.xls]_EDU_FECHAMES_J_122"/>
      <sheetName val="[Indice.xls]_L_EDU_FECHAMES_122"/>
      <sheetName val="[Indice.xls]_EDU_FECHAMES_J_124"/>
      <sheetName val="[Indice.xls]_L_EDU_FECHAMES_124"/>
    </sheetNames>
    <sheetDataSet>
      <sheetData sheetId="0">
        <row r="1">
          <cell r="B1" t="str">
            <v>FIAT AUTO SUD AFRICA</v>
          </cell>
        </row>
      </sheetData>
      <sheetData sheetId="1" refreshError="1">
        <row r="1">
          <cell r="B1" t="str">
            <v>FIAT AUTO SUD AFRICA</v>
          </cell>
        </row>
      </sheetData>
      <sheetData sheetId="2">
        <row r="1">
          <cell r="B1" t="str">
            <v>FIAT AUTO SUD AFRICA</v>
          </cell>
        </row>
      </sheetData>
      <sheetData sheetId="3">
        <row r="1">
          <cell r="B1" t="str">
            <v>FIAT AUTO SUD AFRICA</v>
          </cell>
        </row>
      </sheetData>
      <sheetData sheetId="4">
        <row r="1">
          <cell r="B1" t="str">
            <v>FIAT AUTO SUD AFRICA</v>
          </cell>
        </row>
      </sheetData>
      <sheetData sheetId="5">
        <row r="1">
          <cell r="B1" t="str">
            <v>FIAT AUTO SUD AFRICA</v>
          </cell>
        </row>
      </sheetData>
      <sheetData sheetId="6">
        <row r="1">
          <cell r="B1" t="str">
            <v>FIAT AUTO SUD AFRICA</v>
          </cell>
        </row>
      </sheetData>
      <sheetData sheetId="7">
        <row r="1">
          <cell r="B1" t="str">
            <v>FIAT AUTO SUD AFRICA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">
          <cell r="B1" t="str">
            <v>FIAT AUTO SUD AFRICA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>
        <row r="1">
          <cell r="B1" t="str">
            <v>TOFAS BUSINESS UNIT</v>
          </cell>
        </row>
      </sheetData>
      <sheetData sheetId="181">
        <row r="1">
          <cell r="B1" t="str">
            <v>TOFAS BUSINESS UNIT</v>
          </cell>
        </row>
      </sheetData>
      <sheetData sheetId="182">
        <row r="1">
          <cell r="B1" t="str">
            <v>FIAT AUTO SUD AFRICA</v>
          </cell>
        </row>
      </sheetData>
      <sheetData sheetId="183">
        <row r="1">
          <cell r="B1" t="str">
            <v>TOFAS BUSINESS UNIT</v>
          </cell>
        </row>
      </sheetData>
      <sheetData sheetId="184">
        <row r="1">
          <cell r="B1" t="str">
            <v>FIAT AUTO SUD AFRICA</v>
          </cell>
        </row>
      </sheetData>
      <sheetData sheetId="185">
        <row r="1">
          <cell r="B1" t="str">
            <v>TOFAS BUSINESS UNIT</v>
          </cell>
        </row>
      </sheetData>
      <sheetData sheetId="186">
        <row r="1">
          <cell r="B1" t="str">
            <v>FIAT AUTO SUD AFRICA</v>
          </cell>
        </row>
      </sheetData>
      <sheetData sheetId="187">
        <row r="1">
          <cell r="B1" t="str">
            <v>TOFAS BUSINESS UNIT</v>
          </cell>
        </row>
      </sheetData>
      <sheetData sheetId="188">
        <row r="1">
          <cell r="B1" t="str">
            <v>FIAT AUTO SUD AFRICA</v>
          </cell>
        </row>
      </sheetData>
      <sheetData sheetId="189">
        <row r="1">
          <cell r="B1" t="str">
            <v>FIAT AUTO SUD AFRICA</v>
          </cell>
        </row>
      </sheetData>
      <sheetData sheetId="190">
        <row r="1">
          <cell r="B1" t="str">
            <v>FIAT AUTO SUD AFRICA</v>
          </cell>
        </row>
      </sheetData>
      <sheetData sheetId="191">
        <row r="1">
          <cell r="B1" t="str">
            <v>FIAT AUTO SUD AFRICA</v>
          </cell>
        </row>
      </sheetData>
      <sheetData sheetId="192">
        <row r="1">
          <cell r="B1" t="str">
            <v>FIAT AUTO SUD AFRICA</v>
          </cell>
        </row>
      </sheetData>
      <sheetData sheetId="193">
        <row r="1">
          <cell r="B1" t="str">
            <v>FIAT AUTO SUD AFRICA</v>
          </cell>
        </row>
      </sheetData>
      <sheetData sheetId="194">
        <row r="1">
          <cell r="B1" t="str">
            <v>FIAT AUTO SUD AFRICA</v>
          </cell>
        </row>
      </sheetData>
      <sheetData sheetId="195">
        <row r="1">
          <cell r="B1" t="str">
            <v>FIAT AUTO SUD AFRICA</v>
          </cell>
        </row>
      </sheetData>
      <sheetData sheetId="196">
        <row r="1">
          <cell r="B1" t="str">
            <v>FIAT AUTO SUD AFRICA</v>
          </cell>
        </row>
      </sheetData>
      <sheetData sheetId="197">
        <row r="1">
          <cell r="B1" t="str">
            <v>FIAT AUTO SUD AFRICA</v>
          </cell>
        </row>
      </sheetData>
      <sheetData sheetId="198">
        <row r="1">
          <cell r="B1" t="str">
            <v>FIAT AUTO SUD AFRICA</v>
          </cell>
        </row>
      </sheetData>
      <sheetData sheetId="199">
        <row r="1">
          <cell r="B1" t="str">
            <v>FIAT AUTO SUD AFRICA</v>
          </cell>
        </row>
      </sheetData>
      <sheetData sheetId="200">
        <row r="1">
          <cell r="B1" t="str">
            <v>FIAT AUTO SUD AFRICA</v>
          </cell>
        </row>
      </sheetData>
      <sheetData sheetId="201">
        <row r="1">
          <cell r="B1" t="str">
            <v>FIAT AUTO SUD AFRICA</v>
          </cell>
        </row>
      </sheetData>
      <sheetData sheetId="202">
        <row r="1">
          <cell r="B1" t="str">
            <v>FIAT AUTO SUD AFRICA</v>
          </cell>
        </row>
      </sheetData>
      <sheetData sheetId="203">
        <row r="1">
          <cell r="B1" t="str">
            <v>FIAT AUTO SUD AFRICA</v>
          </cell>
        </row>
      </sheetData>
      <sheetData sheetId="204">
        <row r="1">
          <cell r="B1" t="str">
            <v>TOFAS BUSINESS UNIT</v>
          </cell>
        </row>
      </sheetData>
      <sheetData sheetId="205">
        <row r="1">
          <cell r="B1" t="str">
            <v>FIAT AUTO SUD AFRICA</v>
          </cell>
        </row>
      </sheetData>
      <sheetData sheetId="206">
        <row r="1">
          <cell r="B1" t="str">
            <v>TOFAS BUSINESS UNIT</v>
          </cell>
        </row>
      </sheetData>
      <sheetData sheetId="207">
        <row r="1">
          <cell r="B1" t="str">
            <v>FIAT AUTO SUD AFRICA</v>
          </cell>
        </row>
      </sheetData>
      <sheetData sheetId="208">
        <row r="1">
          <cell r="B1" t="str">
            <v>TOFAS BUSINESS UNIT</v>
          </cell>
        </row>
      </sheetData>
      <sheetData sheetId="209">
        <row r="1">
          <cell r="B1" t="str">
            <v>FIAT AUTO SUD AFRICA</v>
          </cell>
        </row>
      </sheetData>
      <sheetData sheetId="210">
        <row r="1">
          <cell r="B1" t="str">
            <v>TOFAS BUSINESS UNIT</v>
          </cell>
        </row>
      </sheetData>
      <sheetData sheetId="211">
        <row r="1">
          <cell r="B1" t="str">
            <v>FIAT AUTO SUD AFRICA</v>
          </cell>
        </row>
      </sheetData>
      <sheetData sheetId="212">
        <row r="1">
          <cell r="B1" t="str">
            <v>FIAT AUTO SUD AFRICA</v>
          </cell>
        </row>
      </sheetData>
      <sheetData sheetId="213">
        <row r="1">
          <cell r="B1" t="str">
            <v>TOFAS BUSINESS UNIT</v>
          </cell>
        </row>
      </sheetData>
      <sheetData sheetId="214">
        <row r="1">
          <cell r="B1" t="str">
            <v>FIAT AUTO SUD AFRICA</v>
          </cell>
        </row>
      </sheetData>
      <sheetData sheetId="215">
        <row r="1">
          <cell r="B1" t="str">
            <v>TOFAS BUSINESS UNIT</v>
          </cell>
        </row>
      </sheetData>
      <sheetData sheetId="216">
        <row r="1">
          <cell r="B1" t="str">
            <v>TOFAS BUSINESS UNIT</v>
          </cell>
        </row>
      </sheetData>
      <sheetData sheetId="217">
        <row r="1">
          <cell r="B1" t="str">
            <v>TOFAS BUSINESS UNIT</v>
          </cell>
        </row>
      </sheetData>
      <sheetData sheetId="218">
        <row r="1">
          <cell r="B1" t="str">
            <v>FIAT AUTO SUD AFRICA</v>
          </cell>
        </row>
      </sheetData>
      <sheetData sheetId="219">
        <row r="1">
          <cell r="B1" t="str">
            <v>TOFAS BUSINESS UNIT</v>
          </cell>
        </row>
      </sheetData>
      <sheetData sheetId="220">
        <row r="1">
          <cell r="B1" t="str">
            <v>TOFAS BUSINESS UNIT</v>
          </cell>
        </row>
      </sheetData>
      <sheetData sheetId="221">
        <row r="1">
          <cell r="B1" t="str">
            <v>TOFAS BUSINESS UNIT</v>
          </cell>
        </row>
      </sheetData>
      <sheetData sheetId="222">
        <row r="1">
          <cell r="B1" t="str">
            <v>TOFAS BUSINESS UNIT</v>
          </cell>
        </row>
      </sheetData>
      <sheetData sheetId="223">
        <row r="1">
          <cell r="B1" t="str">
            <v>TOFAS BUSINESS UNIT</v>
          </cell>
        </row>
      </sheetData>
      <sheetData sheetId="224">
        <row r="1">
          <cell r="B1" t="str">
            <v>TOFAS BUSINESS UNIT</v>
          </cell>
        </row>
      </sheetData>
      <sheetData sheetId="225">
        <row r="1">
          <cell r="B1" t="str">
            <v>TOFAS BUSINESS UNIT</v>
          </cell>
        </row>
      </sheetData>
      <sheetData sheetId="226">
        <row r="1">
          <cell r="B1" t="str">
            <v>TOFAS BUSINESS UNIT</v>
          </cell>
        </row>
      </sheetData>
      <sheetData sheetId="227">
        <row r="1">
          <cell r="B1" t="str">
            <v>TOFAS BUSINESS UNIT</v>
          </cell>
        </row>
      </sheetData>
      <sheetData sheetId="228">
        <row r="1">
          <cell r="B1" t="str">
            <v>TOFAS BUSINESS UNIT</v>
          </cell>
        </row>
      </sheetData>
      <sheetData sheetId="229">
        <row r="1">
          <cell r="B1" t="str">
            <v>TOFAS BUSINESS UNIT</v>
          </cell>
        </row>
      </sheetData>
      <sheetData sheetId="230">
        <row r="1">
          <cell r="B1" t="str">
            <v>TOFAS BUSINESS UNIT</v>
          </cell>
        </row>
      </sheetData>
      <sheetData sheetId="231">
        <row r="1">
          <cell r="B1" t="str">
            <v>TOFAS BUSINESS UNIT</v>
          </cell>
        </row>
      </sheetData>
      <sheetData sheetId="232">
        <row r="1">
          <cell r="B1" t="str">
            <v>TOFAS BUSINESS UNIT</v>
          </cell>
        </row>
      </sheetData>
      <sheetData sheetId="233">
        <row r="1">
          <cell r="B1" t="str">
            <v>TOFAS BUSINESS UNIT</v>
          </cell>
        </row>
      </sheetData>
      <sheetData sheetId="234">
        <row r="1">
          <cell r="B1" t="str">
            <v>TOFAS BUSINESS UNIT</v>
          </cell>
        </row>
      </sheetData>
      <sheetData sheetId="235">
        <row r="1">
          <cell r="B1" t="str">
            <v>TOFAS BUSINESS UNIT</v>
          </cell>
        </row>
      </sheetData>
      <sheetData sheetId="236">
        <row r="1">
          <cell r="B1" t="str">
            <v>TOFAS BUSINESS UNIT</v>
          </cell>
        </row>
      </sheetData>
      <sheetData sheetId="237">
        <row r="1">
          <cell r="B1" t="str">
            <v>TOFAS BUSINESS UNIT</v>
          </cell>
        </row>
      </sheetData>
      <sheetData sheetId="238">
        <row r="1">
          <cell r="B1" t="str">
            <v>TOFAS BUSINESS UNIT</v>
          </cell>
        </row>
      </sheetData>
      <sheetData sheetId="239">
        <row r="1">
          <cell r="B1" t="str">
            <v>TOFAS BUSINESS UNIT</v>
          </cell>
        </row>
      </sheetData>
      <sheetData sheetId="240">
        <row r="1">
          <cell r="B1" t="str">
            <v>TOFAS BUSINESS UNIT</v>
          </cell>
        </row>
      </sheetData>
      <sheetData sheetId="241">
        <row r="1">
          <cell r="B1" t="str">
            <v>TOFAS BUSINESS UNIT</v>
          </cell>
        </row>
      </sheetData>
      <sheetData sheetId="242">
        <row r="1">
          <cell r="B1" t="str">
            <v>TOFAS BUSINESS UNIT</v>
          </cell>
        </row>
      </sheetData>
      <sheetData sheetId="243">
        <row r="1">
          <cell r="B1" t="str">
            <v>TOFAS BUSINESS UNIT</v>
          </cell>
        </row>
      </sheetData>
      <sheetData sheetId="244">
        <row r="1">
          <cell r="B1" t="str">
            <v>TOFAS BUSINESS UNIT</v>
          </cell>
        </row>
      </sheetData>
      <sheetData sheetId="245">
        <row r="1">
          <cell r="B1" t="str">
            <v>TOFAS BUSINESS UNIT</v>
          </cell>
        </row>
      </sheetData>
      <sheetData sheetId="246">
        <row r="1">
          <cell r="B1" t="str">
            <v>TOFAS BUSINESS UNIT</v>
          </cell>
        </row>
      </sheetData>
      <sheetData sheetId="247">
        <row r="1">
          <cell r="B1" t="str">
            <v>TOFAS BUSINESS UNIT</v>
          </cell>
        </row>
      </sheetData>
      <sheetData sheetId="248">
        <row r="1">
          <cell r="B1" t="str">
            <v>TOFAS BUSINESS UNIT</v>
          </cell>
        </row>
      </sheetData>
      <sheetData sheetId="249">
        <row r="1">
          <cell r="B1" t="str">
            <v>TOFAS BUSINESS UNIT</v>
          </cell>
        </row>
      </sheetData>
      <sheetData sheetId="250">
        <row r="1">
          <cell r="B1" t="str">
            <v>TOFAS BUSINESS UNIT</v>
          </cell>
        </row>
      </sheetData>
      <sheetData sheetId="251">
        <row r="1">
          <cell r="B1" t="str">
            <v>TOFAS BUSINESS UNIT</v>
          </cell>
        </row>
      </sheetData>
      <sheetData sheetId="252">
        <row r="1">
          <cell r="B1" t="str">
            <v>TOFAS BUSINESS UNIT</v>
          </cell>
        </row>
      </sheetData>
      <sheetData sheetId="253">
        <row r="1">
          <cell r="B1" t="str">
            <v>TOFAS BUSINESS UNIT</v>
          </cell>
        </row>
      </sheetData>
      <sheetData sheetId="254">
        <row r="1">
          <cell r="B1" t="str">
            <v>TOFAS BUSINESS UNIT</v>
          </cell>
        </row>
      </sheetData>
      <sheetData sheetId="255">
        <row r="1">
          <cell r="B1" t="str">
            <v>TOFAS BUSINESS UNIT</v>
          </cell>
        </row>
      </sheetData>
      <sheetData sheetId="256">
        <row r="1">
          <cell r="B1" t="str">
            <v>TOFAS BUSINESS UNIT</v>
          </cell>
        </row>
      </sheetData>
      <sheetData sheetId="257">
        <row r="1">
          <cell r="B1" t="str">
            <v>TOFAS BUSINESS UNIT</v>
          </cell>
        </row>
      </sheetData>
      <sheetData sheetId="258">
        <row r="1">
          <cell r="B1" t="str">
            <v>TOFAS BUSINESS UNIT</v>
          </cell>
        </row>
      </sheetData>
      <sheetData sheetId="259">
        <row r="1">
          <cell r="B1" t="str">
            <v>TOFAS BUSINESS UNIT</v>
          </cell>
        </row>
      </sheetData>
      <sheetData sheetId="260">
        <row r="1">
          <cell r="B1" t="str">
            <v>TOFAS BUSINESS UNIT</v>
          </cell>
        </row>
      </sheetData>
      <sheetData sheetId="261">
        <row r="1">
          <cell r="B1" t="str">
            <v>TOFAS BUSINESS UNIT</v>
          </cell>
        </row>
      </sheetData>
      <sheetData sheetId="262">
        <row r="1">
          <cell r="B1" t="str">
            <v>TOFAS BUSINESS UNIT</v>
          </cell>
        </row>
      </sheetData>
      <sheetData sheetId="263">
        <row r="1">
          <cell r="B1" t="str">
            <v>TOFAS BUSINESS UNIT</v>
          </cell>
        </row>
      </sheetData>
      <sheetData sheetId="264">
        <row r="8">
          <cell r="B8" t="str">
            <v>ASPETTI COMMERCIALI</v>
          </cell>
        </row>
      </sheetData>
      <sheetData sheetId="265">
        <row r="8">
          <cell r="B8">
            <v>36312</v>
          </cell>
        </row>
      </sheetData>
      <sheetData sheetId="266">
        <row r="8">
          <cell r="B8" t="str">
            <v>ASPETTI COMMERCIALI</v>
          </cell>
        </row>
      </sheetData>
      <sheetData sheetId="267">
        <row r="8">
          <cell r="B8" t="str">
            <v>COMMERCIAL</v>
          </cell>
        </row>
      </sheetData>
      <sheetData sheetId="268">
        <row r="8">
          <cell r="B8" t="str">
            <v>ASPETTI COMMERCIALI</v>
          </cell>
        </row>
      </sheetData>
      <sheetData sheetId="269">
        <row r="8">
          <cell r="B8">
            <v>36312</v>
          </cell>
        </row>
      </sheetData>
      <sheetData sheetId="270">
        <row r="8">
          <cell r="B8" t="str">
            <v>ASPETTI COMMERCIALI</v>
          </cell>
        </row>
      </sheetData>
      <sheetData sheetId="271">
        <row r="8">
          <cell r="B8">
            <v>36312</v>
          </cell>
        </row>
      </sheetData>
      <sheetData sheetId="272">
        <row r="8">
          <cell r="B8">
            <v>36312</v>
          </cell>
        </row>
      </sheetData>
      <sheetData sheetId="273">
        <row r="8">
          <cell r="B8" t="str">
            <v>ASPETTI COMMERCIALI</v>
          </cell>
        </row>
      </sheetData>
      <sheetData sheetId="274">
        <row r="8">
          <cell r="B8" t="str">
            <v>COMMERCIAL</v>
          </cell>
        </row>
      </sheetData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>
        <row r="8">
          <cell r="B8">
            <v>36312</v>
          </cell>
        </row>
      </sheetData>
      <sheetData sheetId="436">
        <row r="8">
          <cell r="B8" t="str">
            <v>ASPETTI COMMERCIALI</v>
          </cell>
        </row>
      </sheetData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>
        <row r="19">
          <cell r="B19" t="str">
            <v xml:space="preserve">PRODUCTION </v>
          </cell>
        </row>
      </sheetData>
      <sheetData sheetId="455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/>
      <sheetData sheetId="675"/>
      <sheetData sheetId="676"/>
      <sheetData sheetId="677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P"/>
      <sheetName val="İndirimler ve Tanımlar"/>
      <sheetName val="Plan"/>
      <sheetName val="Ayarlar"/>
      <sheetName val="Rezervasyon"/>
      <sheetName val="Özet"/>
    </sheetNames>
    <sheetDataSet>
      <sheetData sheetId="0" refreshError="1">
        <row r="2">
          <cell r="A2" t="str">
            <v>Birleştir</v>
          </cell>
        </row>
        <row r="3">
          <cell r="A3" t="str">
            <v>ACEMI CADIOZEL KAT.(O)</v>
          </cell>
        </row>
        <row r="4">
          <cell r="A4" t="str">
            <v>ACEMI CADIOZEL KAT.</v>
          </cell>
        </row>
        <row r="5">
          <cell r="A5" t="str">
            <v>BENDEN BABA OLMAZKO11</v>
          </cell>
        </row>
        <row r="6">
          <cell r="A6" t="str">
            <v>BENDEN BABA OLMAZK-11</v>
          </cell>
        </row>
        <row r="7">
          <cell r="A7" t="str">
            <v>BRATZKO3</v>
          </cell>
        </row>
        <row r="8">
          <cell r="A8" t="str">
            <v>CANDAN OTE (TKR)K-3</v>
          </cell>
        </row>
        <row r="9">
          <cell r="A9" t="str">
            <v>CANDAN OTE (TKR)KO3</v>
          </cell>
        </row>
        <row r="10">
          <cell r="A10" t="str">
            <v>DESIFREKO7</v>
          </cell>
        </row>
        <row r="11">
          <cell r="A11" t="str">
            <v>DESIFREK-7</v>
          </cell>
        </row>
        <row r="12">
          <cell r="A12" t="str">
            <v>DINOTOPIA 4 (Y.S)KO1</v>
          </cell>
        </row>
        <row r="13">
          <cell r="A13" t="str">
            <v>DINOTOPIA 4 (Y.S)K-1</v>
          </cell>
        </row>
        <row r="14">
          <cell r="A14" t="str">
            <v>DINI PROGRAM  DOSTA DOGRUKO10</v>
          </cell>
        </row>
        <row r="15">
          <cell r="A15" t="str">
            <v>DINI PROGRAM  DOSTA DOGRUK-10</v>
          </cell>
        </row>
        <row r="16">
          <cell r="A16" t="str">
            <v>YASAM EKOLIFEKO6</v>
          </cell>
        </row>
        <row r="17">
          <cell r="A17" t="str">
            <v>YASAM EKOLIFEK-6</v>
          </cell>
        </row>
        <row r="18">
          <cell r="A18" t="str">
            <v>FENERBAHCE-INTER (TKR)KO8</v>
          </cell>
        </row>
        <row r="19">
          <cell r="A19" t="str">
            <v>YASAM FESTIVAL MAGAZINKO6</v>
          </cell>
        </row>
        <row r="20">
          <cell r="A20" t="str">
            <v>YASAM FESTIVAL MAGAZINK-6</v>
          </cell>
        </row>
        <row r="21">
          <cell r="A21" t="str">
            <v>FUTBOLIGKO9</v>
          </cell>
        </row>
        <row r="22">
          <cell r="A22" t="str">
            <v>FUTBOLIGK-9</v>
          </cell>
        </row>
        <row r="23">
          <cell r="A23" t="str">
            <v>GLADYATOR AKADEMIKO3</v>
          </cell>
        </row>
        <row r="24">
          <cell r="A24" t="str">
            <v>GUN ORTASIKO7</v>
          </cell>
        </row>
        <row r="25">
          <cell r="A25" t="str">
            <v>HAKAN'LA GEZIYORUMKO6</v>
          </cell>
        </row>
        <row r="26">
          <cell r="A26" t="str">
            <v>HAKAN'LA GEZIYORUMK-6</v>
          </cell>
        </row>
        <row r="27">
          <cell r="A27" t="str">
            <v>IKI AILEKO12</v>
          </cell>
        </row>
        <row r="28">
          <cell r="A28" t="str">
            <v>IKI AILEK-12</v>
          </cell>
        </row>
        <row r="29">
          <cell r="A29" t="str">
            <v>IKI AILE (TKR)KO8</v>
          </cell>
        </row>
        <row r="30">
          <cell r="A30" t="str">
            <v>IKI AILE (TKR)K-8</v>
          </cell>
        </row>
        <row r="31">
          <cell r="A31" t="str">
            <v>KADIN  INCI ERTUGRUL'LA SIZIN SESINIZKO8</v>
          </cell>
        </row>
        <row r="32">
          <cell r="A32" t="str">
            <v>KADIN  INCI ERTUGRUL'LA SIZIN SESINIZK-8</v>
          </cell>
        </row>
        <row r="33">
          <cell r="A33" t="str">
            <v>KOPRUKO12</v>
          </cell>
        </row>
        <row r="34">
          <cell r="A34" t="str">
            <v>KOPRUK-12</v>
          </cell>
        </row>
        <row r="35">
          <cell r="A35" t="str">
            <v>KOPRU (OZEL)OZEL KAT.(O)</v>
          </cell>
        </row>
        <row r="36">
          <cell r="A36" t="str">
            <v>KOPRU (OZEL)OZEL KAT.</v>
          </cell>
        </row>
        <row r="37">
          <cell r="A37" t="str">
            <v>KOPRU (TKR)KO9</v>
          </cell>
        </row>
        <row r="38">
          <cell r="A38" t="str">
            <v>KOPRU (TKR)K-9</v>
          </cell>
        </row>
        <row r="39">
          <cell r="A39" t="str">
            <v>LEYLANKO11</v>
          </cell>
        </row>
        <row r="40">
          <cell r="A40" t="str">
            <v>LEYLANK-11</v>
          </cell>
        </row>
        <row r="41">
          <cell r="A41" t="str">
            <v>MAGARA (Y.S)KO8</v>
          </cell>
        </row>
        <row r="42">
          <cell r="A42" t="str">
            <v>MAGARA (Y.S)K-8</v>
          </cell>
        </row>
        <row r="43">
          <cell r="A43" t="str">
            <v>YASAM  IFTARA  DOGRUKO10</v>
          </cell>
        </row>
        <row r="44">
          <cell r="A44" t="str">
            <v>YASAM  IFTARA  DOGRUK-10</v>
          </cell>
        </row>
        <row r="45">
          <cell r="A45" t="str">
            <v>YASAM  NIHAT  HATIPOGLU  ILE SAHURKO7</v>
          </cell>
        </row>
        <row r="46">
          <cell r="A46" t="str">
            <v>YASAM  NIHAT  HATIPOGLU  ILE SAHURK-7</v>
          </cell>
        </row>
        <row r="47">
          <cell r="A47" t="str">
            <v>MAGAZIN  ORADA NELER OLUYOR?KO6</v>
          </cell>
        </row>
        <row r="48">
          <cell r="A48" t="str">
            <v>MAGAZIN  ORADA NELER OLUYOR?K-6</v>
          </cell>
        </row>
        <row r="49">
          <cell r="A49" t="str">
            <v>POPSTAR ALATURKAKO11</v>
          </cell>
        </row>
        <row r="50">
          <cell r="A50" t="str">
            <v>POPSTAR ALATURKAK-11</v>
          </cell>
        </row>
        <row r="51">
          <cell r="A51" t="str">
            <v>POPSTAR ALATURKA (FINAL)OZEL KAT.(O)</v>
          </cell>
        </row>
        <row r="52">
          <cell r="A52" t="str">
            <v>POPSTAR ALATURKA (PERFORMANS)OZEL KAT.(O)</v>
          </cell>
        </row>
        <row r="53">
          <cell r="A53" t="str">
            <v>POPSTAR ALATURKA (PERFORMANS)OZEL KAT.</v>
          </cell>
        </row>
        <row r="54">
          <cell r="A54" t="str">
            <v>SAMPIYONLAR LIGI (OZEL)KO7</v>
          </cell>
        </row>
        <row r="55">
          <cell r="A55" t="str">
            <v>SAMPIYONLAR LIGI (OZEL)K-7</v>
          </cell>
        </row>
        <row r="56">
          <cell r="A56" t="str">
            <v>SINAV (T.S)OZEL KAT.(O)</v>
          </cell>
        </row>
        <row r="57">
          <cell r="A57" t="str">
            <v>SINAV (T.S)OZEL KAT.</v>
          </cell>
        </row>
        <row r="58">
          <cell r="A58" t="str">
            <v>SIR GIBIKO11</v>
          </cell>
        </row>
        <row r="59">
          <cell r="A59" t="str">
            <v>SIR GIBIK-11</v>
          </cell>
        </row>
        <row r="60">
          <cell r="A60" t="str">
            <v>HABER STAR ANA HABER BULTENIKO11</v>
          </cell>
        </row>
        <row r="61">
          <cell r="A61" t="str">
            <v>HABER STAR ANA HABER BULTENIK-11</v>
          </cell>
        </row>
        <row r="62">
          <cell r="A62" t="str">
            <v>MAGAZIN STAR LIFEKO7</v>
          </cell>
        </row>
        <row r="63">
          <cell r="A63" t="str">
            <v>MAGAZIN STAR LIFEK-7</v>
          </cell>
        </row>
        <row r="64">
          <cell r="A64" t="str">
            <v>TARKAN VIKING KANI (T.S)KO6</v>
          </cell>
        </row>
        <row r="65">
          <cell r="A65" t="str">
            <v>TARKAN VIKING KANI (T.S)K-6</v>
          </cell>
        </row>
        <row r="66">
          <cell r="A66" t="str">
            <v>TEMEL REIS'IN MACERALARIKO3</v>
          </cell>
        </row>
        <row r="67">
          <cell r="A67" t="str">
            <v>TEMEL REIS'IN MACERALARI (OGLE)KO3</v>
          </cell>
        </row>
        <row r="68">
          <cell r="A68" t="str">
            <v>VAZGEC GONLUMKO11</v>
          </cell>
        </row>
        <row r="69">
          <cell r="A69" t="str">
            <v>VAZGEC GONLUMK-11</v>
          </cell>
        </row>
        <row r="70">
          <cell r="A70" t="str">
            <v>VAZGEC GONLUM (TKR)KO8</v>
          </cell>
        </row>
        <row r="71">
          <cell r="A71" t="str">
            <v>VAZGEC GONLUM (TKR)K-8</v>
          </cell>
        </row>
        <row r="72">
          <cell r="A72" t="str">
            <v>YALAN DUNYAKO11</v>
          </cell>
        </row>
        <row r="73">
          <cell r="A73" t="str">
            <v>YALAN DUNYAK-11</v>
          </cell>
        </row>
        <row r="74">
          <cell r="A74" t="str">
            <v>YALAN DUNYA (TKR)KO8</v>
          </cell>
        </row>
        <row r="75">
          <cell r="A75" t="str">
            <v>YALAN DUNYA (TKR)K-8</v>
          </cell>
        </row>
        <row r="76">
          <cell r="A76" t="str">
            <v>KADIN  YASEMIN'IN PENCERESINDENKO8</v>
          </cell>
        </row>
        <row r="77">
          <cell r="A77" t="str">
            <v>KADIN  YASEMIN'IN PENCERESINDENK-8</v>
          </cell>
        </row>
        <row r="78">
          <cell r="A78" t="str">
            <v>ZELIHA'NIN GOZLERIKO10</v>
          </cell>
        </row>
        <row r="79">
          <cell r="A79" t="str">
            <v>ZELIHA'NIN GOZLERIK-10</v>
          </cell>
        </row>
        <row r="80">
          <cell r="A80" t="str">
            <v>ZELIHA'NIN GOZLERI (TKR)KO8</v>
          </cell>
        </row>
        <row r="81">
          <cell r="A81" t="str">
            <v>ZELIHA'NIN GOZLERI (TKR)K-8</v>
          </cell>
        </row>
        <row r="82">
          <cell r="A82" t="str">
            <v>ZOOMKO9</v>
          </cell>
        </row>
        <row r="83">
          <cell r="A83" t="str">
            <v>ZOOMK-9</v>
          </cell>
        </row>
        <row r="84">
          <cell r="A84" t="str">
            <v/>
          </cell>
        </row>
        <row r="85">
          <cell r="A85" t="str">
            <v/>
          </cell>
        </row>
        <row r="86">
          <cell r="A86" t="str">
            <v/>
          </cell>
        </row>
        <row r="87">
          <cell r="A87" t="str">
            <v/>
          </cell>
        </row>
        <row r="88">
          <cell r="A88" t="str">
            <v/>
          </cell>
        </row>
        <row r="89">
          <cell r="A89" t="str">
            <v/>
          </cell>
        </row>
        <row r="90">
          <cell r="A90" t="str">
            <v/>
          </cell>
        </row>
        <row r="91">
          <cell r="A91" t="str">
            <v/>
          </cell>
        </row>
        <row r="92">
          <cell r="A92" t="str">
            <v/>
          </cell>
        </row>
        <row r="93">
          <cell r="A93" t="str">
            <v/>
          </cell>
        </row>
        <row r="94">
          <cell r="A94" t="str">
            <v/>
          </cell>
        </row>
        <row r="95">
          <cell r="A95" t="str">
            <v/>
          </cell>
        </row>
        <row r="96">
          <cell r="A96" t="str">
            <v/>
          </cell>
        </row>
        <row r="97">
          <cell r="A97" t="str">
            <v/>
          </cell>
        </row>
        <row r="98">
          <cell r="A98" t="str">
            <v/>
          </cell>
        </row>
        <row r="99">
          <cell r="A99" t="str">
            <v/>
          </cell>
        </row>
        <row r="100">
          <cell r="A100" t="str">
            <v/>
          </cell>
        </row>
        <row r="101">
          <cell r="A101" t="str">
            <v/>
          </cell>
        </row>
      </sheetData>
      <sheetData sheetId="1"/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OUNT BASES"/>
      <sheetName val="DATA"/>
      <sheetName val="H11"/>
      <sheetName val="H2"/>
      <sheetName val="vehicle time table"/>
      <sheetName val="parts time table"/>
      <sheetName val="risk table-30.04.2002"/>
      <sheetName val="UNIT BASES"/>
      <sheetName val="Ref"/>
      <sheetName val="Köprü"/>
      <sheetName val="plan-gaz1"/>
      <sheetName val="TOT-FRA"/>
      <sheetName val="DepPar_Iscı"/>
      <sheetName val="DepPar_PostBası"/>
      <sheetName val="DepPar_SatMem"/>
      <sheetName val="DepPar_YonMem"/>
      <sheetName val="TRT FM"/>
      <sheetName val="INDIRIM"/>
      <sheetName val="vehicle_time_table"/>
      <sheetName val="parts_time_table"/>
      <sheetName val="risk_table-30_04_2002"/>
      <sheetName val="AMOUNT_BASES"/>
      <sheetName val="UNIT_BASES"/>
      <sheetName val="Kategoriler"/>
      <sheetName val="hl"/>
      <sheetName val="Pazarlama"/>
    </sheetNames>
    <sheetDataSet>
      <sheetData sheetId="0" refreshError="1">
        <row r="3">
          <cell r="B3" t="str">
            <v>ORTADOĞU OTOMOTİV TİCARET A.Ş.</v>
          </cell>
          <cell r="C3">
            <v>173686.49677999999</v>
          </cell>
          <cell r="D3">
            <v>83934.54578</v>
          </cell>
          <cell r="E3">
            <v>0</v>
          </cell>
          <cell r="F3">
            <v>0</v>
          </cell>
          <cell r="G3">
            <v>0</v>
          </cell>
          <cell r="H3">
            <v>257621.04256</v>
          </cell>
        </row>
        <row r="4">
          <cell r="B4" t="str">
            <v>EVSAN MOTORLU ARAÇLAR SAN. VE TİC. A.Ş.</v>
          </cell>
          <cell r="C4">
            <v>278580.20312000002</v>
          </cell>
          <cell r="D4">
            <v>730275.17150000005</v>
          </cell>
          <cell r="E4">
            <v>15741.531580000001</v>
          </cell>
          <cell r="F4">
            <v>342049.65006399999</v>
          </cell>
          <cell r="G4">
            <v>0</v>
          </cell>
          <cell r="H4">
            <v>1366646.556264</v>
          </cell>
        </row>
        <row r="5">
          <cell r="B5" t="str">
            <v>ANADOLU OTOMOTİV TİC. VE SAN. A.Ş.</v>
          </cell>
          <cell r="C5">
            <v>490562.517826</v>
          </cell>
          <cell r="D5">
            <v>670056.78397999995</v>
          </cell>
          <cell r="E5">
            <v>379429.66905999999</v>
          </cell>
          <cell r="F5">
            <v>204497.66036000001</v>
          </cell>
          <cell r="G5">
            <v>19256.323240000002</v>
          </cell>
          <cell r="H5">
            <v>1763802.954466</v>
          </cell>
        </row>
        <row r="6">
          <cell r="B6" t="str">
            <v>KIRMAK OTO TİCARET A.Ş.</v>
          </cell>
          <cell r="C6">
            <v>324030.08656000003</v>
          </cell>
          <cell r="D6">
            <v>92291.754180000004</v>
          </cell>
          <cell r="E6">
            <v>36201.279240000003</v>
          </cell>
          <cell r="F6">
            <v>17377.588599999999</v>
          </cell>
          <cell r="G6">
            <v>0</v>
          </cell>
          <cell r="H6">
            <v>469900.70857999998</v>
          </cell>
        </row>
        <row r="7">
          <cell r="B7" t="str">
            <v>ÖZAKINCI OTOMOTİV TİC. A.Ş.</v>
          </cell>
          <cell r="C7">
            <v>77710.150980000006</v>
          </cell>
          <cell r="D7">
            <v>137540.86567999999</v>
          </cell>
          <cell r="E7">
            <v>30425.426800000001</v>
          </cell>
          <cell r="F7">
            <v>30980.812679999999</v>
          </cell>
          <cell r="G7">
            <v>0</v>
          </cell>
          <cell r="H7">
            <v>276657.25614000001</v>
          </cell>
        </row>
        <row r="8">
          <cell r="B8" t="str">
            <v>GOTAŞ GEBZE OTO TİC. A.Ş.</v>
          </cell>
          <cell r="C8">
            <v>213289.67462000001</v>
          </cell>
          <cell r="D8">
            <v>316176.62666000001</v>
          </cell>
          <cell r="E8">
            <v>158498.5735</v>
          </cell>
          <cell r="F8">
            <v>0</v>
          </cell>
          <cell r="G8">
            <v>0</v>
          </cell>
          <cell r="H8">
            <v>687964.87477999995</v>
          </cell>
        </row>
        <row r="9">
          <cell r="B9" t="str">
            <v>FIRAT OTO TİC. VE SAN. A.Ş.</v>
          </cell>
          <cell r="C9">
            <v>517644.87897999998</v>
          </cell>
          <cell r="D9">
            <v>436258.16658000002</v>
          </cell>
          <cell r="E9">
            <v>54795.332340000001</v>
          </cell>
          <cell r="F9">
            <v>305819.58992</v>
          </cell>
          <cell r="G9">
            <v>0</v>
          </cell>
          <cell r="H9">
            <v>1314517.9678199999</v>
          </cell>
        </row>
        <row r="10">
          <cell r="B10" t="str">
            <v>SAMTAŞ SAKALLIOĞLU MAKİNA SAN. VE TİC. A.Ş.</v>
          </cell>
          <cell r="C10">
            <v>141133.50026</v>
          </cell>
          <cell r="D10">
            <v>99644.493480000005</v>
          </cell>
          <cell r="E10">
            <v>0</v>
          </cell>
          <cell r="F10">
            <v>0</v>
          </cell>
          <cell r="G10">
            <v>0</v>
          </cell>
          <cell r="H10">
            <v>240777.99374000001</v>
          </cell>
        </row>
        <row r="11">
          <cell r="B11" t="str">
            <v>GÜNPAŞ OTOMOTİV SAN. VE TAR. ÜRÜN.ÜRET. VE PAZ. A.Ş.</v>
          </cell>
          <cell r="C11">
            <v>78714.635980000006</v>
          </cell>
          <cell r="D11">
            <v>46427.707340000001</v>
          </cell>
          <cell r="E11">
            <v>0</v>
          </cell>
          <cell r="F11">
            <v>56261.253040000003</v>
          </cell>
          <cell r="G11">
            <v>0</v>
          </cell>
          <cell r="H11">
            <v>181403.59636</v>
          </cell>
        </row>
        <row r="12">
          <cell r="B12" t="str">
            <v>ÖGE OTOMOTİV VE PETROL ÜRÜNLERİ TİCARET A.Ş.</v>
          </cell>
          <cell r="C12">
            <v>46062.176579999999</v>
          </cell>
          <cell r="D12">
            <v>29753.2752</v>
          </cell>
          <cell r="E12">
            <v>0</v>
          </cell>
          <cell r="F12">
            <v>58781.990279999998</v>
          </cell>
          <cell r="G12">
            <v>0</v>
          </cell>
          <cell r="H12">
            <v>134597.44206</v>
          </cell>
        </row>
        <row r="13">
          <cell r="B13" t="str">
            <v>BEYKAR OTOMOTİV PETROL ÜRÜN. SAN. VE TİC. LTD. ŞTİ.</v>
          </cell>
          <cell r="C13">
            <v>150638.15917999999</v>
          </cell>
          <cell r="D13">
            <v>355694.53315999999</v>
          </cell>
          <cell r="E13">
            <v>0</v>
          </cell>
          <cell r="F13">
            <v>0</v>
          </cell>
          <cell r="G13">
            <v>0</v>
          </cell>
          <cell r="H13">
            <v>506332.69234000001</v>
          </cell>
        </row>
        <row r="14">
          <cell r="B14" t="str">
            <v>KARAHALLILAR VELİ YOLCU M.YAVUZ VE ORT. KOLL. ŞTİ.</v>
          </cell>
          <cell r="C14">
            <v>227575.64767999999</v>
          </cell>
          <cell r="D14">
            <v>265018.19266</v>
          </cell>
          <cell r="E14">
            <v>31151.765179999999</v>
          </cell>
          <cell r="F14">
            <v>0</v>
          </cell>
          <cell r="G14">
            <v>0</v>
          </cell>
          <cell r="H14">
            <v>523745.60551999998</v>
          </cell>
        </row>
        <row r="15">
          <cell r="B15" t="str">
            <v>KADIOĞLU OTOMOBİLCİLİK TİC. A.Ş.</v>
          </cell>
          <cell r="C15">
            <v>74486.436279999994</v>
          </cell>
          <cell r="D15">
            <v>36730.784540000001</v>
          </cell>
          <cell r="E15">
            <v>0</v>
          </cell>
          <cell r="F15">
            <v>0</v>
          </cell>
          <cell r="G15">
            <v>0</v>
          </cell>
          <cell r="H15">
            <v>111217.22082</v>
          </cell>
        </row>
        <row r="16">
          <cell r="B16" t="str">
            <v>GÖKHANLAR OTO TİC. LTD. ŞTİ.</v>
          </cell>
          <cell r="C16">
            <v>77686.944300000003</v>
          </cell>
          <cell r="D16">
            <v>84352.023879999993</v>
          </cell>
          <cell r="E16">
            <v>0</v>
          </cell>
          <cell r="F16">
            <v>63767.326260000002</v>
          </cell>
          <cell r="G16">
            <v>0</v>
          </cell>
          <cell r="H16">
            <v>225806.29444</v>
          </cell>
        </row>
        <row r="17">
          <cell r="B17" t="str">
            <v>BOZÜYÜK OTOMOTİV SAN. VE TİC. A.Ş.</v>
          </cell>
          <cell r="C17">
            <v>45396.003700000001</v>
          </cell>
          <cell r="D17">
            <v>126702.42802000001</v>
          </cell>
          <cell r="E17">
            <v>0</v>
          </cell>
          <cell r="F17">
            <v>144662.20629999999</v>
          </cell>
          <cell r="G17">
            <v>38070.142740000003</v>
          </cell>
          <cell r="H17">
            <v>354830.78075999999</v>
          </cell>
        </row>
        <row r="18">
          <cell r="B18" t="str">
            <v>ÇAĞDAŞ OTOMOTİV SAN. VE TİC. A.Ş.</v>
          </cell>
          <cell r="C18">
            <v>56139.224399999999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56139.224399999999</v>
          </cell>
        </row>
        <row r="19">
          <cell r="B19" t="str">
            <v>KELEŞSAN KELEŞLER OTOMOTİV SAN. VE TİC. A.Ş.</v>
          </cell>
          <cell r="C19">
            <v>140701.71343999999</v>
          </cell>
          <cell r="D19">
            <v>66828.204960000003</v>
          </cell>
          <cell r="E19">
            <v>0</v>
          </cell>
          <cell r="F19">
            <v>0</v>
          </cell>
          <cell r="G19">
            <v>0</v>
          </cell>
          <cell r="H19">
            <v>207529.9184</v>
          </cell>
        </row>
        <row r="20">
          <cell r="B20" t="str">
            <v>KASAPOĞLU KOLL. ŞTİ. ORHAN VE KAMURAN KASAPOĞLU</v>
          </cell>
          <cell r="C20">
            <v>85419.1109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85419.1109</v>
          </cell>
        </row>
        <row r="21">
          <cell r="B21" t="str">
            <v>KARMOT KARABÜK MOTORLU VASITALAR TİC. LTD. ŞTİ.</v>
          </cell>
          <cell r="C21">
            <v>37346.058539999998</v>
          </cell>
          <cell r="D21">
            <v>91705.181719999993</v>
          </cell>
          <cell r="E21">
            <v>0</v>
          </cell>
          <cell r="F21">
            <v>0</v>
          </cell>
          <cell r="G21">
            <v>0</v>
          </cell>
          <cell r="H21">
            <v>129051.24026000001</v>
          </cell>
        </row>
        <row r="22">
          <cell r="B22" t="str">
            <v>KARATAŞ OTOMOTİV SAN. VE TİC. A.Ş.</v>
          </cell>
          <cell r="C22">
            <v>234913.46223999999</v>
          </cell>
          <cell r="D22">
            <v>64744.799319999998</v>
          </cell>
          <cell r="E22">
            <v>15739.92088</v>
          </cell>
          <cell r="F22">
            <v>0</v>
          </cell>
          <cell r="G22">
            <v>0</v>
          </cell>
          <cell r="H22">
            <v>315398.18244</v>
          </cell>
        </row>
        <row r="23">
          <cell r="B23" t="str">
            <v>ARİF BAŞAR OĞULLARI KOLL. ŞTİ.</v>
          </cell>
          <cell r="C23">
            <v>41243.377139999997</v>
          </cell>
          <cell r="D23">
            <v>48085.25806</v>
          </cell>
          <cell r="E23">
            <v>0</v>
          </cell>
          <cell r="F23">
            <v>0</v>
          </cell>
          <cell r="G23">
            <v>0</v>
          </cell>
          <cell r="H23">
            <v>89328.635200000004</v>
          </cell>
        </row>
        <row r="24">
          <cell r="B24" t="str">
            <v>OTO AK KOLL. ŞTİ. OSMAN METİN AKMEHMET VE ORT.</v>
          </cell>
          <cell r="C24">
            <v>43271.294220000003</v>
          </cell>
          <cell r="D24">
            <v>16217.41142</v>
          </cell>
          <cell r="E24">
            <v>0</v>
          </cell>
          <cell r="F24">
            <v>0</v>
          </cell>
          <cell r="G24">
            <v>0</v>
          </cell>
          <cell r="H24">
            <v>59488.70564</v>
          </cell>
        </row>
        <row r="25">
          <cell r="B25" t="str">
            <v>OSMAN FERİDUNOĞLU</v>
          </cell>
          <cell r="C25">
            <v>48230.769619999999</v>
          </cell>
          <cell r="D25">
            <v>61539.990720000002</v>
          </cell>
          <cell r="E25">
            <v>13708.3905</v>
          </cell>
          <cell r="F25">
            <v>40320.633040000001</v>
          </cell>
          <cell r="G25">
            <v>0</v>
          </cell>
          <cell r="H25">
            <v>163799.78388</v>
          </cell>
        </row>
        <row r="26">
          <cell r="B26" t="str">
            <v>KAYIKÇIOĞLU OTO TİCARET A.Ş.</v>
          </cell>
          <cell r="C26">
            <v>45546.414479999999</v>
          </cell>
          <cell r="D26">
            <v>36595.075400000002</v>
          </cell>
          <cell r="E26">
            <v>0</v>
          </cell>
          <cell r="F26">
            <v>0</v>
          </cell>
          <cell r="G26">
            <v>0</v>
          </cell>
          <cell r="H26">
            <v>82141.489879999994</v>
          </cell>
        </row>
        <row r="27">
          <cell r="B27" t="str">
            <v>ENRİKO ALİBERTİ OTOMOBİLCİLİK TİC. VE SAN. A.Ş.</v>
          </cell>
          <cell r="C27">
            <v>747191.72303999995</v>
          </cell>
          <cell r="D27">
            <v>837102.79189999995</v>
          </cell>
          <cell r="E27">
            <v>284280.73430000001</v>
          </cell>
          <cell r="F27">
            <v>0</v>
          </cell>
          <cell r="G27">
            <v>298990.03513999999</v>
          </cell>
          <cell r="H27">
            <v>2167565.2843800001</v>
          </cell>
        </row>
        <row r="28">
          <cell r="B28" t="str">
            <v>ŞENDİL OTOMOTİV TİCARET VE SAN. LTD. ŞTİ.</v>
          </cell>
          <cell r="C28">
            <v>96137.866720000005</v>
          </cell>
          <cell r="D28">
            <v>164353.67567999999</v>
          </cell>
          <cell r="E28">
            <v>0</v>
          </cell>
          <cell r="F28">
            <v>0</v>
          </cell>
          <cell r="G28">
            <v>0</v>
          </cell>
          <cell r="H28">
            <v>260491.54240000001</v>
          </cell>
        </row>
        <row r="29">
          <cell r="B29" t="str">
            <v>HORZUMOĞLU OTOMOTİV TİC. VE SAN. LTD. ŞTİ.</v>
          </cell>
          <cell r="C29">
            <v>79652.229300000006</v>
          </cell>
          <cell r="D29">
            <v>115567.43408000001</v>
          </cell>
          <cell r="E29">
            <v>15318.710440000001</v>
          </cell>
          <cell r="F29">
            <v>31432.570960000001</v>
          </cell>
          <cell r="G29">
            <v>0</v>
          </cell>
          <cell r="H29">
            <v>241970.94477999999</v>
          </cell>
        </row>
        <row r="30">
          <cell r="B30" t="str">
            <v>2000 MOTORLU TAŞITLAR TİC. VE SAN. A.Ş.</v>
          </cell>
          <cell r="C30">
            <v>113439.72674</v>
          </cell>
          <cell r="D30">
            <v>14982.68302</v>
          </cell>
          <cell r="E30">
            <v>0</v>
          </cell>
          <cell r="F30">
            <v>0</v>
          </cell>
          <cell r="G30">
            <v>0</v>
          </cell>
          <cell r="H30">
            <v>128422.40976</v>
          </cell>
        </row>
        <row r="31">
          <cell r="B31" t="str">
            <v>BİNLİK MOTORLU ARAÇLAR SANAYİ VE TİC. A.Ş.</v>
          </cell>
          <cell r="C31">
            <v>103191.92478</v>
          </cell>
          <cell r="D31">
            <v>49116.468679999998</v>
          </cell>
          <cell r="E31">
            <v>0</v>
          </cell>
          <cell r="F31">
            <v>0</v>
          </cell>
          <cell r="G31">
            <v>0</v>
          </cell>
          <cell r="H31">
            <v>152308.39345999999</v>
          </cell>
        </row>
        <row r="32">
          <cell r="B32" t="str">
            <v>ÖZKARDEŞ MOTOR TİCARET VE SANAYİ A.Ş.</v>
          </cell>
          <cell r="C32">
            <v>187843.82274</v>
          </cell>
          <cell r="D32">
            <v>193633.49530000001</v>
          </cell>
          <cell r="E32">
            <v>65191.646439999997</v>
          </cell>
          <cell r="F32">
            <v>0</v>
          </cell>
          <cell r="G32">
            <v>0</v>
          </cell>
          <cell r="H32">
            <v>446668.96448000002</v>
          </cell>
        </row>
        <row r="33">
          <cell r="B33" t="str">
            <v>OTO TAY İÇ VE DIŞ PAZARLAMA MADEN SAN. VE TİC. A.Ş.</v>
          </cell>
          <cell r="C33">
            <v>115533.71528</v>
          </cell>
          <cell r="D33">
            <v>68175.835179999995</v>
          </cell>
          <cell r="E33">
            <v>33358.56106</v>
          </cell>
          <cell r="F33">
            <v>0</v>
          </cell>
          <cell r="G33">
            <v>0</v>
          </cell>
          <cell r="H33">
            <v>217068.11152000001</v>
          </cell>
        </row>
        <row r="34">
          <cell r="B34" t="str">
            <v>TURMAK TURİZM TİC. VE SAN. LTD. ŞTİ.</v>
          </cell>
          <cell r="C34">
            <v>201750.05152000001</v>
          </cell>
          <cell r="D34">
            <v>104527.86294000001</v>
          </cell>
          <cell r="E34">
            <v>0</v>
          </cell>
          <cell r="F34">
            <v>0</v>
          </cell>
          <cell r="G34">
            <v>0</v>
          </cell>
          <cell r="H34">
            <v>306277.91446</v>
          </cell>
        </row>
        <row r="35">
          <cell r="B35" t="str">
            <v>AKHANLAR OTOMOTİV SANAYİ VE TİC. A.Ş.</v>
          </cell>
          <cell r="C35">
            <v>174139.37297999999</v>
          </cell>
          <cell r="D35">
            <v>117684.57958000001</v>
          </cell>
          <cell r="E35">
            <v>0</v>
          </cell>
          <cell r="F35">
            <v>0</v>
          </cell>
          <cell r="G35">
            <v>0</v>
          </cell>
          <cell r="H35">
            <v>291823.95256000001</v>
          </cell>
        </row>
        <row r="36">
          <cell r="B36" t="str">
            <v>TANVER MOTORLU ARAÇLAR TİCARET VE SANAYİ A.Ş.</v>
          </cell>
          <cell r="C36">
            <v>143873.42872</v>
          </cell>
          <cell r="D36">
            <v>243732.31049999999</v>
          </cell>
          <cell r="E36">
            <v>46468.863740000001</v>
          </cell>
          <cell r="F36">
            <v>0</v>
          </cell>
          <cell r="G36">
            <v>0</v>
          </cell>
          <cell r="H36">
            <v>434074.60295999999</v>
          </cell>
        </row>
        <row r="37">
          <cell r="B37" t="str">
            <v>ENERJİ OTOMOTİV TİC. VE SAN. A.Ş.</v>
          </cell>
          <cell r="C37">
            <v>0</v>
          </cell>
          <cell r="D37">
            <v>63892.886760000001</v>
          </cell>
          <cell r="E37">
            <v>0</v>
          </cell>
          <cell r="F37">
            <v>12812.6937</v>
          </cell>
          <cell r="G37">
            <v>10465.363439999999</v>
          </cell>
          <cell r="H37">
            <v>87170.943899999998</v>
          </cell>
        </row>
        <row r="38">
          <cell r="B38" t="str">
            <v>BORANLAR İNŞAAT TİC. LTD. ŞTİ.</v>
          </cell>
          <cell r="C38">
            <v>249105.42095999999</v>
          </cell>
          <cell r="D38">
            <v>146668.03547999999</v>
          </cell>
          <cell r="E38">
            <v>44279.264000000003</v>
          </cell>
          <cell r="F38">
            <v>0</v>
          </cell>
          <cell r="G38">
            <v>0</v>
          </cell>
          <cell r="H38">
            <v>440052.72044</v>
          </cell>
        </row>
        <row r="39">
          <cell r="B39" t="str">
            <v>ÖZARLAR OTOMOBİLCİLİK TİC. VE SAN. LTD. ŞTİ.</v>
          </cell>
          <cell r="C39">
            <v>220275.64188000001</v>
          </cell>
          <cell r="D39">
            <v>147367.66088000001</v>
          </cell>
          <cell r="E39">
            <v>58750.611720000001</v>
          </cell>
          <cell r="F39">
            <v>78937.788579999993</v>
          </cell>
          <cell r="G39">
            <v>71909.476989999996</v>
          </cell>
          <cell r="H39">
            <v>577241.18004999997</v>
          </cell>
        </row>
        <row r="40">
          <cell r="B40" t="str">
            <v>TOPÇUOĞLU OTOMOTİV SAN.VE TİC .A.Ş.</v>
          </cell>
          <cell r="C40">
            <v>293507.39882</v>
          </cell>
          <cell r="D40">
            <v>200645.95491999999</v>
          </cell>
          <cell r="E40">
            <v>0</v>
          </cell>
          <cell r="F40">
            <v>36427.350480000001</v>
          </cell>
          <cell r="G40">
            <v>0</v>
          </cell>
          <cell r="H40">
            <v>530580.70421999996</v>
          </cell>
        </row>
        <row r="41">
          <cell r="B41" t="str">
            <v>GÜNAY OTOMOTİV SAN. VE TİC. A.Ş.</v>
          </cell>
          <cell r="C41">
            <v>169858.46085999999</v>
          </cell>
          <cell r="D41">
            <v>70308.976639999993</v>
          </cell>
          <cell r="E41">
            <v>0</v>
          </cell>
          <cell r="F41">
            <v>0</v>
          </cell>
          <cell r="G41">
            <v>0</v>
          </cell>
          <cell r="H41">
            <v>240167.4375</v>
          </cell>
        </row>
        <row r="42">
          <cell r="B42" t="str">
            <v>OVALI OTOMOTİV VE TİC. LTD. ŞTİ.</v>
          </cell>
          <cell r="C42">
            <v>124627.40082</v>
          </cell>
          <cell r="D42">
            <v>114645.9152</v>
          </cell>
          <cell r="E42">
            <v>0</v>
          </cell>
          <cell r="F42">
            <v>0</v>
          </cell>
          <cell r="G42">
            <v>0</v>
          </cell>
          <cell r="H42">
            <v>239273.31602</v>
          </cell>
        </row>
        <row r="43">
          <cell r="B43" t="str">
            <v>ALPAY OTOM. VE PETROL ÜRÜNLERİ SAN. VE TİC. LTD. ŞTİ.</v>
          </cell>
          <cell r="C43">
            <v>62703.219599999997</v>
          </cell>
          <cell r="D43">
            <v>16217.41142</v>
          </cell>
          <cell r="E43">
            <v>0</v>
          </cell>
          <cell r="F43">
            <v>35396.44584</v>
          </cell>
          <cell r="G43">
            <v>0</v>
          </cell>
          <cell r="H43">
            <v>114317.07686</v>
          </cell>
        </row>
        <row r="44">
          <cell r="B44" t="str">
            <v>ÇEBAY KOLL. ŞTİ. ABDÜRRAHİM BADAY VE A. BADAY</v>
          </cell>
          <cell r="C44">
            <v>162703.92207999999</v>
          </cell>
          <cell r="D44">
            <v>0</v>
          </cell>
          <cell r="E44">
            <v>0</v>
          </cell>
          <cell r="F44">
            <v>12408.864659999999</v>
          </cell>
          <cell r="G44">
            <v>11660.670319999999</v>
          </cell>
          <cell r="H44">
            <v>186773.45705999999</v>
          </cell>
        </row>
        <row r="45">
          <cell r="B45" t="str">
            <v>METİNLER OTOMOTİV TİC. LTD. ŞTİ.</v>
          </cell>
          <cell r="C45">
            <v>96191.953540000002</v>
          </cell>
          <cell r="D45">
            <v>36684.972800000003</v>
          </cell>
          <cell r="E45">
            <v>0</v>
          </cell>
          <cell r="F45">
            <v>0</v>
          </cell>
          <cell r="G45">
            <v>0</v>
          </cell>
          <cell r="H45">
            <v>132876.92634000001</v>
          </cell>
        </row>
        <row r="46">
          <cell r="B46" t="str">
            <v>MAŞUK NAS   NAS TİCARET</v>
          </cell>
          <cell r="C46">
            <v>79086.362040000007</v>
          </cell>
          <cell r="D46">
            <v>18342.486400000002</v>
          </cell>
          <cell r="E46">
            <v>0</v>
          </cell>
          <cell r="F46">
            <v>0</v>
          </cell>
          <cell r="G46">
            <v>12463.1836</v>
          </cell>
          <cell r="H46">
            <v>109892.03204000001</v>
          </cell>
        </row>
        <row r="47">
          <cell r="B47" t="str">
            <v>KASIM TUĞMANER HALEFLERİ KOLL. ŞTİ.</v>
          </cell>
          <cell r="C47">
            <v>88639.166700000002</v>
          </cell>
          <cell r="D47">
            <v>52014.960319999998</v>
          </cell>
          <cell r="E47">
            <v>0</v>
          </cell>
          <cell r="F47">
            <v>46730.73878</v>
          </cell>
          <cell r="G47">
            <v>0</v>
          </cell>
          <cell r="H47">
            <v>187384.8658</v>
          </cell>
        </row>
        <row r="48">
          <cell r="B48" t="str">
            <v>CANSABUNCU OTOMOTİV PAZ. M. VE NAİF CANSABUNCU</v>
          </cell>
          <cell r="C48">
            <v>45228.686580000001</v>
          </cell>
          <cell r="D48">
            <v>18342.486400000002</v>
          </cell>
          <cell r="E48">
            <v>0</v>
          </cell>
          <cell r="F48">
            <v>0</v>
          </cell>
          <cell r="G48">
            <v>12463.1836</v>
          </cell>
          <cell r="H48">
            <v>76034.356580000007</v>
          </cell>
        </row>
        <row r="49">
          <cell r="B49" t="str">
            <v>ALAADDİN ÇATALTAŞ OTOMOTİV TİC. VE SAN. A.Ş.</v>
          </cell>
          <cell r="C49">
            <v>70919.73126</v>
          </cell>
          <cell r="D49">
            <v>33568.074780000003</v>
          </cell>
          <cell r="E49">
            <v>67798.949179999996</v>
          </cell>
          <cell r="F49">
            <v>0</v>
          </cell>
          <cell r="G49">
            <v>0</v>
          </cell>
          <cell r="H49">
            <v>172286.75521999999</v>
          </cell>
        </row>
        <row r="50">
          <cell r="B50" t="str">
            <v>ÖNCELLER OTO TİCARET SANAYİ A.Ş.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11626.753580000001</v>
          </cell>
          <cell r="H50">
            <v>11626.753580000001</v>
          </cell>
        </row>
        <row r="51">
          <cell r="B51" t="str">
            <v>OTO SABIR OTOMOTİV MATBACILIK AMBALAJ SAN. VE TİC. LTD. ŞTİ.</v>
          </cell>
          <cell r="C51">
            <v>86370.872380000001</v>
          </cell>
          <cell r="D51">
            <v>94137.995039999994</v>
          </cell>
          <cell r="E51">
            <v>0</v>
          </cell>
          <cell r="F51">
            <v>0</v>
          </cell>
          <cell r="G51">
            <v>0</v>
          </cell>
          <cell r="H51">
            <v>180508.86742</v>
          </cell>
        </row>
        <row r="52">
          <cell r="B52" t="str">
            <v>ÇİMENLER OTOMOTİV TİC. VE SAN. A.Ş.</v>
          </cell>
          <cell r="C52">
            <v>364728.26111999998</v>
          </cell>
          <cell r="D52">
            <v>77111.871920000005</v>
          </cell>
          <cell r="E52">
            <v>0</v>
          </cell>
          <cell r="F52">
            <v>0</v>
          </cell>
          <cell r="G52">
            <v>0</v>
          </cell>
          <cell r="H52">
            <v>441840.13303999999</v>
          </cell>
        </row>
        <row r="53">
          <cell r="B53" t="str">
            <v>KARACA SAN. VE TİC. LTD. ŞTİ.</v>
          </cell>
          <cell r="C53">
            <v>75237.221300000005</v>
          </cell>
          <cell r="D53">
            <v>59349.912479999999</v>
          </cell>
          <cell r="E53">
            <v>0</v>
          </cell>
          <cell r="F53">
            <v>71042.347080000007</v>
          </cell>
          <cell r="G53">
            <v>27022.59532</v>
          </cell>
          <cell r="H53">
            <v>232652.07618</v>
          </cell>
        </row>
        <row r="54">
          <cell r="B54" t="str">
            <v>MİLLER OTO TİC. VE SAN. A.Ş.</v>
          </cell>
          <cell r="C54">
            <v>221478.63118</v>
          </cell>
          <cell r="D54">
            <v>30906.316920000001</v>
          </cell>
          <cell r="E54">
            <v>42783.218699999998</v>
          </cell>
          <cell r="F54">
            <v>93468.741639999993</v>
          </cell>
          <cell r="G54">
            <v>0</v>
          </cell>
          <cell r="H54">
            <v>388636.90844000003</v>
          </cell>
        </row>
        <row r="55">
          <cell r="B55" t="str">
            <v>ERİM OTOMOTİV TİC. VE SAN. LTD. ŞTİ.</v>
          </cell>
          <cell r="C55">
            <v>0</v>
          </cell>
          <cell r="D55">
            <v>0</v>
          </cell>
          <cell r="E55">
            <v>15318.710440000001</v>
          </cell>
          <cell r="F55">
            <v>15157.4599</v>
          </cell>
          <cell r="G55">
            <v>0</v>
          </cell>
          <cell r="H55">
            <v>30476.170340000001</v>
          </cell>
        </row>
        <row r="56">
          <cell r="B56" t="str">
            <v>GÜRSOYLAR OTOMOTİV SANAYİ VE TİCARET A.Ş.</v>
          </cell>
          <cell r="C56">
            <v>165349.84486000001</v>
          </cell>
          <cell r="D56">
            <v>72753.043699999995</v>
          </cell>
          <cell r="E56">
            <v>0</v>
          </cell>
          <cell r="F56">
            <v>152305.90164</v>
          </cell>
          <cell r="G56">
            <v>0</v>
          </cell>
          <cell r="H56">
            <v>390408.79019999999</v>
          </cell>
        </row>
        <row r="57">
          <cell r="B57" t="str">
            <v>KADAİFÇİOĞLU PETROL VE OTOMOTİV TİCARET A.Ş.</v>
          </cell>
          <cell r="C57">
            <v>79285.382440000001</v>
          </cell>
          <cell r="D57">
            <v>50786.685519999999</v>
          </cell>
          <cell r="E57">
            <v>0</v>
          </cell>
          <cell r="F57">
            <v>0</v>
          </cell>
          <cell r="G57">
            <v>0</v>
          </cell>
          <cell r="H57">
            <v>130072.06796</v>
          </cell>
        </row>
        <row r="58">
          <cell r="B58" t="str">
            <v>AĞAOĞLU OTOMOTİV VE PETROL TİC.PAZARLAMA A.Ş.</v>
          </cell>
          <cell r="C58">
            <v>63324.594019999997</v>
          </cell>
          <cell r="D58">
            <v>17285.62412</v>
          </cell>
          <cell r="E58">
            <v>0</v>
          </cell>
          <cell r="F58">
            <v>0</v>
          </cell>
          <cell r="G58">
            <v>0</v>
          </cell>
          <cell r="H58">
            <v>80610.218139999997</v>
          </cell>
        </row>
        <row r="59">
          <cell r="B59" t="str">
            <v>ODABAŞI BAL OTOMOTİV PETROL SAN. VE TİC. A.Ş.</v>
          </cell>
          <cell r="C59">
            <v>108060.77280000001</v>
          </cell>
          <cell r="D59">
            <v>168594.69881999999</v>
          </cell>
          <cell r="E59">
            <v>79909.604139999996</v>
          </cell>
          <cell r="F59">
            <v>118636.31617999999</v>
          </cell>
          <cell r="G59">
            <v>63335.947419999997</v>
          </cell>
          <cell r="H59">
            <v>538537.33935999998</v>
          </cell>
        </row>
        <row r="60">
          <cell r="B60" t="str">
            <v>OTOMAT MOTORLU ARAÇLAR SAN. VE TİC. LTD. ŞTİ.</v>
          </cell>
          <cell r="C60">
            <v>279323.79264</v>
          </cell>
          <cell r="D60">
            <v>179280.53018</v>
          </cell>
          <cell r="E60">
            <v>0</v>
          </cell>
          <cell r="F60">
            <v>31398.473679999999</v>
          </cell>
          <cell r="G60">
            <v>0</v>
          </cell>
          <cell r="H60">
            <v>490002.7965</v>
          </cell>
        </row>
        <row r="61">
          <cell r="B61" t="str">
            <v>MALATYA OTO TİC. A.Ş.</v>
          </cell>
          <cell r="C61">
            <v>111202.65392</v>
          </cell>
          <cell r="D61">
            <v>268544.27492</v>
          </cell>
          <cell r="E61">
            <v>30863.586759999998</v>
          </cell>
          <cell r="F61">
            <v>125723.9614</v>
          </cell>
          <cell r="G61">
            <v>18374.267339999999</v>
          </cell>
          <cell r="H61">
            <v>554708.74433999998</v>
          </cell>
        </row>
        <row r="62">
          <cell r="B62" t="str">
            <v>GÖNÜL OTOMOTİV PETROL SAN. VE TİC. A.Ş.</v>
          </cell>
          <cell r="C62">
            <v>31899.30156</v>
          </cell>
          <cell r="D62">
            <v>18342.486400000002</v>
          </cell>
          <cell r="E62">
            <v>16427.749960000001</v>
          </cell>
          <cell r="F62">
            <v>12687.173559999999</v>
          </cell>
          <cell r="G62">
            <v>15495.098019999999</v>
          </cell>
          <cell r="H62">
            <v>94851.809500000003</v>
          </cell>
        </row>
        <row r="63">
          <cell r="B63" t="str">
            <v>TUNALAR MOTORLU ARAÇLAR TİC. LTD. ŞTİ.</v>
          </cell>
          <cell r="C63">
            <v>155568.01782000001</v>
          </cell>
          <cell r="D63">
            <v>41767.67626</v>
          </cell>
          <cell r="E63">
            <v>14261.072899999999</v>
          </cell>
          <cell r="F63">
            <v>0</v>
          </cell>
          <cell r="G63">
            <v>0</v>
          </cell>
          <cell r="H63">
            <v>211596.76697999999</v>
          </cell>
        </row>
        <row r="64">
          <cell r="B64" t="str">
            <v>ŞENGÜLLER OTOMOTİV SAN. VE TİC. A.Ş.</v>
          </cell>
          <cell r="C64">
            <v>256340.20019999999</v>
          </cell>
          <cell r="D64">
            <v>91130.826520000002</v>
          </cell>
          <cell r="E64">
            <v>0</v>
          </cell>
          <cell r="F64">
            <v>0</v>
          </cell>
          <cell r="G64">
            <v>0</v>
          </cell>
          <cell r="H64">
            <v>347471.02672000002</v>
          </cell>
        </row>
        <row r="65">
          <cell r="B65" t="str">
            <v>ERLER OTOMOTİV SAN VE TİC. LTD. ŞTİ.</v>
          </cell>
          <cell r="C65">
            <v>119391.46356</v>
          </cell>
          <cell r="D65">
            <v>51039.889920000001</v>
          </cell>
          <cell r="E65">
            <v>32209.401539999999</v>
          </cell>
          <cell r="F65">
            <v>160875.83218</v>
          </cell>
          <cell r="G65">
            <v>0</v>
          </cell>
          <cell r="H65">
            <v>363516.58720000001</v>
          </cell>
        </row>
        <row r="66">
          <cell r="B66" t="str">
            <v>ORHAN KAVAS OTOMOTİV SAN. VE TİC. LTD. ŞTİ.</v>
          </cell>
          <cell r="C66">
            <v>73078.322239999994</v>
          </cell>
          <cell r="D66">
            <v>64474.774259999998</v>
          </cell>
          <cell r="E66">
            <v>0</v>
          </cell>
          <cell r="F66">
            <v>0</v>
          </cell>
          <cell r="G66">
            <v>0</v>
          </cell>
          <cell r="H66">
            <v>137553.09650000001</v>
          </cell>
        </row>
        <row r="67">
          <cell r="B67" t="str">
            <v>YILMAZ ŞENER OTOMOTİV SERVİS VE AKARYAKIT TİC. A.Ş.</v>
          </cell>
          <cell r="C67">
            <v>73693.201539999995</v>
          </cell>
          <cell r="D67">
            <v>90237.498980000004</v>
          </cell>
          <cell r="E67">
            <v>0</v>
          </cell>
          <cell r="F67">
            <v>32031.302960000001</v>
          </cell>
          <cell r="G67">
            <v>0</v>
          </cell>
          <cell r="H67">
            <v>195962.00348000001</v>
          </cell>
        </row>
        <row r="68">
          <cell r="B68" t="str">
            <v>KOYUNCU AKARYAKIT OTOMOTIV TIC.SAN.A.Ş</v>
          </cell>
          <cell r="C68">
            <v>62608.594420000001</v>
          </cell>
          <cell r="D68">
            <v>154115.54564</v>
          </cell>
          <cell r="E68">
            <v>0</v>
          </cell>
          <cell r="F68">
            <v>0</v>
          </cell>
          <cell r="G68">
            <v>0</v>
          </cell>
          <cell r="H68">
            <v>216724.14006000001</v>
          </cell>
        </row>
        <row r="69">
          <cell r="B69" t="str">
            <v>ÜZÜMCÜOĞLU OTOMOTİV TİC.A.Ş.</v>
          </cell>
          <cell r="C69">
            <v>118681.77132</v>
          </cell>
          <cell r="D69">
            <v>163452.14978000001</v>
          </cell>
          <cell r="E69">
            <v>90316.342139999993</v>
          </cell>
          <cell r="F69">
            <v>0</v>
          </cell>
          <cell r="G69">
            <v>0</v>
          </cell>
          <cell r="H69">
            <v>372450.26324</v>
          </cell>
        </row>
        <row r="70">
          <cell r="B70" t="str">
            <v>BİRMOT KÜÇÜKYALI/İSTANBUL</v>
          </cell>
          <cell r="C70">
            <v>656339.89665999997</v>
          </cell>
          <cell r="D70">
            <v>1017508.49732</v>
          </cell>
          <cell r="E70">
            <v>137216.48527999999</v>
          </cell>
          <cell r="F70">
            <v>0</v>
          </cell>
          <cell r="G70">
            <v>0</v>
          </cell>
          <cell r="H70">
            <v>1811064.8792600001</v>
          </cell>
        </row>
        <row r="71">
          <cell r="B71" t="str">
            <v>BİRMOT-ZİNCİRLİKUYU/İSTANBUL</v>
          </cell>
          <cell r="C71">
            <v>1479921.41716</v>
          </cell>
          <cell r="D71">
            <v>1188208.6362000001</v>
          </cell>
          <cell r="E71">
            <v>363749.72428000002</v>
          </cell>
          <cell r="F71">
            <v>0</v>
          </cell>
          <cell r="G71">
            <v>173635.23996000001</v>
          </cell>
          <cell r="H71">
            <v>3205515.0175999999</v>
          </cell>
        </row>
        <row r="72">
          <cell r="B72" t="str">
            <v>BİRMOT-BEYLİKDÜZÜ/İSTANBUL</v>
          </cell>
          <cell r="C72">
            <v>1870075.91882</v>
          </cell>
          <cell r="D72">
            <v>1716001.58354</v>
          </cell>
          <cell r="E72">
            <v>72597.308780000007</v>
          </cell>
          <cell r="F72">
            <v>54056.57172</v>
          </cell>
          <cell r="G72">
            <v>289264.72972</v>
          </cell>
          <cell r="H72">
            <v>4001996.11258</v>
          </cell>
        </row>
        <row r="73">
          <cell r="B73" t="str">
            <v>BİRMOT-ÇANKAYA/ANKARA</v>
          </cell>
          <cell r="C73">
            <v>1379354.4680999999</v>
          </cell>
          <cell r="D73">
            <v>1196592.2907</v>
          </cell>
          <cell r="E73">
            <v>30609.202359999999</v>
          </cell>
          <cell r="F73">
            <v>0</v>
          </cell>
          <cell r="G73">
            <v>0</v>
          </cell>
          <cell r="H73">
            <v>2606555.9611599999</v>
          </cell>
        </row>
        <row r="74">
          <cell r="B74" t="str">
            <v>BİRMOT-YENİMAHALLE/ANKARA</v>
          </cell>
          <cell r="C74">
            <v>1252665.7441199999</v>
          </cell>
          <cell r="D74">
            <v>764550.49445999996</v>
          </cell>
          <cell r="E74">
            <v>0</v>
          </cell>
          <cell r="F74">
            <v>0</v>
          </cell>
          <cell r="G74">
            <v>0</v>
          </cell>
          <cell r="H74">
            <v>2017216.2385799999</v>
          </cell>
        </row>
        <row r="75">
          <cell r="B75" t="str">
            <v>BİRMOT/BURSA</v>
          </cell>
          <cell r="C75">
            <v>628331.83525999996</v>
          </cell>
          <cell r="D75">
            <v>368106.23051999998</v>
          </cell>
          <cell r="E75">
            <v>0</v>
          </cell>
          <cell r="F75">
            <v>0</v>
          </cell>
          <cell r="G75">
            <v>0</v>
          </cell>
          <cell r="H75">
            <v>996438.06577999995</v>
          </cell>
        </row>
        <row r="76">
          <cell r="B76" t="str">
            <v>BİRMOT/İZMİR</v>
          </cell>
          <cell r="C76">
            <v>381457.55508000002</v>
          </cell>
          <cell r="D76">
            <v>753704.23763999995</v>
          </cell>
          <cell r="E76">
            <v>79243.550180000006</v>
          </cell>
          <cell r="F76">
            <v>0</v>
          </cell>
          <cell r="G76">
            <v>0</v>
          </cell>
          <cell r="H76">
            <v>1214405.3429</v>
          </cell>
        </row>
        <row r="77">
          <cell r="B77" t="str">
            <v>BİRMOT/ANTALYA</v>
          </cell>
          <cell r="C77">
            <v>649415.34242</v>
          </cell>
          <cell r="D77">
            <v>375569.57630000002</v>
          </cell>
          <cell r="E77">
            <v>19445.16042</v>
          </cell>
          <cell r="F77">
            <v>406886.35155999998</v>
          </cell>
          <cell r="G77">
            <v>208465.33366</v>
          </cell>
          <cell r="H77">
            <v>1659781.7643599999</v>
          </cell>
        </row>
        <row r="78">
          <cell r="B78" t="str">
            <v>BİRMOT/ESKİŞEHİR</v>
          </cell>
          <cell r="C78">
            <v>196809.23645999999</v>
          </cell>
          <cell r="D78">
            <v>145386.98168</v>
          </cell>
          <cell r="E78">
            <v>0</v>
          </cell>
          <cell r="F78">
            <v>0</v>
          </cell>
          <cell r="G78">
            <v>0</v>
          </cell>
          <cell r="H78">
            <v>342196.21814000001</v>
          </cell>
        </row>
        <row r="79">
          <cell r="B79" t="str">
            <v>BİRMOT/SAMSUN</v>
          </cell>
          <cell r="C79">
            <v>225169.10834000001</v>
          </cell>
          <cell r="D79">
            <v>196122.81632000001</v>
          </cell>
          <cell r="E79">
            <v>0</v>
          </cell>
          <cell r="F79">
            <v>0</v>
          </cell>
          <cell r="G79">
            <v>0</v>
          </cell>
          <cell r="H79">
            <v>421291.92466000002</v>
          </cell>
        </row>
        <row r="80">
          <cell r="B80" t="str">
            <v>BİRMOT/ADANA</v>
          </cell>
          <cell r="C80">
            <v>451407.43930000003</v>
          </cell>
          <cell r="D80">
            <v>426186.11404000001</v>
          </cell>
          <cell r="E80">
            <v>0</v>
          </cell>
          <cell r="F80">
            <v>0</v>
          </cell>
          <cell r="G80">
            <v>0</v>
          </cell>
          <cell r="H80">
            <v>877593.55333999998</v>
          </cell>
        </row>
        <row r="81">
          <cell r="B81" t="str">
            <v>PAŞALI OTOMOTİV PAZ. VE TİC. LTD. ŞTİ.</v>
          </cell>
          <cell r="C81">
            <v>175583.33006000001</v>
          </cell>
          <cell r="D81">
            <v>149745.38424000001</v>
          </cell>
          <cell r="E81">
            <v>0</v>
          </cell>
          <cell r="F81">
            <v>0</v>
          </cell>
          <cell r="G81">
            <v>0</v>
          </cell>
          <cell r="H81">
            <v>325328.71429999999</v>
          </cell>
        </row>
      </sheetData>
      <sheetData sheetId="1">
        <row r="3">
          <cell r="B3" t="str">
            <v>ORTADOĞU OTOMOTİV TİCARET A.Ş.</v>
          </cell>
        </row>
      </sheetData>
      <sheetData sheetId="2">
        <row r="3">
          <cell r="B3" t="str">
            <v>ORTADOĞU OTOMOTİV TİCARET A.Ş.</v>
          </cell>
        </row>
      </sheetData>
      <sheetData sheetId="3">
        <row r="3">
          <cell r="B3" t="str">
            <v>ORTADOĞU OTOMOTİV TİCARET A.Ş.</v>
          </cell>
        </row>
      </sheetData>
      <sheetData sheetId="4">
        <row r="3">
          <cell r="B3" t="str">
            <v>ORTADOĞU OTOMOTİV TİCARET A.Ş.</v>
          </cell>
        </row>
      </sheetData>
      <sheetData sheetId="5">
        <row r="3">
          <cell r="B3" t="str">
            <v>ORTADOĞU OTOMOTİV TİCARET A.Ş.</v>
          </cell>
        </row>
      </sheetData>
      <sheetData sheetId="6">
        <row r="3">
          <cell r="B3" t="str">
            <v>ORTADOĞU OTOMOTİV TİCARET A.Ş.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3">
          <cell r="B3" t="str">
            <v>ORTADOĞU OTOMOTİV TİCARET A.Ş.</v>
          </cell>
        </row>
      </sheetData>
      <sheetData sheetId="19">
        <row r="3">
          <cell r="B3" t="str">
            <v>ORTADOĞU OTOMOTİV TİCARET A.Ş.</v>
          </cell>
        </row>
      </sheetData>
      <sheetData sheetId="20">
        <row r="3">
          <cell r="B3" t="str">
            <v>ORTADOĞU OTOMOTİV TİCARET A.Ş.</v>
          </cell>
        </row>
      </sheetData>
      <sheetData sheetId="21">
        <row r="3">
          <cell r="B3" t="str">
            <v>ORTADOĞU OTOMOTİV TİCARET A.Ş.</v>
          </cell>
        </row>
      </sheetData>
      <sheetData sheetId="22"/>
      <sheetData sheetId="23" refreshError="1"/>
      <sheetData sheetId="24" refreshError="1"/>
      <sheetData sheetId="25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L"/>
      <sheetName val="BOLGE AY BAZINDA "/>
      <sheetName val="BOLGE"/>
      <sheetName val="Sheet1 "/>
      <sheetName val="GENEL"/>
      <sheetName val="FIYAT KOLI"/>
      <sheetName val="ÖZETGENEL KOLI"/>
      <sheetName val="FIYAT ESKI"/>
      <sheetName val="FIYAT KOLI $"/>
      <sheetName val="ÖZETGENEL KOLI ($)"/>
      <sheetName val="AMOUNT BASES"/>
      <sheetName val="plan-gaz1"/>
      <sheetName val="2002 BIRA BUTCE 1900000HL"/>
      <sheetName val="Köprü"/>
      <sheetName val="TRT FM"/>
      <sheetName val="BOLGE_AY_BAZINDA_"/>
      <sheetName val="Sheet1_"/>
      <sheetName val="FIYAT_KOLI"/>
      <sheetName val="ÖZETGENEL_KOLI"/>
      <sheetName val="FIYAT_ESKI"/>
      <sheetName val="FIYAT_KOLI_$"/>
      <sheetName val="ÖZETGENEL_KOLI_($)"/>
      <sheetName val="AMOUNT_BASES"/>
      <sheetName val="2002_BIRA_BUTCE_1900000HL"/>
      <sheetName val="TRT_FM"/>
      <sheetName val="kicker und TO"/>
      <sheetName val="BOLGE_AY_BAZINDA_1"/>
      <sheetName val="Sheet1_1"/>
      <sheetName val="FIYAT_KOLI1"/>
      <sheetName val="ÖZETGENEL_KOLI1"/>
      <sheetName val="FIYAT_ESKI1"/>
      <sheetName val="FIYAT_KOLI_$1"/>
      <sheetName val="ÖZETGENEL_KOLI_($)1"/>
      <sheetName val="AMOUNT_BASES1"/>
      <sheetName val="2002_BIRA_BUTCE_1900000HL1"/>
      <sheetName val="TRT_FM1"/>
      <sheetName val="kicker_und_TO"/>
      <sheetName val="DepPar_Iscı"/>
      <sheetName val="DepPar_PostBası"/>
      <sheetName val="DepPar_SatMem"/>
      <sheetName val="DepPar_YonMem"/>
      <sheetName val="Dropdown_Lists"/>
      <sheetName val="TV spot_supplier"/>
      <sheetName val="Print-forms"/>
      <sheetName val="Foglio1"/>
      <sheetName val="Makro1"/>
      <sheetName val="Sayfa2"/>
      <sheetName val="Kategoriler"/>
      <sheetName val="XLRpt_TempSheet"/>
      <sheetName val="Ref"/>
      <sheetName val="INDIRI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L"/>
      <sheetName val="BURSA AMB-SON"/>
      <sheetName val="KADIKOY AMB-SON"/>
      <sheetName val="AMBALAJ BAZINDA %"/>
      <sheetName val="K-B-AY AMB-SON"/>
      <sheetName val="K-B  AY AMB-3"/>
      <sheetName val="K-B YIL AMB-2"/>
      <sheetName val="K-B AY-YIL-1"/>
      <sheetName val="GENEL"/>
      <sheetName val="BÖLGEAYLAR"/>
      <sheetName val="GENELAYLAR"/>
      <sheetName val="BÖLGELER-MARKA (3)"/>
      <sheetName val="BÖLGELER"/>
      <sheetName val="BÖLGELER-MARKA"/>
      <sheetName val="FARK DOSYASI"/>
      <sheetName val="Sheet3"/>
      <sheetName val="Kategoriler"/>
      <sheetName val="Resource-Strings"/>
      <sheetName val="Sayfa4"/>
      <sheetName val="kanal data"/>
      <sheetName val="BALANCE SHEET"/>
      <sheetName val="REST. OF OTH.ASSETS"/>
      <sheetName val="İndirimler ve Tanımlar"/>
      <sheetName val="Plan"/>
      <sheetName val="Ayarlar"/>
      <sheetName val="GRP"/>
      <sheetName val="Programlar"/>
      <sheetName val="kuşak data"/>
      <sheetName val="BURSA_AMB-SON"/>
      <sheetName val="KADIKOY_AMB-SON"/>
      <sheetName val="AMBALAJ_BAZINDA_%"/>
      <sheetName val="K-B-AY_AMB-SON"/>
      <sheetName val="K-B__AY_AMB-3"/>
      <sheetName val="K-B_YIL_AMB-2"/>
      <sheetName val="K-B_AY-YIL-1"/>
      <sheetName val="BÖLGELER-MARKA_(3)"/>
      <sheetName val="FARK_DOSYASI"/>
      <sheetName val="kanal_data"/>
      <sheetName val="BALANCE_SHEET"/>
      <sheetName val="REST__OF_OTH_ASSETS"/>
      <sheetName val="İndirimler_ve_Tanımlar"/>
      <sheetName val="kuşak_data"/>
      <sheetName val="BURSA_AMB-SON1"/>
      <sheetName val="KADIKOY_AMB-SON1"/>
      <sheetName val="AMBALAJ_BAZINDA_%1"/>
      <sheetName val="K-B-AY_AMB-SON1"/>
      <sheetName val="K-B__AY_AMB-31"/>
      <sheetName val="K-B_YIL_AMB-21"/>
      <sheetName val="K-B_AY-YIL-11"/>
      <sheetName val="BÖLGELER-MARKA_(3)1"/>
      <sheetName val="FARK_DOSYASI1"/>
      <sheetName val="kanal_data1"/>
      <sheetName val="BALANCE_SHEET1"/>
      <sheetName val="REST__OF_OTH_ASSETS1"/>
      <sheetName val="İndirimler_ve_Tanımlar1"/>
      <sheetName val="kuşak_data1"/>
      <sheetName val="IMMATREN"/>
      <sheetName val="KADIKOY-BURSA 2001-2005 CALISMA"/>
      <sheetName val="plan-gaz1"/>
      <sheetName val="AMOUNT BASES"/>
      <sheetName val="Media Schedule"/>
      <sheetName val="Eki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  <sheetName val="Mevsim"/>
      <sheetName val="Reach"/>
      <sheetName val="ATV"/>
      <sheetName val="KAND"/>
      <sheetName val="TRT"/>
      <sheetName val="TGRT"/>
      <sheetName val="NTV"/>
      <sheetName val="CNBC-e"/>
      <sheetName val="KANAL Dok"/>
      <sheetName val="TRTok"/>
      <sheetName val="TGRTok"/>
      <sheetName val="KANAL7ok"/>
      <sheetName val="FLASHok"/>
      <sheetName val="Basketbol 2003"/>
      <sheetName val="CNNTÜRK"/>
      <sheetName val="TV8"/>
      <sheetName val="HABERTÜRK"/>
      <sheetName val="CINE5"/>
      <sheetName val="EGETV"/>
      <sheetName val="ULUSAL"/>
      <sheetName val="LİG TV"/>
      <sheetName val="KARIŞIK"/>
      <sheetName val="GERÇEK KARIŞIK"/>
      <sheetName val="ÖZET TABLO"/>
      <sheetName val="ÖDEME"/>
      <sheetName val="TRT FM"/>
      <sheetName val="tv spot list"/>
      <sheetName val="HL"/>
      <sheetName val="tv_spot_list"/>
      <sheetName val="tv_spot_list1"/>
      <sheetName val="KANAL_Dok"/>
      <sheetName val="Basketbol_2003"/>
      <sheetName val="LİG_TV"/>
      <sheetName val="GERÇEK_KARIŞIK"/>
      <sheetName val="ÖZET_TABLO"/>
      <sheetName val="TRT_FM"/>
      <sheetName val="tv_spot_list2"/>
      <sheetName val="KANAL_Dok1"/>
      <sheetName val="Basketbol_20031"/>
      <sheetName val="LİG_TV1"/>
      <sheetName val="GERÇEK_KARIŞIK1"/>
      <sheetName val="ÖZET_TABLO1"/>
      <sheetName val="TRT_FM1"/>
      <sheetName val="POProgramyedek"/>
    </sheetNames>
    <sheetDataSet>
      <sheetData sheetId="0">
        <row r="95">
          <cell r="A95" t="str">
            <v>K1</v>
          </cell>
          <cell r="B95">
            <v>20</v>
          </cell>
        </row>
        <row r="96">
          <cell r="A96" t="str">
            <v>K2</v>
          </cell>
          <cell r="B96">
            <v>30</v>
          </cell>
        </row>
        <row r="97">
          <cell r="A97" t="str">
            <v>K3</v>
          </cell>
          <cell r="B97">
            <v>40</v>
          </cell>
        </row>
        <row r="98">
          <cell r="A98" t="str">
            <v>K4</v>
          </cell>
          <cell r="B98">
            <v>50</v>
          </cell>
        </row>
        <row r="99">
          <cell r="A99" t="str">
            <v>K5</v>
          </cell>
          <cell r="B99">
            <v>60</v>
          </cell>
        </row>
        <row r="100">
          <cell r="A100" t="str">
            <v>K6</v>
          </cell>
          <cell r="B100">
            <v>75</v>
          </cell>
        </row>
        <row r="101">
          <cell r="A101" t="str">
            <v>K7</v>
          </cell>
          <cell r="B101">
            <v>90</v>
          </cell>
        </row>
        <row r="102">
          <cell r="A102" t="str">
            <v>K8</v>
          </cell>
          <cell r="B102">
            <v>110</v>
          </cell>
        </row>
        <row r="103">
          <cell r="A103" t="str">
            <v>K9</v>
          </cell>
          <cell r="B103">
            <v>120</v>
          </cell>
        </row>
        <row r="104">
          <cell r="A104" t="str">
            <v>K10</v>
          </cell>
          <cell r="B104">
            <v>135</v>
          </cell>
        </row>
        <row r="105">
          <cell r="A105" t="str">
            <v>K11</v>
          </cell>
          <cell r="B105">
            <v>155</v>
          </cell>
        </row>
        <row r="106">
          <cell r="A106" t="str">
            <v>K12</v>
          </cell>
          <cell r="B106">
            <v>175</v>
          </cell>
        </row>
        <row r="107">
          <cell r="A107" t="str">
            <v>K13</v>
          </cell>
          <cell r="B107">
            <v>190</v>
          </cell>
        </row>
        <row r="108">
          <cell r="A108" t="str">
            <v>K14</v>
          </cell>
          <cell r="B108">
            <v>210</v>
          </cell>
        </row>
        <row r="109">
          <cell r="A109" t="str">
            <v>K15</v>
          </cell>
          <cell r="B109">
            <v>235</v>
          </cell>
        </row>
        <row r="110">
          <cell r="A110" t="str">
            <v>K16</v>
          </cell>
          <cell r="B110">
            <v>265</v>
          </cell>
        </row>
        <row r="111">
          <cell r="A111" t="str">
            <v>K17</v>
          </cell>
          <cell r="B111">
            <v>320</v>
          </cell>
        </row>
        <row r="112">
          <cell r="A112" t="str">
            <v>K18</v>
          </cell>
          <cell r="B112">
            <v>390</v>
          </cell>
        </row>
        <row r="113">
          <cell r="A113" t="str">
            <v>K19</v>
          </cell>
          <cell r="B113">
            <v>430</v>
          </cell>
        </row>
        <row r="114">
          <cell r="A114" t="str">
            <v>K20</v>
          </cell>
          <cell r="B114">
            <v>480</v>
          </cell>
        </row>
        <row r="115">
          <cell r="A115" t="str">
            <v>K21</v>
          </cell>
          <cell r="B115">
            <v>590</v>
          </cell>
        </row>
        <row r="116">
          <cell r="A116" t="str">
            <v>K22</v>
          </cell>
          <cell r="B116">
            <v>725</v>
          </cell>
        </row>
        <row r="117">
          <cell r="A117" t="str">
            <v>KÖ1</v>
          </cell>
          <cell r="B117">
            <v>14</v>
          </cell>
        </row>
        <row r="118">
          <cell r="A118" t="str">
            <v>KÖ2</v>
          </cell>
          <cell r="B118">
            <v>21</v>
          </cell>
        </row>
        <row r="119">
          <cell r="A119" t="str">
            <v>KÖ3</v>
          </cell>
          <cell r="B119">
            <v>28</v>
          </cell>
        </row>
        <row r="120">
          <cell r="A120" t="str">
            <v>KÖ4</v>
          </cell>
          <cell r="B120">
            <v>35</v>
          </cell>
        </row>
        <row r="121">
          <cell r="A121" t="str">
            <v>KÖ5</v>
          </cell>
          <cell r="B121">
            <v>42</v>
          </cell>
        </row>
        <row r="122">
          <cell r="A122" t="str">
            <v>KÖ6</v>
          </cell>
          <cell r="B122">
            <v>52.5</v>
          </cell>
        </row>
        <row r="123">
          <cell r="A123" t="str">
            <v>KÖ7</v>
          </cell>
          <cell r="B123">
            <v>63</v>
          </cell>
        </row>
        <row r="124">
          <cell r="A124" t="str">
            <v>KÖ8</v>
          </cell>
          <cell r="B124">
            <v>77</v>
          </cell>
        </row>
        <row r="125">
          <cell r="A125" t="str">
            <v>KÖ9</v>
          </cell>
          <cell r="B125">
            <v>84</v>
          </cell>
        </row>
        <row r="126">
          <cell r="A126" t="str">
            <v>KÖ10</v>
          </cell>
          <cell r="B126">
            <v>94.5</v>
          </cell>
        </row>
        <row r="127">
          <cell r="A127" t="str">
            <v>KÖ11</v>
          </cell>
          <cell r="B127">
            <v>108.5</v>
          </cell>
        </row>
        <row r="128">
          <cell r="A128" t="str">
            <v>KÖ12</v>
          </cell>
          <cell r="B128">
            <v>122.5</v>
          </cell>
        </row>
        <row r="129">
          <cell r="A129" t="str">
            <v>KÖ13</v>
          </cell>
          <cell r="B129">
            <v>133</v>
          </cell>
        </row>
        <row r="130">
          <cell r="A130" t="str">
            <v>KÖ14</v>
          </cell>
          <cell r="B130">
            <v>147</v>
          </cell>
        </row>
        <row r="131">
          <cell r="A131" t="str">
            <v>KÖ15</v>
          </cell>
          <cell r="B131">
            <v>164.5</v>
          </cell>
        </row>
        <row r="132">
          <cell r="A132" t="str">
            <v>KÖ16</v>
          </cell>
          <cell r="B132">
            <v>185.5</v>
          </cell>
        </row>
        <row r="133">
          <cell r="A133" t="str">
            <v>KÖ17</v>
          </cell>
          <cell r="B133">
            <v>224</v>
          </cell>
        </row>
        <row r="134">
          <cell r="A134" t="str">
            <v>KÖ18</v>
          </cell>
          <cell r="B134">
            <v>273</v>
          </cell>
        </row>
        <row r="135">
          <cell r="A135" t="str">
            <v>KÖ19</v>
          </cell>
          <cell r="B135">
            <v>301</v>
          </cell>
        </row>
        <row r="136">
          <cell r="A136" t="str">
            <v>KÖ20</v>
          </cell>
          <cell r="B136">
            <v>336</v>
          </cell>
        </row>
        <row r="137">
          <cell r="A137" t="str">
            <v>KÖ21</v>
          </cell>
          <cell r="B137">
            <v>413</v>
          </cell>
        </row>
        <row r="138">
          <cell r="A138" t="str">
            <v>KÖ22</v>
          </cell>
          <cell r="B138">
            <v>507.5</v>
          </cell>
        </row>
        <row r="415">
          <cell r="A415" t="str">
            <v>OPI1K</v>
          </cell>
          <cell r="B415">
            <v>8</v>
          </cell>
        </row>
        <row r="416">
          <cell r="A416" t="str">
            <v>OPI2K</v>
          </cell>
          <cell r="B416">
            <v>10</v>
          </cell>
        </row>
        <row r="417">
          <cell r="A417" t="str">
            <v>OPI3K</v>
          </cell>
          <cell r="B417">
            <v>13</v>
          </cell>
        </row>
        <row r="418">
          <cell r="A418" t="str">
            <v>OPI4K</v>
          </cell>
          <cell r="B418">
            <v>17</v>
          </cell>
        </row>
        <row r="419">
          <cell r="A419" t="str">
            <v>OPI5K</v>
          </cell>
          <cell r="B419">
            <v>22</v>
          </cell>
        </row>
        <row r="420">
          <cell r="A420" t="str">
            <v>OPI6K</v>
          </cell>
          <cell r="B420">
            <v>27</v>
          </cell>
        </row>
        <row r="421">
          <cell r="A421" t="str">
            <v>OPI7K</v>
          </cell>
          <cell r="B421">
            <v>32</v>
          </cell>
        </row>
        <row r="422">
          <cell r="A422" t="str">
            <v>OPI8K</v>
          </cell>
          <cell r="B422">
            <v>38</v>
          </cell>
        </row>
        <row r="423">
          <cell r="A423" t="str">
            <v>OPI9K</v>
          </cell>
          <cell r="B423">
            <v>44</v>
          </cell>
        </row>
        <row r="424">
          <cell r="A424" t="str">
            <v>OPI10K</v>
          </cell>
          <cell r="B424">
            <v>50</v>
          </cell>
        </row>
        <row r="425">
          <cell r="A425" t="str">
            <v>OPI11K</v>
          </cell>
          <cell r="B425">
            <v>75</v>
          </cell>
        </row>
        <row r="426">
          <cell r="A426" t="str">
            <v>OPI12K</v>
          </cell>
          <cell r="B426">
            <v>100</v>
          </cell>
        </row>
        <row r="427">
          <cell r="A427" t="str">
            <v>OPI13K</v>
          </cell>
          <cell r="B427">
            <v>125</v>
          </cell>
        </row>
        <row r="428">
          <cell r="A428" t="str">
            <v>OPI14K</v>
          </cell>
          <cell r="B428">
            <v>150</v>
          </cell>
        </row>
        <row r="429">
          <cell r="A429" t="str">
            <v>OPI15K</v>
          </cell>
          <cell r="B429">
            <v>175</v>
          </cell>
        </row>
        <row r="430">
          <cell r="A430" t="str">
            <v>OPI16K</v>
          </cell>
          <cell r="B430">
            <v>225</v>
          </cell>
        </row>
        <row r="431">
          <cell r="A431" t="str">
            <v>OPI17K</v>
          </cell>
          <cell r="B431">
            <v>275</v>
          </cell>
        </row>
        <row r="432">
          <cell r="A432" t="str">
            <v>OPI18K</v>
          </cell>
          <cell r="B432">
            <v>325</v>
          </cell>
        </row>
        <row r="433">
          <cell r="A433" t="str">
            <v>OPI19K</v>
          </cell>
          <cell r="B433">
            <v>375</v>
          </cell>
        </row>
        <row r="434">
          <cell r="A434" t="str">
            <v>OPI20K</v>
          </cell>
          <cell r="B434">
            <v>425</v>
          </cell>
        </row>
        <row r="435">
          <cell r="A435" t="str">
            <v>OPI21K</v>
          </cell>
          <cell r="B435">
            <v>475</v>
          </cell>
        </row>
        <row r="436">
          <cell r="A436" t="str">
            <v>OPA1K</v>
          </cell>
          <cell r="B436">
            <v>6</v>
          </cell>
        </row>
        <row r="437">
          <cell r="A437" t="str">
            <v>OPA2K</v>
          </cell>
          <cell r="B437">
            <v>8</v>
          </cell>
        </row>
        <row r="438">
          <cell r="A438" t="str">
            <v>OPA3K</v>
          </cell>
          <cell r="B438">
            <v>10</v>
          </cell>
        </row>
        <row r="439">
          <cell r="A439" t="str">
            <v>OPA4K</v>
          </cell>
          <cell r="B439">
            <v>12</v>
          </cell>
        </row>
        <row r="440">
          <cell r="A440" t="str">
            <v>OPA5K</v>
          </cell>
          <cell r="B440">
            <v>15</v>
          </cell>
        </row>
        <row r="441">
          <cell r="A441" t="str">
            <v>OPA6K</v>
          </cell>
          <cell r="B441">
            <v>19</v>
          </cell>
        </row>
        <row r="442">
          <cell r="A442" t="str">
            <v>OPA7K</v>
          </cell>
          <cell r="B442">
            <v>22</v>
          </cell>
        </row>
        <row r="443">
          <cell r="A443" t="str">
            <v>OPA8K</v>
          </cell>
          <cell r="B443">
            <v>27</v>
          </cell>
        </row>
        <row r="444">
          <cell r="A444" t="str">
            <v>OPA9K</v>
          </cell>
          <cell r="B444">
            <v>31</v>
          </cell>
        </row>
        <row r="445">
          <cell r="A445" t="str">
            <v>OPA10K</v>
          </cell>
          <cell r="B445">
            <v>35</v>
          </cell>
        </row>
        <row r="446">
          <cell r="A446" t="str">
            <v>OPA11K</v>
          </cell>
          <cell r="B446">
            <v>60</v>
          </cell>
        </row>
        <row r="447">
          <cell r="A447" t="str">
            <v>OPA12K</v>
          </cell>
          <cell r="B447">
            <v>85</v>
          </cell>
        </row>
        <row r="448">
          <cell r="A448" t="str">
            <v>OPA13K</v>
          </cell>
          <cell r="B448">
            <v>110</v>
          </cell>
        </row>
        <row r="449">
          <cell r="A449" t="str">
            <v>OPA14K</v>
          </cell>
          <cell r="B449">
            <v>135</v>
          </cell>
        </row>
        <row r="450">
          <cell r="A450" t="str">
            <v>OPA15K</v>
          </cell>
          <cell r="B450">
            <v>160</v>
          </cell>
        </row>
        <row r="451">
          <cell r="A451" t="str">
            <v>OPA16K</v>
          </cell>
          <cell r="B451">
            <v>185</v>
          </cell>
        </row>
        <row r="452">
          <cell r="A452" t="str">
            <v>OPA17K</v>
          </cell>
          <cell r="B452">
            <v>210</v>
          </cell>
        </row>
        <row r="453">
          <cell r="A453" t="str">
            <v>OPA18K</v>
          </cell>
          <cell r="B453">
            <v>260</v>
          </cell>
        </row>
        <row r="454">
          <cell r="A454" t="str">
            <v>OPA19K</v>
          </cell>
          <cell r="B454">
            <v>310</v>
          </cell>
        </row>
        <row r="455">
          <cell r="A455" t="str">
            <v>OPA20K</v>
          </cell>
          <cell r="B455">
            <v>360</v>
          </cell>
        </row>
        <row r="456">
          <cell r="A456" t="str">
            <v>OPA21K</v>
          </cell>
          <cell r="B456">
            <v>410</v>
          </cell>
        </row>
        <row r="457">
          <cell r="A457" t="str">
            <v>API1K</v>
          </cell>
          <cell r="B457">
            <v>10</v>
          </cell>
        </row>
        <row r="458">
          <cell r="A458" t="str">
            <v>API2K</v>
          </cell>
          <cell r="B458">
            <v>15</v>
          </cell>
        </row>
        <row r="459">
          <cell r="A459" t="str">
            <v>API3K</v>
          </cell>
          <cell r="B459">
            <v>26</v>
          </cell>
        </row>
        <row r="460">
          <cell r="A460" t="str">
            <v>API4K</v>
          </cell>
          <cell r="B460">
            <v>34</v>
          </cell>
        </row>
        <row r="461">
          <cell r="A461" t="str">
            <v>API5K</v>
          </cell>
          <cell r="B461">
            <v>43</v>
          </cell>
        </row>
        <row r="462">
          <cell r="A462" t="str">
            <v>API6K</v>
          </cell>
          <cell r="B462">
            <v>53</v>
          </cell>
        </row>
        <row r="463">
          <cell r="A463" t="str">
            <v>API7K</v>
          </cell>
          <cell r="B463">
            <v>64</v>
          </cell>
        </row>
        <row r="464">
          <cell r="A464" t="str">
            <v>API8K</v>
          </cell>
          <cell r="B464">
            <v>76</v>
          </cell>
        </row>
        <row r="465">
          <cell r="A465" t="str">
            <v>API9K</v>
          </cell>
          <cell r="B465">
            <v>88</v>
          </cell>
        </row>
        <row r="466">
          <cell r="A466" t="str">
            <v>API10K</v>
          </cell>
          <cell r="B466">
            <v>100</v>
          </cell>
        </row>
        <row r="467">
          <cell r="A467" t="str">
            <v>API11K</v>
          </cell>
          <cell r="B467">
            <v>125</v>
          </cell>
        </row>
        <row r="468">
          <cell r="A468" t="str">
            <v>API12K</v>
          </cell>
          <cell r="B468">
            <v>150</v>
          </cell>
        </row>
        <row r="469">
          <cell r="A469" t="str">
            <v>API13K</v>
          </cell>
          <cell r="B469">
            <v>175</v>
          </cell>
        </row>
        <row r="470">
          <cell r="A470" t="str">
            <v>API14K</v>
          </cell>
          <cell r="B470">
            <v>200</v>
          </cell>
        </row>
        <row r="471">
          <cell r="A471" t="str">
            <v>API15K</v>
          </cell>
          <cell r="B471">
            <v>225</v>
          </cell>
        </row>
        <row r="472">
          <cell r="A472" t="str">
            <v>API16K</v>
          </cell>
          <cell r="B472">
            <v>275</v>
          </cell>
        </row>
        <row r="473">
          <cell r="A473" t="str">
            <v>API17K</v>
          </cell>
          <cell r="B473">
            <v>325</v>
          </cell>
        </row>
        <row r="474">
          <cell r="A474" t="str">
            <v>API18K</v>
          </cell>
          <cell r="B474">
            <v>375</v>
          </cell>
        </row>
        <row r="475">
          <cell r="A475" t="str">
            <v>API19K</v>
          </cell>
          <cell r="B475">
            <v>425</v>
          </cell>
        </row>
        <row r="476">
          <cell r="A476" t="str">
            <v>API20K</v>
          </cell>
          <cell r="B476">
            <v>475</v>
          </cell>
        </row>
        <row r="477">
          <cell r="A477" t="str">
            <v>API21K</v>
          </cell>
          <cell r="B477">
            <v>525</v>
          </cell>
        </row>
        <row r="478">
          <cell r="A478" t="str">
            <v>APA1K</v>
          </cell>
          <cell r="B478">
            <v>8</v>
          </cell>
        </row>
        <row r="479">
          <cell r="A479" t="str">
            <v>APA2K</v>
          </cell>
          <cell r="B479">
            <v>11</v>
          </cell>
        </row>
        <row r="480">
          <cell r="A480" t="str">
            <v>APA3K</v>
          </cell>
          <cell r="B480">
            <v>18</v>
          </cell>
        </row>
        <row r="481">
          <cell r="A481" t="str">
            <v>APA4K</v>
          </cell>
          <cell r="B481">
            <v>24</v>
          </cell>
        </row>
        <row r="482">
          <cell r="A482" t="str">
            <v>APA5K</v>
          </cell>
          <cell r="B482">
            <v>30</v>
          </cell>
        </row>
        <row r="483">
          <cell r="A483" t="str">
            <v>APA6K</v>
          </cell>
          <cell r="B483">
            <v>37</v>
          </cell>
        </row>
        <row r="484">
          <cell r="A484" t="str">
            <v>APA7K</v>
          </cell>
          <cell r="B484">
            <v>45</v>
          </cell>
        </row>
        <row r="485">
          <cell r="A485" t="str">
            <v>APA8K</v>
          </cell>
          <cell r="B485">
            <v>53</v>
          </cell>
        </row>
        <row r="486">
          <cell r="A486" t="str">
            <v>APA9K</v>
          </cell>
          <cell r="B486">
            <v>62</v>
          </cell>
        </row>
        <row r="487">
          <cell r="A487" t="str">
            <v>APA10K</v>
          </cell>
          <cell r="B487">
            <v>70</v>
          </cell>
        </row>
        <row r="488">
          <cell r="A488" t="str">
            <v>APA11K</v>
          </cell>
          <cell r="B488">
            <v>95</v>
          </cell>
        </row>
        <row r="489">
          <cell r="A489" t="str">
            <v>APA12K</v>
          </cell>
          <cell r="B489">
            <v>120</v>
          </cell>
        </row>
        <row r="490">
          <cell r="A490" t="str">
            <v>APA13K</v>
          </cell>
          <cell r="B490">
            <v>145</v>
          </cell>
        </row>
        <row r="491">
          <cell r="A491" t="str">
            <v>APA14K</v>
          </cell>
          <cell r="B491">
            <v>170</v>
          </cell>
        </row>
        <row r="492">
          <cell r="A492" t="str">
            <v>APA15K</v>
          </cell>
          <cell r="B492">
            <v>195</v>
          </cell>
        </row>
        <row r="493">
          <cell r="A493" t="str">
            <v>APA16K</v>
          </cell>
          <cell r="B493">
            <v>245</v>
          </cell>
        </row>
        <row r="494">
          <cell r="A494" t="str">
            <v>APA17K</v>
          </cell>
          <cell r="B494">
            <v>295</v>
          </cell>
        </row>
        <row r="495">
          <cell r="A495" t="str">
            <v>APA18K</v>
          </cell>
          <cell r="B495">
            <v>345</v>
          </cell>
        </row>
        <row r="496">
          <cell r="A496" t="str">
            <v>APA19K</v>
          </cell>
          <cell r="B496">
            <v>395</v>
          </cell>
        </row>
        <row r="497">
          <cell r="A497" t="str">
            <v>APA20K</v>
          </cell>
          <cell r="B497">
            <v>445</v>
          </cell>
        </row>
        <row r="498">
          <cell r="A498" t="str">
            <v>APA21K</v>
          </cell>
          <cell r="B498">
            <v>495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</sheetNames>
    <sheetDataSet>
      <sheetData sheetId="0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öprü"/>
      <sheetName val="Planlama"/>
      <sheetName val="kategoriler"/>
      <sheetName val="plan-der"/>
      <sheetName val="Kaynak"/>
      <sheetName val="tv spot list"/>
    </sheetNames>
    <sheetDataSet>
      <sheetData sheetId="0" refreshError="1">
        <row r="1">
          <cell r="A1" t="str">
            <v>Kategori</v>
          </cell>
          <cell r="E1" t="str">
            <v>Program Adı</v>
          </cell>
          <cell r="F1" t="str">
            <v>Dilim</v>
          </cell>
          <cell r="G1" t="str">
            <v>Ön</v>
          </cell>
          <cell r="H1" t="str">
            <v>İç</v>
          </cell>
          <cell r="I1" t="str">
            <v>Bant</v>
          </cell>
        </row>
        <row r="2">
          <cell r="E2" t="str">
            <v>Acı Hayat</v>
          </cell>
          <cell r="F2" t="str">
            <v>PT</v>
          </cell>
          <cell r="G2" t="str">
            <v>KO25</v>
          </cell>
          <cell r="H2" t="str">
            <v>K-25</v>
          </cell>
          <cell r="I2" t="str">
            <v>KB25</v>
          </cell>
        </row>
        <row r="3">
          <cell r="E3" t="str">
            <v>Acun Firarda</v>
          </cell>
          <cell r="F3" t="str">
            <v>PT</v>
          </cell>
          <cell r="G3" t="str">
            <v>KO12</v>
          </cell>
          <cell r="H3" t="str">
            <v>K-12</v>
          </cell>
          <cell r="I3" t="str">
            <v>KB12</v>
          </cell>
        </row>
        <row r="4">
          <cell r="E4" t="str">
            <v>Ana Haber</v>
          </cell>
          <cell r="F4" t="str">
            <v>PT</v>
          </cell>
          <cell r="G4" t="str">
            <v>KO20</v>
          </cell>
          <cell r="H4" t="str">
            <v>K-20</v>
          </cell>
          <cell r="I4" t="str">
            <v>HATA!!</v>
          </cell>
        </row>
        <row r="5">
          <cell r="E5" t="str">
            <v>Barkot</v>
          </cell>
          <cell r="F5" t="str">
            <v>OPT</v>
          </cell>
          <cell r="G5" t="str">
            <v>KO10</v>
          </cell>
          <cell r="H5" t="str">
            <v>K-10</v>
          </cell>
          <cell r="I5" t="str">
            <v>KB10</v>
          </cell>
        </row>
        <row r="6">
          <cell r="E6" t="str">
            <v>Cadılar Okulu</v>
          </cell>
          <cell r="F6" t="str">
            <v>OPT</v>
          </cell>
          <cell r="G6" t="str">
            <v>KO5</v>
          </cell>
          <cell r="H6" t="str">
            <v>HATA!!</v>
          </cell>
          <cell r="I6" t="str">
            <v>HATA!!</v>
          </cell>
        </row>
        <row r="7">
          <cell r="E7" t="str">
            <v>Cadılar Okulu (T)</v>
          </cell>
          <cell r="F7" t="str">
            <v>OPT</v>
          </cell>
          <cell r="G7" t="str">
            <v>KO8</v>
          </cell>
          <cell r="H7" t="str">
            <v>HATA!!</v>
          </cell>
          <cell r="I7" t="str">
            <v>HATA!!</v>
          </cell>
        </row>
        <row r="8">
          <cell r="E8" t="str">
            <v>Cennet Mahallesi</v>
          </cell>
          <cell r="F8" t="str">
            <v>PT</v>
          </cell>
          <cell r="G8" t="str">
            <v>KO23</v>
          </cell>
          <cell r="H8" t="str">
            <v>K-23</v>
          </cell>
          <cell r="I8" t="str">
            <v>KB23</v>
          </cell>
        </row>
        <row r="9">
          <cell r="E9" t="str">
            <v>Cennet Mahallesi (T)</v>
          </cell>
          <cell r="F9" t="str">
            <v>PT</v>
          </cell>
          <cell r="G9" t="str">
            <v>KO21</v>
          </cell>
          <cell r="H9" t="str">
            <v>K-21</v>
          </cell>
          <cell r="I9" t="str">
            <v>KB21</v>
          </cell>
        </row>
        <row r="10">
          <cell r="E10" t="str">
            <v>Çapkın</v>
          </cell>
          <cell r="F10" t="str">
            <v>PT</v>
          </cell>
          <cell r="G10" t="str">
            <v>KO21</v>
          </cell>
          <cell r="H10" t="str">
            <v>K-21</v>
          </cell>
          <cell r="I10" t="str">
            <v>KB21</v>
          </cell>
        </row>
        <row r="11">
          <cell r="E11" t="str">
            <v>Çatkapı</v>
          </cell>
          <cell r="F11" t="str">
            <v>PT</v>
          </cell>
          <cell r="G11" t="str">
            <v>KO22</v>
          </cell>
          <cell r="H11" t="str">
            <v>K-22</v>
          </cell>
          <cell r="I11" t="str">
            <v>KB22</v>
          </cell>
        </row>
        <row r="12">
          <cell r="E12" t="str">
            <v>Çizgi Dizi (Akşam)</v>
          </cell>
          <cell r="F12" t="str">
            <v>OPT</v>
          </cell>
          <cell r="G12" t="str">
            <v>KO8</v>
          </cell>
          <cell r="H12" t="str">
            <v>HATA!!</v>
          </cell>
          <cell r="I12" t="str">
            <v>HATA!!</v>
          </cell>
        </row>
        <row r="13">
          <cell r="E13" t="str">
            <v>Çizgi Dizi (Akşam)- Haftasonu</v>
          </cell>
          <cell r="F13" t="str">
            <v>OPT</v>
          </cell>
          <cell r="G13" t="str">
            <v>KO8</v>
          </cell>
          <cell r="H13" t="str">
            <v>HATA!!</v>
          </cell>
          <cell r="I13" t="str">
            <v>HATA!!</v>
          </cell>
        </row>
        <row r="14">
          <cell r="E14" t="str">
            <v>Çizgi Dizi (Sabah)</v>
          </cell>
          <cell r="F14" t="str">
            <v>OPT</v>
          </cell>
          <cell r="G14" t="str">
            <v>KO2</v>
          </cell>
          <cell r="H14" t="str">
            <v>HATA!!</v>
          </cell>
          <cell r="I14" t="str">
            <v>HATA!!</v>
          </cell>
        </row>
        <row r="15">
          <cell r="E15" t="str">
            <v>Çizgi Dizi (Sabah)- Haftasonu</v>
          </cell>
          <cell r="F15" t="str">
            <v>OPT</v>
          </cell>
          <cell r="G15" t="str">
            <v>KO2</v>
          </cell>
          <cell r="H15" t="str">
            <v>HATA!!</v>
          </cell>
          <cell r="I15" t="str">
            <v>HATA!!</v>
          </cell>
        </row>
        <row r="16">
          <cell r="E16" t="str">
            <v>Davetsiz Misafir (T)</v>
          </cell>
          <cell r="F16" t="str">
            <v>OPT</v>
          </cell>
          <cell r="G16" t="str">
            <v>KO17</v>
          </cell>
          <cell r="H16" t="str">
            <v>K-17</v>
          </cell>
          <cell r="I16" t="str">
            <v>KB17</v>
          </cell>
        </row>
        <row r="17">
          <cell r="E17" t="str">
            <v>Emret Komutanım</v>
          </cell>
          <cell r="F17" t="str">
            <v>PT</v>
          </cell>
          <cell r="G17" t="str">
            <v>KO25</v>
          </cell>
          <cell r="H17" t="str">
            <v>K-25</v>
          </cell>
          <cell r="I17" t="str">
            <v>KB25</v>
          </cell>
        </row>
        <row r="18">
          <cell r="E18" t="str">
            <v>Emret Komutanım (T)</v>
          </cell>
          <cell r="F18" t="str">
            <v>PT</v>
          </cell>
          <cell r="G18" t="str">
            <v>KO23</v>
          </cell>
          <cell r="H18" t="str">
            <v>K-23</v>
          </cell>
          <cell r="I18" t="str">
            <v>KB23</v>
          </cell>
        </row>
        <row r="19">
          <cell r="E19" t="str">
            <v>En İyi Arkadaşım (T)</v>
          </cell>
          <cell r="F19" t="str">
            <v>OPT</v>
          </cell>
          <cell r="G19" t="str">
            <v>KO1</v>
          </cell>
          <cell r="H19" t="str">
            <v>K-1</v>
          </cell>
          <cell r="I19" t="str">
            <v>KB1</v>
          </cell>
        </row>
        <row r="20">
          <cell r="E20" t="str">
            <v>En Komik An (T)</v>
          </cell>
          <cell r="F20" t="str">
            <v>OPT</v>
          </cell>
          <cell r="G20" t="str">
            <v>KO1</v>
          </cell>
          <cell r="H20" t="str">
            <v>K-1</v>
          </cell>
          <cell r="I20" t="str">
            <v>KB1</v>
          </cell>
        </row>
        <row r="21">
          <cell r="E21" t="str">
            <v>Güne Merhaba</v>
          </cell>
          <cell r="F21" t="str">
            <v>OPT</v>
          </cell>
          <cell r="G21" t="str">
            <v>KO3</v>
          </cell>
          <cell r="H21" t="str">
            <v>K-3</v>
          </cell>
          <cell r="I21" t="str">
            <v>HATA!!</v>
          </cell>
        </row>
        <row r="22">
          <cell r="E22" t="str">
            <v>Haber 13:00</v>
          </cell>
          <cell r="F22" t="str">
            <v>OPT</v>
          </cell>
          <cell r="G22" t="str">
            <v>KO12</v>
          </cell>
          <cell r="H22" t="str">
            <v>K-12</v>
          </cell>
          <cell r="I22" t="str">
            <v>HATA!!</v>
          </cell>
        </row>
        <row r="23">
          <cell r="E23" t="str">
            <v>Haber Özel</v>
          </cell>
          <cell r="F23" t="str">
            <v>PT</v>
          </cell>
          <cell r="G23" t="str">
            <v>KO9</v>
          </cell>
          <cell r="H23" t="str">
            <v>K-9</v>
          </cell>
          <cell r="I23" t="str">
            <v>HATA!!</v>
          </cell>
        </row>
        <row r="24">
          <cell r="E24" t="str">
            <v>Hayat Bilgisi</v>
          </cell>
          <cell r="F24" t="str">
            <v>PT</v>
          </cell>
          <cell r="G24" t="str">
            <v>KO24</v>
          </cell>
          <cell r="H24" t="str">
            <v>K-24</v>
          </cell>
          <cell r="I24" t="str">
            <v>KB24</v>
          </cell>
        </row>
        <row r="25">
          <cell r="E25" t="str">
            <v>Kadın İsterse</v>
          </cell>
          <cell r="F25" t="str">
            <v>PT</v>
          </cell>
          <cell r="G25" t="str">
            <v>KO24</v>
          </cell>
          <cell r="H25" t="str">
            <v>K-24</v>
          </cell>
          <cell r="I25" t="str">
            <v>KB24</v>
          </cell>
        </row>
        <row r="26">
          <cell r="E26" t="str">
            <v>Kadın İsterse (T)</v>
          </cell>
          <cell r="F26" t="str">
            <v>PT</v>
          </cell>
          <cell r="G26" t="str">
            <v>KO22</v>
          </cell>
          <cell r="H26" t="str">
            <v>K-22</v>
          </cell>
          <cell r="I26" t="str">
            <v>KB22</v>
          </cell>
        </row>
        <row r="27">
          <cell r="E27" t="str">
            <v>Kim 500 Bin İster (PT)</v>
          </cell>
          <cell r="F27" t="str">
            <v>PT</v>
          </cell>
          <cell r="G27" t="str">
            <v>KO23</v>
          </cell>
          <cell r="H27" t="str">
            <v>K-23</v>
          </cell>
          <cell r="I27" t="str">
            <v>KB23</v>
          </cell>
        </row>
        <row r="28">
          <cell r="E28" t="str">
            <v xml:space="preserve">Kim 500 Bin İster </v>
          </cell>
          <cell r="F28" t="str">
            <v>OPT</v>
          </cell>
          <cell r="G28" t="str">
            <v>KO19</v>
          </cell>
          <cell r="H28" t="str">
            <v>K-19</v>
          </cell>
          <cell r="I28" t="str">
            <v>KB19</v>
          </cell>
        </row>
        <row r="29">
          <cell r="E29" t="str">
            <v>Mavi Kolye (T)</v>
          </cell>
          <cell r="F29" t="str">
            <v>OPT</v>
          </cell>
          <cell r="G29" t="str">
            <v>KO1</v>
          </cell>
          <cell r="H29" t="str">
            <v>K-1</v>
          </cell>
          <cell r="I29" t="str">
            <v>KB1</v>
          </cell>
        </row>
        <row r="30">
          <cell r="E30" t="str">
            <v>Mehmetçik</v>
          </cell>
          <cell r="F30" t="str">
            <v>PT</v>
          </cell>
          <cell r="G30" t="str">
            <v>KO15</v>
          </cell>
          <cell r="H30" t="str">
            <v>K-15</v>
          </cell>
          <cell r="I30" t="str">
            <v>KB15</v>
          </cell>
        </row>
        <row r="31">
          <cell r="E31" t="str">
            <v>Mobil Hayat</v>
          </cell>
          <cell r="F31" t="str">
            <v>OPT</v>
          </cell>
          <cell r="G31" t="str">
            <v>KO7</v>
          </cell>
          <cell r="H31" t="str">
            <v>K-7</v>
          </cell>
          <cell r="I31" t="str">
            <v>KB7</v>
          </cell>
        </row>
        <row r="32">
          <cell r="E32" t="str">
            <v>Parmak İzi</v>
          </cell>
          <cell r="F32" t="str">
            <v>PT</v>
          </cell>
          <cell r="G32" t="str">
            <v>KO9</v>
          </cell>
          <cell r="H32" t="str">
            <v>K-9</v>
          </cell>
          <cell r="I32" t="str">
            <v>KB9</v>
          </cell>
        </row>
        <row r="33">
          <cell r="E33" t="str">
            <v>Pazar Keyfi</v>
          </cell>
          <cell r="F33" t="str">
            <v>PT</v>
          </cell>
          <cell r="G33" t="str">
            <v>KO17</v>
          </cell>
          <cell r="H33" t="str">
            <v>K-17</v>
          </cell>
          <cell r="I33" t="str">
            <v>KB17</v>
          </cell>
        </row>
        <row r="34">
          <cell r="E34" t="str">
            <v>Pazar Sürprizi</v>
          </cell>
          <cell r="F34" t="str">
            <v>OPT</v>
          </cell>
          <cell r="G34" t="str">
            <v>KO13</v>
          </cell>
          <cell r="H34" t="str">
            <v>K-13</v>
          </cell>
          <cell r="I34" t="str">
            <v>KB13</v>
          </cell>
        </row>
        <row r="35">
          <cell r="E35" t="str">
            <v>Pembe Bir Oyun</v>
          </cell>
          <cell r="F35" t="str">
            <v>OPT</v>
          </cell>
          <cell r="G35" t="str">
            <v>KO17</v>
          </cell>
          <cell r="H35" t="str">
            <v>K-17</v>
          </cell>
          <cell r="I35" t="str">
            <v>KB17</v>
          </cell>
        </row>
        <row r="36">
          <cell r="E36" t="str">
            <v>Rekorlar Kitabı</v>
          </cell>
          <cell r="F36" t="str">
            <v>PT</v>
          </cell>
          <cell r="G36" t="str">
            <v>KO10</v>
          </cell>
          <cell r="H36" t="str">
            <v>K-10</v>
          </cell>
          <cell r="I36" t="str">
            <v>KB10</v>
          </cell>
        </row>
        <row r="37">
          <cell r="E37" t="str">
            <v>Serap Ezgü İle Biz Bize</v>
          </cell>
          <cell r="F37" t="str">
            <v>OPT</v>
          </cell>
          <cell r="G37" t="str">
            <v>KO16</v>
          </cell>
          <cell r="H37" t="str">
            <v>K-16</v>
          </cell>
          <cell r="I37" t="str">
            <v>KB16</v>
          </cell>
        </row>
        <row r="38">
          <cell r="E38" t="str">
            <v>Show TV Çocuk Klubü</v>
          </cell>
          <cell r="F38" t="str">
            <v>OPT</v>
          </cell>
          <cell r="G38" t="str">
            <v>KO2</v>
          </cell>
          <cell r="H38" t="str">
            <v>HATA!!</v>
          </cell>
          <cell r="I38" t="str">
            <v>HATA!!</v>
          </cell>
        </row>
        <row r="39">
          <cell r="E39" t="str">
            <v>Silikon Vadisi</v>
          </cell>
          <cell r="F39" t="str">
            <v>OPT</v>
          </cell>
          <cell r="G39" t="str">
            <v>KO8</v>
          </cell>
          <cell r="H39" t="str">
            <v>K-8</v>
          </cell>
          <cell r="I39" t="str">
            <v>KB8</v>
          </cell>
        </row>
        <row r="40">
          <cell r="E40" t="str">
            <v>Sinema (Gece)</v>
          </cell>
          <cell r="F40" t="str">
            <v>PT</v>
          </cell>
          <cell r="G40" t="str">
            <v>KO2</v>
          </cell>
          <cell r="H40" t="str">
            <v>K-2</v>
          </cell>
          <cell r="I40" t="str">
            <v>KB2</v>
          </cell>
        </row>
        <row r="41">
          <cell r="E41" t="str">
            <v>Sinema 10:30</v>
          </cell>
          <cell r="F41" t="str">
            <v>OPT</v>
          </cell>
          <cell r="G41" t="str">
            <v>KO10</v>
          </cell>
          <cell r="H41" t="str">
            <v>K-10</v>
          </cell>
          <cell r="I41" t="str">
            <v>KB10</v>
          </cell>
        </row>
        <row r="42">
          <cell r="E42" t="str">
            <v>Sinema 14:15</v>
          </cell>
          <cell r="F42" t="str">
            <v>OPT</v>
          </cell>
          <cell r="G42" t="str">
            <v>KO11</v>
          </cell>
          <cell r="H42" t="str">
            <v>K-11</v>
          </cell>
          <cell r="I42" t="str">
            <v>KB11</v>
          </cell>
        </row>
        <row r="43">
          <cell r="E43" t="str">
            <v>Sinema 22:00</v>
          </cell>
          <cell r="F43" t="str">
            <v>PT</v>
          </cell>
          <cell r="G43" t="str">
            <v>KO23</v>
          </cell>
          <cell r="H43" t="str">
            <v>K-23</v>
          </cell>
          <cell r="I43" t="str">
            <v>KB23</v>
          </cell>
        </row>
        <row r="44">
          <cell r="E44" t="str">
            <v>Sinema 22:00- Haftasonu</v>
          </cell>
          <cell r="F44" t="str">
            <v>PT</v>
          </cell>
          <cell r="G44" t="str">
            <v>KO22</v>
          </cell>
          <cell r="H44" t="str">
            <v>K-22</v>
          </cell>
          <cell r="I44" t="str">
            <v>KB22</v>
          </cell>
        </row>
        <row r="45">
          <cell r="E45" t="str">
            <v>Sinema 24:00</v>
          </cell>
          <cell r="F45" t="str">
            <v>PT</v>
          </cell>
          <cell r="G45" t="str">
            <v>KO15</v>
          </cell>
          <cell r="H45" t="str">
            <v>K-15</v>
          </cell>
          <cell r="I45" t="str">
            <v>KB15</v>
          </cell>
        </row>
        <row r="46">
          <cell r="E46" t="str">
            <v>Sinyal</v>
          </cell>
          <cell r="F46" t="str">
            <v>OPT</v>
          </cell>
          <cell r="G46" t="str">
            <v>KO9</v>
          </cell>
          <cell r="H46" t="str">
            <v>K-9</v>
          </cell>
          <cell r="I46" t="str">
            <v>KB9</v>
          </cell>
        </row>
        <row r="47">
          <cell r="E47" t="str">
            <v>Sol Şerit</v>
          </cell>
          <cell r="F47" t="str">
            <v>OPT</v>
          </cell>
          <cell r="G47" t="str">
            <v>KO9</v>
          </cell>
          <cell r="H47" t="str">
            <v>K-9</v>
          </cell>
          <cell r="I47" t="str">
            <v>KB9</v>
          </cell>
        </row>
        <row r="48">
          <cell r="E48" t="str">
            <v>Son Haber</v>
          </cell>
          <cell r="F48" t="str">
            <v>PT</v>
          </cell>
          <cell r="G48" t="str">
            <v>KO3</v>
          </cell>
          <cell r="H48" t="str">
            <v>HATA!!</v>
          </cell>
          <cell r="I48" t="str">
            <v>HATA!!</v>
          </cell>
        </row>
        <row r="49">
          <cell r="E49" t="str">
            <v>Song 24 (Müzik Show)</v>
          </cell>
          <cell r="F49" t="str">
            <v>PT</v>
          </cell>
          <cell r="G49" t="str">
            <v>KO1</v>
          </cell>
          <cell r="H49" t="str">
            <v>K-1</v>
          </cell>
          <cell r="I49" t="str">
            <v>KB1</v>
          </cell>
        </row>
        <row r="50">
          <cell r="E50" t="str">
            <v>Uçan Kuş</v>
          </cell>
          <cell r="F50" t="str">
            <v>PT</v>
          </cell>
          <cell r="G50" t="str">
            <v>KO15</v>
          </cell>
          <cell r="H50" t="str">
            <v>K-15</v>
          </cell>
          <cell r="I50" t="str">
            <v>KB15</v>
          </cell>
        </row>
        <row r="51">
          <cell r="E51" t="str">
            <v>Yağmur Zamanı</v>
          </cell>
          <cell r="F51" t="str">
            <v>PT</v>
          </cell>
          <cell r="G51" t="str">
            <v>KO24</v>
          </cell>
          <cell r="H51" t="str">
            <v>K-24</v>
          </cell>
          <cell r="I51" t="str">
            <v>KB24</v>
          </cell>
        </row>
        <row r="52">
          <cell r="E52" t="str">
            <v>Yanık Koza</v>
          </cell>
          <cell r="F52" t="str">
            <v>PT</v>
          </cell>
          <cell r="G52" t="str">
            <v>KO24</v>
          </cell>
          <cell r="H52" t="str">
            <v>K-24</v>
          </cell>
          <cell r="I52" t="str">
            <v>KB24</v>
          </cell>
        </row>
        <row r="53">
          <cell r="E53" t="str">
            <v>Yarım Elma (T)</v>
          </cell>
          <cell r="F53" t="str">
            <v>OPT</v>
          </cell>
          <cell r="G53" t="str">
            <v>KO5</v>
          </cell>
          <cell r="H53" t="str">
            <v>K-5</v>
          </cell>
          <cell r="I53" t="str">
            <v>KB5</v>
          </cell>
        </row>
        <row r="54">
          <cell r="E54" t="str">
            <v>Yarım Elma (T)-Haftasonu</v>
          </cell>
          <cell r="F54" t="str">
            <v>OPT</v>
          </cell>
          <cell r="G54" t="str">
            <v>KO8</v>
          </cell>
          <cell r="H54" t="str">
            <v>K-8</v>
          </cell>
          <cell r="I54" t="str">
            <v>KB8</v>
          </cell>
        </row>
        <row r="55">
          <cell r="E55" t="str">
            <v>Yerli Dizi 17:00 (T)- Haftasonu</v>
          </cell>
          <cell r="F55" t="str">
            <v>OPT</v>
          </cell>
          <cell r="G55" t="str">
            <v>KO17</v>
          </cell>
          <cell r="H55" t="str">
            <v>K-17</v>
          </cell>
          <cell r="I55" t="str">
            <v>KB17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Ürün&amp;Bütçe Kalemi YENİ (Mayıs)"/>
      <sheetName val="Ürün&amp;Bütçe Kalemi YENİ (8 AY)"/>
      <sheetName val="Ürün&amp;Bütçe Kalemi CUTTED 9 ay"/>
      <sheetName val="Ürün&amp;Bütçe Kalemi CUTTED 12 ay"/>
      <sheetName val="Ürün&amp;Bütçe Kalemi ESKİ (12 AY)"/>
      <sheetName val="Ürün&amp;Bütçe Kalemi YENİ (7 AY)"/>
      <sheetName val="Fatura Giriş Tablosu"/>
      <sheetName val="Ürün&amp;Bütçe Kalemi YENİ (6 AY)"/>
      <sheetName val="Giriş Ekranı"/>
      <sheetName val="celebrity"/>
      <sheetName val="w-Nw"/>
      <sheetName val="Girilen reeskontlar"/>
      <sheetName val="TBL Girişleri Kolay Hesap"/>
      <sheetName val="Ocak ayı tablolar"/>
      <sheetName val="Q1"/>
      <sheetName val="Kurumsal - Roadshow"/>
      <sheetName val="Araştırma Forecast"/>
      <sheetName val="2017 Devir"/>
      <sheetName val="GENEL ÖZET"/>
      <sheetName val="Bütçe Kalemine Göre_TÜM"/>
      <sheetName val="Bütçe Kalemine Göre_Ayrı"/>
      <sheetName val="Ürün&amp;Bütçe Kalemi Özet"/>
      <sheetName val="kategori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nımlar"/>
      <sheetName val="Hurriyetim"/>
      <sheetName val="Milliyet"/>
      <sheetName val="Ekolay"/>
      <sheetName val="Arabam"/>
      <sheetName val="CNN"/>
      <sheetName val="Fanatik"/>
      <sheetName val="Radikal"/>
      <sheetName val="Bigpara"/>
      <sheetName val="KanalD"/>
      <sheetName val="Milliyet kadın ve moda"/>
      <sheetName val="Mahmure"/>
      <sheetName val="Köprü"/>
      <sheetName val="ATV"/>
      <sheetName val="kategoriler"/>
      <sheetName val="Pazarlama"/>
      <sheetName val="Milliyet_kadın_ve_moda"/>
      <sheetName val="alapok"/>
      <sheetName val="HL"/>
      <sheetName val="Stations"/>
      <sheetName val="Fatura Giriş Tablosu"/>
    </sheetNames>
    <sheetDataSet>
      <sheetData sheetId="0" refreshError="1">
        <row r="1">
          <cell r="A1" t="str">
            <v>100x300</v>
          </cell>
        </row>
        <row r="2">
          <cell r="A2" t="str">
            <v>100x550</v>
          </cell>
        </row>
        <row r="3">
          <cell r="A3" t="str">
            <v>120x120</v>
          </cell>
        </row>
        <row r="4">
          <cell r="A4" t="str">
            <v>120x180</v>
          </cell>
        </row>
        <row r="5">
          <cell r="A5" t="str">
            <v>120x240</v>
          </cell>
        </row>
        <row r="6">
          <cell r="A6" t="str">
            <v>120x300</v>
          </cell>
        </row>
        <row r="7">
          <cell r="A7" t="str">
            <v>120x600</v>
          </cell>
        </row>
        <row r="8">
          <cell r="A8" t="str">
            <v>120x80</v>
          </cell>
        </row>
        <row r="9">
          <cell r="A9" t="str">
            <v>170x250</v>
          </cell>
        </row>
        <row r="10">
          <cell r="A10" t="str">
            <v>190x160</v>
          </cell>
        </row>
        <row r="11">
          <cell r="A11" t="str">
            <v>214x150</v>
          </cell>
        </row>
        <row r="12">
          <cell r="A12" t="str">
            <v>214x170</v>
          </cell>
        </row>
        <row r="13">
          <cell r="A13" t="str">
            <v>224x75</v>
          </cell>
        </row>
        <row r="14">
          <cell r="A14" t="str">
            <v>234x60</v>
          </cell>
        </row>
        <row r="15">
          <cell r="A15" t="str">
            <v>300x250</v>
          </cell>
        </row>
        <row r="16">
          <cell r="A16" t="str">
            <v>336x280</v>
          </cell>
        </row>
        <row r="17">
          <cell r="A17" t="str">
            <v>468x60</v>
          </cell>
        </row>
        <row r="18">
          <cell r="A18" t="str">
            <v>637x40</v>
          </cell>
        </row>
        <row r="19">
          <cell r="A19" t="str">
            <v>637x60</v>
          </cell>
        </row>
        <row r="20">
          <cell r="A20" t="str">
            <v>640x90</v>
          </cell>
        </row>
        <row r="21">
          <cell r="A21" t="str">
            <v>728x90</v>
          </cell>
        </row>
        <row r="22">
          <cell r="A22" t="str">
            <v>Ad Corner</v>
          </cell>
        </row>
        <row r="23">
          <cell r="A23" t="str">
            <v>Advertorial</v>
          </cell>
        </row>
        <row r="24">
          <cell r="A24" t="str">
            <v>Floating</v>
          </cell>
        </row>
        <row r="25">
          <cell r="A25" t="str">
            <v>Full Page Ov.</v>
          </cell>
        </row>
        <row r="26">
          <cell r="A26" t="str">
            <v>İnterstitial</v>
          </cell>
        </row>
        <row r="27">
          <cell r="A27" t="str">
            <v>Page Skin</v>
          </cell>
        </row>
        <row r="28">
          <cell r="A28" t="str">
            <v>Popunder</v>
          </cell>
        </row>
        <row r="29">
          <cell r="A29" t="str">
            <v>Showcase</v>
          </cell>
        </row>
        <row r="30">
          <cell r="A30" t="str">
            <v>Sticky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KAND"/>
      <sheetName val="KAND KATEGORİ"/>
      <sheetName val="KAND CPS HESAPLAMA"/>
    </sheetNames>
    <sheetDataSet>
      <sheetData sheetId="0" refreshError="1">
        <row r="3">
          <cell r="A3" t="str">
            <v>Adults</v>
          </cell>
        </row>
        <row r="4">
          <cell r="A4" t="str">
            <v>Adults AB</v>
          </cell>
        </row>
        <row r="5">
          <cell r="A5" t="str">
            <v>Adults ABC1</v>
          </cell>
        </row>
        <row r="6">
          <cell r="A6" t="str">
            <v>Adults ABC1C2</v>
          </cell>
        </row>
        <row r="7">
          <cell r="A7" t="str">
            <v>Adults C1</v>
          </cell>
        </row>
        <row r="8">
          <cell r="A8" t="str">
            <v>Adults C2</v>
          </cell>
        </row>
        <row r="9">
          <cell r="A9" t="str">
            <v>Adults C2D</v>
          </cell>
        </row>
        <row r="10">
          <cell r="A10" t="str">
            <v>Adults D</v>
          </cell>
        </row>
        <row r="11">
          <cell r="A11" t="str">
            <v>Age 05-11</v>
          </cell>
        </row>
        <row r="12">
          <cell r="A12" t="str">
            <v>Age 05-11 AB</v>
          </cell>
        </row>
        <row r="13">
          <cell r="A13" t="str">
            <v>Age 05-11 ABC1</v>
          </cell>
        </row>
        <row r="14">
          <cell r="A14" t="str">
            <v>Age 05-11 ABC1C2</v>
          </cell>
        </row>
        <row r="15">
          <cell r="A15" t="str">
            <v>Age 05-11 C1</v>
          </cell>
        </row>
        <row r="16">
          <cell r="A16" t="str">
            <v>Age 05-11 C2</v>
          </cell>
        </row>
        <row r="17">
          <cell r="A17" t="str">
            <v>Age 05-11 C2D</v>
          </cell>
        </row>
        <row r="18">
          <cell r="A18" t="str">
            <v>Age 05-11 D</v>
          </cell>
        </row>
        <row r="19">
          <cell r="A19" t="str">
            <v>Age 05-19</v>
          </cell>
        </row>
        <row r="20">
          <cell r="A20" t="str">
            <v>Age 05-19 AB</v>
          </cell>
        </row>
        <row r="21">
          <cell r="A21" t="str">
            <v>Age 05-19 ABC1</v>
          </cell>
        </row>
        <row r="22">
          <cell r="A22" t="str">
            <v>Age 05-19 C1</v>
          </cell>
        </row>
        <row r="23">
          <cell r="A23" t="str">
            <v>Age 05-19 C2</v>
          </cell>
        </row>
        <row r="24">
          <cell r="A24" t="str">
            <v>Age 05-19 C2D</v>
          </cell>
        </row>
        <row r="25">
          <cell r="A25" t="str">
            <v>Age 05-19 D</v>
          </cell>
        </row>
        <row r="26">
          <cell r="A26" t="str">
            <v>Age 05-34</v>
          </cell>
        </row>
        <row r="27">
          <cell r="A27" t="str">
            <v>Age 05-34 AB</v>
          </cell>
        </row>
        <row r="28">
          <cell r="A28" t="str">
            <v>Age 05-34 ABC1</v>
          </cell>
        </row>
        <row r="29">
          <cell r="A29" t="str">
            <v>Age 05-34 C1</v>
          </cell>
        </row>
        <row r="30">
          <cell r="A30" t="str">
            <v>Age 05-34 C2</v>
          </cell>
        </row>
        <row r="31">
          <cell r="A31" t="str">
            <v>Age 05-34 C2D</v>
          </cell>
        </row>
        <row r="32">
          <cell r="A32" t="str">
            <v>Age 05-34 D</v>
          </cell>
        </row>
        <row r="33">
          <cell r="A33" t="str">
            <v>Age 12+</v>
          </cell>
        </row>
        <row r="34">
          <cell r="A34" t="str">
            <v>Age 12-14</v>
          </cell>
        </row>
        <row r="35">
          <cell r="A35" t="str">
            <v>Age 12-19</v>
          </cell>
        </row>
        <row r="36">
          <cell r="A36" t="str">
            <v>Age 12-19 AB</v>
          </cell>
        </row>
        <row r="37">
          <cell r="A37" t="str">
            <v>Age 12-19 ABC1</v>
          </cell>
        </row>
        <row r="38">
          <cell r="A38" t="str">
            <v>Age 12-19 C1</v>
          </cell>
        </row>
        <row r="39">
          <cell r="A39" t="str">
            <v>Age 12-19 C1C2</v>
          </cell>
        </row>
        <row r="40">
          <cell r="A40" t="str">
            <v>Age 12-19 C2</v>
          </cell>
        </row>
        <row r="41">
          <cell r="A41" t="str">
            <v>Age 12-19 C2D</v>
          </cell>
        </row>
        <row r="42">
          <cell r="A42" t="str">
            <v>Age 12-19 D</v>
          </cell>
        </row>
        <row r="43">
          <cell r="A43" t="str">
            <v>Age 12-24</v>
          </cell>
        </row>
        <row r="44">
          <cell r="A44" t="str">
            <v>Age 12-34</v>
          </cell>
        </row>
        <row r="45">
          <cell r="A45" t="str">
            <v>Age 12-34 AB</v>
          </cell>
        </row>
        <row r="46">
          <cell r="A46" t="str">
            <v>Age 12-34 ABC1</v>
          </cell>
        </row>
        <row r="47">
          <cell r="A47" t="str">
            <v>Age 12-34 C1</v>
          </cell>
        </row>
        <row r="48">
          <cell r="A48" t="str">
            <v>Age 12-34 C1C2</v>
          </cell>
        </row>
        <row r="49">
          <cell r="A49" t="str">
            <v>Age 12-34 C2</v>
          </cell>
        </row>
        <row r="50">
          <cell r="A50" t="str">
            <v>Age 12-34 C2D</v>
          </cell>
        </row>
        <row r="51">
          <cell r="A51" t="str">
            <v>Age 12-34 D</v>
          </cell>
        </row>
        <row r="52">
          <cell r="A52" t="str">
            <v>Age 12-44</v>
          </cell>
        </row>
        <row r="53">
          <cell r="A53" t="str">
            <v>Age 12-44 ABC1</v>
          </cell>
        </row>
        <row r="54">
          <cell r="A54" t="str">
            <v>Age 15+</v>
          </cell>
        </row>
        <row r="55">
          <cell r="A55" t="str">
            <v>Age 15+ AB</v>
          </cell>
        </row>
        <row r="56">
          <cell r="A56" t="str">
            <v>Age 15+ ABC1</v>
          </cell>
        </row>
        <row r="57">
          <cell r="A57" t="str">
            <v>Age 15+ C1</v>
          </cell>
        </row>
        <row r="58">
          <cell r="A58" t="str">
            <v>Age 15+ C2</v>
          </cell>
        </row>
        <row r="59">
          <cell r="A59" t="str">
            <v>Age 15+ C2D</v>
          </cell>
        </row>
        <row r="60">
          <cell r="A60" t="str">
            <v>Age 15+ D</v>
          </cell>
        </row>
        <row r="61">
          <cell r="A61" t="str">
            <v>Age 15-19</v>
          </cell>
        </row>
        <row r="62">
          <cell r="A62" t="str">
            <v>Age 15-19 AB</v>
          </cell>
        </row>
        <row r="63">
          <cell r="A63" t="str">
            <v>Age 15-19 ABC1</v>
          </cell>
        </row>
        <row r="64">
          <cell r="A64" t="str">
            <v>Age 15-24</v>
          </cell>
        </row>
        <row r="65">
          <cell r="A65" t="str">
            <v>Age 15-24 ABC1</v>
          </cell>
        </row>
        <row r="66">
          <cell r="A66" t="str">
            <v>Age 15-34</v>
          </cell>
        </row>
        <row r="67">
          <cell r="A67" t="str">
            <v>Age 15-34 AB</v>
          </cell>
        </row>
        <row r="68">
          <cell r="A68" t="str">
            <v>Age 15-34 ABC1</v>
          </cell>
        </row>
        <row r="69">
          <cell r="A69" t="str">
            <v>Age 15-34 ABC1C2</v>
          </cell>
        </row>
        <row r="70">
          <cell r="A70" t="str">
            <v>Age 15-44</v>
          </cell>
        </row>
        <row r="71">
          <cell r="A71" t="str">
            <v>Age 15-44 AB</v>
          </cell>
        </row>
        <row r="72">
          <cell r="A72" t="str">
            <v>Age 15-44 ABC1</v>
          </cell>
        </row>
        <row r="73">
          <cell r="A73" t="str">
            <v>Age 15-44 ABC1C2</v>
          </cell>
        </row>
        <row r="74">
          <cell r="A74" t="str">
            <v>Age 15-44 C1</v>
          </cell>
        </row>
        <row r="75">
          <cell r="A75" t="str">
            <v>Age 15-44 C2</v>
          </cell>
        </row>
        <row r="76">
          <cell r="A76" t="str">
            <v>Age 15-44 C2D</v>
          </cell>
        </row>
        <row r="77">
          <cell r="A77" t="str">
            <v>Age 15-44 D</v>
          </cell>
        </row>
        <row r="78">
          <cell r="A78" t="str">
            <v>Age 20-24</v>
          </cell>
        </row>
        <row r="79">
          <cell r="A79" t="str">
            <v>Age 20-34</v>
          </cell>
        </row>
        <row r="80">
          <cell r="A80" t="str">
            <v>Age 20-34 AB</v>
          </cell>
        </row>
        <row r="81">
          <cell r="A81" t="str">
            <v>Age 20-34 ABC1</v>
          </cell>
        </row>
        <row r="82">
          <cell r="A82" t="str">
            <v>Age 20-34 ABC1C2</v>
          </cell>
        </row>
        <row r="83">
          <cell r="A83" t="str">
            <v>Age 20-44</v>
          </cell>
        </row>
        <row r="84">
          <cell r="A84" t="str">
            <v>Age 20-44 AB</v>
          </cell>
        </row>
        <row r="85">
          <cell r="A85" t="str">
            <v>Age 20-44 ABC1</v>
          </cell>
        </row>
        <row r="86">
          <cell r="A86" t="str">
            <v>Age 20-44 ABC1C2</v>
          </cell>
        </row>
        <row r="87">
          <cell r="A87" t="str">
            <v>Age 20-44 C1</v>
          </cell>
        </row>
        <row r="88">
          <cell r="A88" t="str">
            <v>Age 20-44 C1C2</v>
          </cell>
        </row>
        <row r="89">
          <cell r="A89" t="str">
            <v>Age 20-44 C2</v>
          </cell>
        </row>
        <row r="90">
          <cell r="A90" t="str">
            <v>Age 20-44 C2D</v>
          </cell>
        </row>
        <row r="91">
          <cell r="A91" t="str">
            <v>Age 20-44 D</v>
          </cell>
        </row>
        <row r="92">
          <cell r="A92" t="str">
            <v>Age 25+</v>
          </cell>
        </row>
        <row r="93">
          <cell r="A93" t="str">
            <v>Age 25+ AB</v>
          </cell>
        </row>
        <row r="94">
          <cell r="A94" t="str">
            <v>Age 25+ ABC1</v>
          </cell>
        </row>
        <row r="95">
          <cell r="A95" t="str">
            <v>Age 25-34</v>
          </cell>
        </row>
        <row r="96">
          <cell r="A96" t="str">
            <v>Age 25-44 ABC1</v>
          </cell>
        </row>
        <row r="97">
          <cell r="A97" t="str">
            <v>Age 25-44 ABC1C2</v>
          </cell>
        </row>
        <row r="98">
          <cell r="A98" t="str">
            <v>Age 35+ AB</v>
          </cell>
        </row>
        <row r="99">
          <cell r="A99" t="str">
            <v>Age 35+ ABC1</v>
          </cell>
        </row>
        <row r="100">
          <cell r="A100" t="str">
            <v>Age 35-44</v>
          </cell>
        </row>
        <row r="101">
          <cell r="A101" t="str">
            <v>Age 35-44 ABC1</v>
          </cell>
        </row>
        <row r="102">
          <cell r="A102" t="str">
            <v>Age 45+</v>
          </cell>
        </row>
        <row r="103">
          <cell r="A103" t="str">
            <v>F</v>
          </cell>
        </row>
        <row r="104">
          <cell r="A104" t="str">
            <v>F 12-34 C1</v>
          </cell>
        </row>
        <row r="105">
          <cell r="A105" t="str">
            <v>F 12-44</v>
          </cell>
        </row>
        <row r="106">
          <cell r="A106" t="str">
            <v>F 12-44 ABC1</v>
          </cell>
        </row>
        <row r="107">
          <cell r="A107" t="str">
            <v>F 15+ ABC1</v>
          </cell>
        </row>
        <row r="108">
          <cell r="A108" t="str">
            <v>F 15+ ABC1C2</v>
          </cell>
        </row>
        <row r="109">
          <cell r="A109" t="str">
            <v>F 15-19</v>
          </cell>
        </row>
        <row r="110">
          <cell r="A110" t="str">
            <v>F 15-24</v>
          </cell>
        </row>
        <row r="111">
          <cell r="A111" t="str">
            <v>F 15-34 ABC1</v>
          </cell>
        </row>
        <row r="112">
          <cell r="A112" t="str">
            <v>F 15-44</v>
          </cell>
        </row>
        <row r="113">
          <cell r="A113" t="str">
            <v>F 15-44 AB</v>
          </cell>
        </row>
        <row r="114">
          <cell r="A114" t="str">
            <v>F 15-44 ABC1</v>
          </cell>
        </row>
        <row r="115">
          <cell r="A115" t="str">
            <v>F 15-44 C1</v>
          </cell>
        </row>
        <row r="116">
          <cell r="A116" t="str">
            <v>F 15-44 C2</v>
          </cell>
        </row>
        <row r="117">
          <cell r="A117" t="str">
            <v>F 15-44 C2D</v>
          </cell>
        </row>
        <row r="118">
          <cell r="A118" t="str">
            <v>F 15-44 D</v>
          </cell>
        </row>
        <row r="119">
          <cell r="A119" t="str">
            <v>F 20+</v>
          </cell>
        </row>
        <row r="120">
          <cell r="A120" t="str">
            <v>F 20+ AB</v>
          </cell>
        </row>
        <row r="121">
          <cell r="A121" t="str">
            <v>F 20+ ABC1</v>
          </cell>
        </row>
        <row r="122">
          <cell r="A122" t="str">
            <v>F 20+ ABC1C2</v>
          </cell>
        </row>
        <row r="123">
          <cell r="A123" t="str">
            <v>F 20+ C1</v>
          </cell>
        </row>
        <row r="124">
          <cell r="A124" t="str">
            <v>F 20+ C2</v>
          </cell>
        </row>
        <row r="125">
          <cell r="A125" t="str">
            <v>F 20+ C2D</v>
          </cell>
        </row>
        <row r="126">
          <cell r="A126" t="str">
            <v>F 20+ D</v>
          </cell>
        </row>
        <row r="127">
          <cell r="A127" t="str">
            <v>F 20-34</v>
          </cell>
        </row>
        <row r="128">
          <cell r="A128" t="str">
            <v>F 20-34 AB</v>
          </cell>
        </row>
        <row r="129">
          <cell r="A129" t="str">
            <v>F 20-34 ABC1</v>
          </cell>
        </row>
        <row r="130">
          <cell r="A130" t="str">
            <v>F 20-34 ABC1C2</v>
          </cell>
        </row>
        <row r="131">
          <cell r="A131" t="str">
            <v>F 20-44</v>
          </cell>
        </row>
        <row r="132">
          <cell r="A132" t="str">
            <v>F 20-44 AB</v>
          </cell>
        </row>
        <row r="133">
          <cell r="A133" t="str">
            <v>F 20-44 ABC1</v>
          </cell>
        </row>
        <row r="134">
          <cell r="A134" t="str">
            <v>F 20-44 ABC1C2</v>
          </cell>
        </row>
        <row r="135">
          <cell r="A135" t="str">
            <v>F 20-44 C1</v>
          </cell>
        </row>
        <row r="136">
          <cell r="A136" t="str">
            <v>F 20-44 C2</v>
          </cell>
        </row>
        <row r="137">
          <cell r="A137" t="str">
            <v>F 20-44 C2D</v>
          </cell>
        </row>
        <row r="138">
          <cell r="A138" t="str">
            <v>F 20-44 D</v>
          </cell>
        </row>
        <row r="139">
          <cell r="A139" t="str">
            <v>F 25+ ABC1</v>
          </cell>
        </row>
        <row r="140">
          <cell r="A140" t="str">
            <v>F 25-34 ABC1</v>
          </cell>
        </row>
        <row r="141">
          <cell r="A141" t="str">
            <v>F 25-44 ABC1C2</v>
          </cell>
        </row>
        <row r="142">
          <cell r="A142" t="str">
            <v>F 35-44 C2D</v>
          </cell>
        </row>
        <row r="143">
          <cell r="A143" t="str">
            <v>F C1C2</v>
          </cell>
        </row>
        <row r="144">
          <cell r="A144" t="str">
            <v>Housekeeper</v>
          </cell>
        </row>
        <row r="145">
          <cell r="A145" t="str">
            <v>Housekeeper 20-44</v>
          </cell>
        </row>
        <row r="146">
          <cell r="A146" t="str">
            <v>Housekeeper 20-44 AB</v>
          </cell>
        </row>
        <row r="147">
          <cell r="A147" t="str">
            <v>Housekeeper 20-44 ABC1</v>
          </cell>
        </row>
        <row r="148">
          <cell r="A148" t="str">
            <v>Housekeeper AB</v>
          </cell>
        </row>
        <row r="149">
          <cell r="A149" t="str">
            <v>Housekeeper ABC1</v>
          </cell>
        </row>
        <row r="150">
          <cell r="A150" t="str">
            <v>Housekeeper ABC1C2</v>
          </cell>
        </row>
        <row r="151">
          <cell r="A151" t="str">
            <v>Housekeeper C1</v>
          </cell>
        </row>
        <row r="152">
          <cell r="A152" t="str">
            <v>Housekeeper C2</v>
          </cell>
        </row>
        <row r="153">
          <cell r="A153" t="str">
            <v>Housekeeper C2D</v>
          </cell>
        </row>
        <row r="154">
          <cell r="A154" t="str">
            <v>Housewife</v>
          </cell>
        </row>
        <row r="155">
          <cell r="A155" t="str">
            <v>Housewife 20+</v>
          </cell>
        </row>
        <row r="156">
          <cell r="A156" t="str">
            <v>Housewife 20-44</v>
          </cell>
        </row>
        <row r="157">
          <cell r="A157" t="str">
            <v>Housewife 20-44 ABC1C2</v>
          </cell>
        </row>
        <row r="158">
          <cell r="A158" t="str">
            <v>Housewife 20-44 C1C2</v>
          </cell>
        </row>
        <row r="159">
          <cell r="A159" t="str">
            <v>Housewife 25-44 ABC1C2</v>
          </cell>
        </row>
        <row r="160">
          <cell r="A160" t="str">
            <v>Housewife AB</v>
          </cell>
        </row>
        <row r="161">
          <cell r="A161" t="str">
            <v>Housewife ABC1</v>
          </cell>
        </row>
        <row r="162">
          <cell r="A162" t="str">
            <v>Housewife ABC1C2</v>
          </cell>
        </row>
        <row r="163">
          <cell r="A163" t="str">
            <v>Housewife C1</v>
          </cell>
        </row>
        <row r="164">
          <cell r="A164" t="str">
            <v>Housewife C1C2</v>
          </cell>
        </row>
        <row r="165">
          <cell r="A165" t="str">
            <v>Housewife C1C2D</v>
          </cell>
        </row>
        <row r="166">
          <cell r="A166" t="str">
            <v>Housewife C2</v>
          </cell>
        </row>
        <row r="167">
          <cell r="A167" t="str">
            <v>Housewife C2D</v>
          </cell>
        </row>
        <row r="168">
          <cell r="A168" t="str">
            <v>Housewife D</v>
          </cell>
        </row>
        <row r="169">
          <cell r="A169" t="str">
            <v>M</v>
          </cell>
        </row>
        <row r="170">
          <cell r="A170" t="str">
            <v>M 12+</v>
          </cell>
        </row>
        <row r="171">
          <cell r="A171" t="str">
            <v>M 12+ ABC1</v>
          </cell>
        </row>
        <row r="172">
          <cell r="A172" t="str">
            <v>M 12-19</v>
          </cell>
        </row>
        <row r="173">
          <cell r="A173" t="str">
            <v>M 15-19</v>
          </cell>
        </row>
        <row r="174">
          <cell r="A174" t="str">
            <v>M 15-19 ABC1</v>
          </cell>
        </row>
        <row r="175">
          <cell r="A175" t="str">
            <v>M 15-24</v>
          </cell>
        </row>
        <row r="176">
          <cell r="A176" t="str">
            <v>M 15-24 ABC1</v>
          </cell>
        </row>
        <row r="177">
          <cell r="A177" t="str">
            <v>M 15-34 ABC1</v>
          </cell>
        </row>
        <row r="178">
          <cell r="A178" t="str">
            <v>M 15-34 ABC1C2</v>
          </cell>
        </row>
        <row r="179">
          <cell r="A179" t="str">
            <v>M 15-44</v>
          </cell>
        </row>
        <row r="180">
          <cell r="A180" t="str">
            <v>M 15-44 ABC1</v>
          </cell>
        </row>
        <row r="181">
          <cell r="A181" t="str">
            <v>M 20+</v>
          </cell>
        </row>
        <row r="182">
          <cell r="A182" t="str">
            <v>M 20+ AB</v>
          </cell>
        </row>
        <row r="183">
          <cell r="A183" t="str">
            <v>M 20+ ABC1</v>
          </cell>
        </row>
        <row r="184">
          <cell r="A184" t="str">
            <v>M 20+ ABC1C2</v>
          </cell>
        </row>
        <row r="185">
          <cell r="A185" t="str">
            <v>M 20+ C1</v>
          </cell>
        </row>
      </sheetData>
      <sheetData sheetId="1" refreshError="1"/>
      <sheetData sheetId="2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posal 1"/>
    </sheetNames>
    <sheetDataSet>
      <sheetData sheetId="0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1449"/>
      <sheetName val="MA-BL"/>
      <sheetName val="MA_BL"/>
      <sheetName val="Köprü"/>
      <sheetName val="kategoriler"/>
      <sheetName val="tanımlar"/>
      <sheetName val="Data CpGRP"/>
      <sheetName val="MP NEON 2007"/>
      <sheetName val="Data KAND"/>
      <sheetName val="Kur"/>
      <sheetName val="Team"/>
      <sheetName val="Sch#13"/>
      <sheetName val="12"/>
      <sheetName val="Source-DO NOT ADJUST"/>
      <sheetName val="GRP"/>
      <sheetName val="LODI"/>
      <sheetName val="Incentives MBR"/>
      <sheetName val="Makro1"/>
      <sheetName val="#REF"/>
      <sheetName val="MP NEON 2008"/>
      <sheetName val="Laikai rad"/>
      <sheetName val="Evaluation2"/>
      <sheetName val="Pazarlam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atype"/>
      <sheetName val="creativetype"/>
      <sheetName val="billingtype"/>
      <sheetName val="parentcompany"/>
      <sheetName val="Media Plan"/>
      <sheetName val="LinkZ Network"/>
      <sheetName val="Adklik Network"/>
      <sheetName val="Adhood Network"/>
      <sheetName val="Adex Network"/>
    </sheetNames>
    <sheetDataSet>
      <sheetData sheetId="0" refreshError="1">
        <row r="1">
          <cell r="A1" t="str">
            <v>Display</v>
          </cell>
        </row>
        <row r="2">
          <cell r="A2" t="str">
            <v>Performance</v>
          </cell>
        </row>
        <row r="3">
          <cell r="A3" t="str">
            <v>Video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Scelta File"/>
      <sheetName val="StampeSintesi"/>
      <sheetName val="SelModello"/>
      <sheetName val="Modelli"/>
      <sheetName val="Stampa Sintesi"/>
      <sheetName val="Scelta Files"/>
      <sheetName val="SelDocDati"/>
      <sheetName val="Doc Dati"/>
      <sheetName val="Sintesi"/>
      <sheetName val="GraficiIndiciRealeVisualePromo"/>
      <sheetName val="HIDE indice definizioni insiemi"/>
      <sheetName val="HIDE definizioni insiemi 1"/>
      <sheetName val="HIDE indice definizioni grafici"/>
      <sheetName val="HIDE definizioni grafici 1"/>
      <sheetName val="HIDE Note"/>
      <sheetName val="HIDE des(frmDefineCreateGraph)"/>
      <sheetName val="HIDE des(frmXlstart)"/>
      <sheetName val="HIDE menu(prix)"/>
      <sheetName val="PRIX"/>
      <sheetName val="MA-BL"/>
      <sheetName val="tanımlar"/>
      <sheetName val="PRIX.xla"/>
      <sheetName val="[PRIX.xla][PRIX.xla]_atest_PR_2"/>
      <sheetName val="Griglia Mondo - Volumi"/>
      <sheetName val="Griglia Mondo - Mix (2)"/>
      <sheetName val="MAREA"/>
      <sheetName val="Marea MY"/>
      <sheetName val="MULTIPLA"/>
      <sheetName val="Dati"/>
      <sheetName val="bedsheet"/>
      <sheetName val="구동"/>
      <sheetName val="Scelta_File"/>
      <sheetName val="Stampa_Sintesi"/>
      <sheetName val="Scelta_Files"/>
      <sheetName val="Doc_Dati"/>
      <sheetName val="HIDE_indice_definizioni_insiemi"/>
      <sheetName val="HIDE_definizioni_insiemi_1"/>
      <sheetName val="HIDE_indice_definizioni_grafici"/>
      <sheetName val="HIDE_definizioni_grafici_1"/>
      <sheetName val="HIDE_Note"/>
      <sheetName val="HIDE_des(frmDefineCreateGraph)"/>
      <sheetName val="HIDE_des(frmXlstart)"/>
      <sheetName val="HIDE_menu(prix)"/>
      <sheetName val="Griglia_Mondo_-_Volumi"/>
      <sheetName val="Griglia_Mondo_-_Mix_(2)"/>
      <sheetName val="Marea_MY"/>
      <sheetName val="Scelta_File1"/>
      <sheetName val="Stampa_Sintesi1"/>
      <sheetName val="Scelta_Files1"/>
      <sheetName val="Doc_Dati1"/>
      <sheetName val="HIDE_indice_definizioni_insiem1"/>
      <sheetName val="HIDE_definizioni_insiemi_11"/>
      <sheetName val="HIDE_indice_definizioni_grafic1"/>
      <sheetName val="HIDE_definizioni_grafici_11"/>
      <sheetName val="HIDE_Note1"/>
      <sheetName val="HIDE_des(frmDefineCreateGraph)1"/>
      <sheetName val="HIDE_des(frmXlstart)1"/>
      <sheetName val="HIDE_menu(prix)1"/>
      <sheetName val="Griglia_Mondo_-_Volumi1"/>
      <sheetName val="Griglia_Mondo_-_Mix_(2)1"/>
      <sheetName val="Marea_MY1"/>
      <sheetName val="Sales by quadrimesters"/>
      <sheetName val="SUP'S PASS DOM"/>
      <sheetName val="OPT old"/>
      <sheetName val="LB Plan 97 neu 15531 Best "/>
      <sheetName val="contdef"/>
      <sheetName val="Özet"/>
      <sheetName val="[PRIX.xla][PRIX.xla]_A_atest__2"/>
      <sheetName val="\\192.168.1.254\2013\A\atest\PR"/>
      <sheetName val="[PRIX.xla][PRIX.xla]_atest_PR_3"/>
      <sheetName val="[PRIX.xla][PRIX.xla]_A_atest__3"/>
      <sheetName val="[PRIX.xla][PRIX.xla]_atest_PR_4"/>
      <sheetName val="[PRIX.xla][PRIX.xla]_A_atest__4"/>
      <sheetName val="[PRIX.xla][PRIX.xla]_atest_PR_5"/>
      <sheetName val="[PRIX.xla][PRIX.xla]_A_atest__5"/>
      <sheetName val="[PRIX.xla][PRIX.xla]_atest_PR_6"/>
      <sheetName val="[PRIX.xla][PRIX.xla]_A_atest__6"/>
      <sheetName val="[PRIX.xla][PRIX.xla]_atest_PR_7"/>
      <sheetName val="[PRIX.xla][PRIX.xla]_A_atest__7"/>
      <sheetName val="\\Server\ortak\Volumes\ORTAK\T1"/>
      <sheetName val="P3"/>
      <sheetName val="[PRIX.xla][PRIX.xla]_atest_PR_9"/>
      <sheetName val="[PRIX.xla][PRIX.xla]_A_atest__9"/>
      <sheetName val="[PRIX.xla][PRIX.xla]_atest_PR_8"/>
      <sheetName val="[PRIX.xla][PRIX.xla]_A_atest__8"/>
      <sheetName val="[PRIX.xla][PRIX.xla]\atest\PRIX"/>
      <sheetName val="[PRIX.xla][PRIX.xla]\A\atest\PR"/>
      <sheetName val="[PRIX.xla][PRIX.xla][PRIX.xla]["/>
      <sheetName val="[PRIX.xla]\\192.168.1.254\2013\"/>
      <sheetName val="[PRIX.xla][PRIX.xla][PRIX.xla]\"/>
      <sheetName val="[PRIX.xla][PRIX.xla]\\192.168.1"/>
      <sheetName val="[PRIX.xla][PRIX.xla]\\Server\or"/>
      <sheetName val="[PRIX.xla]\\Server\ortak\Volume"/>
      <sheetName val="[PRIX.xla][PRIX.xla]_atest_P_14"/>
      <sheetName val="[PRIX.xla][PRIX.xla]_A_atest_14"/>
      <sheetName val="[PRIX.xla][PRIX.xla]_atest_P_13"/>
      <sheetName val="[PRIX.xla][PRIX.xla]_A_atest_13"/>
      <sheetName val="[PRIX.xla][PRIX.xla]_atest_P_12"/>
      <sheetName val="[PRIX.xla][PRIX.xla]_A_atest_12"/>
      <sheetName val="[PRIX.xla][PRIX.xla]_atest_P_11"/>
      <sheetName val="[PRIX.xla][PRIX.xla]_A_atest_11"/>
      <sheetName val="[PRIX.xla][PRIX.xla]_atest_P_10"/>
      <sheetName val="[PRIX.xla][PRIX.xla]_A_atest_10"/>
      <sheetName val="[PRIX.xla][PRIX.xla]_atest_P_16"/>
      <sheetName val="[PRIX.xla][PRIX.xla]_A_atest_16"/>
      <sheetName val="[PRIX.xla][PRIX.xla]_atest_P_15"/>
      <sheetName val="[PRIX.xla][PRIX.xla]_A_atest_15"/>
      <sheetName val="[PRIX.xla][PRIX.xla]_atest_P_18"/>
      <sheetName val="[PRIX.xla][PRIX.xla]_A_atest_18"/>
      <sheetName val="[PRIX.xla][PRIX.xla]_atest_P_17"/>
      <sheetName val="[PRIX.xla][PRIX.xla]_A_atest_17"/>
      <sheetName val="[PRIX.xla][PRIX.xla]_atest_P_36"/>
      <sheetName val="[PRIX.xla][PRIX.xla]_A_atest_36"/>
      <sheetName val="[PRIX.xla][PRIX.xla]_atest_P_21"/>
      <sheetName val="[PRIX.xla][PRIX.xla]_A_atest_21"/>
      <sheetName val="[PRIX.xla][PRIX.xla]_atest_P_19"/>
      <sheetName val="[PRIX.xla][PRIX.xla]_A_atest_19"/>
      <sheetName val="[PRIX.xla][PRIX.xla]_atest_P_20"/>
      <sheetName val="[PRIX.xla][PRIX.xla]_A_atest_20"/>
      <sheetName val="[PRIX.xla][PRIX.xla]_atest_P_23"/>
      <sheetName val="[PRIX.xla][PRIX.xla]_A_atest_23"/>
      <sheetName val="[PRIX.xla][PRIX.xla]_atest_P_22"/>
      <sheetName val="[PRIX.xla][PRIX.xla]_A_atest_22"/>
      <sheetName val="[PRIX.xla][PRIX.xla]_atest_P_29"/>
      <sheetName val="[PRIX.xla][PRIX.xla]_A_atest_29"/>
      <sheetName val="[PRIX.xla][PRIX.xla]_atest_P_24"/>
      <sheetName val="[PRIX.xla][PRIX.xla]_A_atest_24"/>
      <sheetName val="[PRIX.xla][PRIX.xla]_atest_P_25"/>
      <sheetName val="[PRIX.xla][PRIX.xla]_A_atest_25"/>
      <sheetName val="[PRIX.xla][PRIX.xla]_atest_P_26"/>
      <sheetName val="[PRIX.xla][PRIX.xla]_A_atest_26"/>
      <sheetName val="[PRIX.xla][PRIX.xla]_atest_P_27"/>
      <sheetName val="[PRIX.xla][PRIX.xla]_A_atest_27"/>
      <sheetName val="[PRIX.xla][PRIX.xla]_atest_P_28"/>
      <sheetName val="[PRIX.xla][PRIX.xla]_A_atest_28"/>
      <sheetName val="[PRIX.xla][PRIX.xla]_atest_P_30"/>
      <sheetName val="[PRIX.xla][PRIX.xla]_A_atest_30"/>
      <sheetName val="[PRIX.xla][PRIX.xla]_atest_P_31"/>
      <sheetName val="[PRIX.xla][PRIX.xla]_A_atest_31"/>
      <sheetName val="[PRIX.xla][PRIX.xla]_atest_P_32"/>
      <sheetName val="[PRIX.xla][PRIX.xla]_A_atest_32"/>
      <sheetName val="[PRIX.xla][PRIX.xla]_atest_P_33"/>
      <sheetName val="[PRIX.xla][PRIX.xla]_A_atest_33"/>
      <sheetName val="[PRIX.xla][PRIX.xla]_atest_P_34"/>
      <sheetName val="[PRIX.xla][PRIX.xla]_A_atest_34"/>
      <sheetName val="[PRIX.xla][PRIX.xla]_atest_P_35"/>
      <sheetName val="[PRIX.xla][PRIX.xla]_A_atest_35"/>
      <sheetName val="[PRIX.xla][PRIX.xla]_atest_P_37"/>
      <sheetName val="[PRIX.xla][PRIX.xla]_A_atest_37"/>
      <sheetName val="[PRIX.xla][PRIX.xla]_atest_P_39"/>
      <sheetName val="[PRIX.xla][PRIX.xla]_A_atest_39"/>
      <sheetName val="[PRIX.xla][PRIX.xla]_atest_P_38"/>
      <sheetName val="[PRIX.xla][PRIX.xla]_A_atest_38"/>
      <sheetName val="[PRIX.xla][PRIX.xla]_atest_P_41"/>
      <sheetName val="[PRIX.xla][PRIX.xla]_A_atest_41"/>
      <sheetName val="[PRIX.xla][PRIX.xla]_atest_P_40"/>
      <sheetName val="[PRIX.xla][PRIX.xla]_A_atest_40"/>
      <sheetName val="[PRIX.xla][PRIX.xla]_atest_P_48"/>
      <sheetName val="[PRIX.xla][PRIX.xla]_A_atest_48"/>
      <sheetName val="[PRIX.xla][PRIX.xla]_atest_P_42"/>
      <sheetName val="[PRIX.xla][PRIX.xla]_A_atest_42"/>
      <sheetName val="[PRIX.xla][PRIX.xla]_atest_P_43"/>
      <sheetName val="[PRIX.xla][PRIX.xla]_A_atest_43"/>
      <sheetName val="[PRIX.xla][PRIX.xla]_atest_P_44"/>
      <sheetName val="[PRIX.xla][PRIX.xla]_A_atest_44"/>
      <sheetName val="[PRIX.xla][PRIX.xla]_atest_P_45"/>
      <sheetName val="[PRIX.xla][PRIX.xla]_A_atest_45"/>
      <sheetName val="[PRIX.xla][PRIX.xla]_atest_P_46"/>
      <sheetName val="[PRIX.xla][PRIX.xla]_A_atest_46"/>
      <sheetName val="[PRIX.xla][PRIX.xla]_atest_P_47"/>
      <sheetName val="[PRIX.xla][PRIX.xla]_A_atest_47"/>
      <sheetName val="[PRIX.xla][PRIX.xla]_atest_P_49"/>
      <sheetName val="[PRIX.xla][PRIX.xla]_A_atest_49"/>
      <sheetName val="[PRIX.xla][PRIX.xla]_atest_P_53"/>
      <sheetName val="[PRIX.xla][PRIX.xla]_A_atest_53"/>
      <sheetName val="[PRIX.xla][PRIX.xla]_atest_P_50"/>
      <sheetName val="[PRIX.xla][PRIX.xla]_A_atest_50"/>
      <sheetName val="[PRIX.xla][PRIX.xla]_atest_P_51"/>
      <sheetName val="[PRIX.xla][PRIX.xla]_A_atest_51"/>
      <sheetName val="[PRIX.xla][PRIX.xla]_atest_P_52"/>
      <sheetName val="[PRIX.xla][PRIX.xla]_A_atest_52"/>
      <sheetName val="[PRIX.xla][PRIX.xla]_atest_P_59"/>
      <sheetName val="[PRIX.xla][PRIX.xla]_A_atest_59"/>
      <sheetName val="[PRIX.xla][PRIX.xla]_atest_P_54"/>
      <sheetName val="[PRIX.xla][PRIX.xla]_A_atest_54"/>
      <sheetName val="[PRIX.xla][PRIX.xla]_atest_P_55"/>
      <sheetName val="[PRIX.xla][PRIX.xla]_A_atest_55"/>
      <sheetName val="[PRIX.xla][PRIX.xla]_atest_P_56"/>
      <sheetName val="[PRIX.xla][PRIX.xla]_A_atest_56"/>
      <sheetName val="[PRIX.xla][PRIX.xla]_atest_P_57"/>
      <sheetName val="[PRIX.xla][PRIX.xla]_A_atest_57"/>
      <sheetName val="[PRIX.xla][PRIX.xla]_atest_P_58"/>
      <sheetName val="[PRIX.xla][PRIX.xla]_A_atest_58"/>
      <sheetName val="[PRIX.xla][PRIX.xla]_atest_P_61"/>
      <sheetName val="[PRIX.xla][PRIX.xla]_A_atest_61"/>
      <sheetName val="[PRIX.xla][PRIX.xla]_atest_P_60"/>
      <sheetName val="[PRIX.xla][PRIX.xla]_A_atest_60"/>
      <sheetName val="[PRIX.xla][PRIX.xla]_atest_P_62"/>
      <sheetName val="[PRIX.xla][PRIX.xla]_A_atest_62"/>
      <sheetName val="[PRIX.xla][PRIX.xla]_atest_P_66"/>
      <sheetName val="[PRIX.xla][PRIX.xla]_A_atest_66"/>
      <sheetName val="[PRIX.xla][PRIX.xla]_atest_P_63"/>
      <sheetName val="[PRIX.xla][PRIX.xla]_A_atest_63"/>
      <sheetName val="[PRIX.xla][PRIX.xla]_atest_P_64"/>
      <sheetName val="[PRIX.xla][PRIX.xla]_A_atest_64"/>
      <sheetName val="[PRIX.xla][PRIX.xla]_atest_P_65"/>
      <sheetName val="[PRIX.xla][PRIX.xla]_A_atest_65"/>
      <sheetName val="[PRIX.xla]__192_168_1_254_201_2"/>
      <sheetName val="Kategoriler"/>
      <sheetName val="[PRIX.xla][PRIX.xla]_atest_P_67"/>
      <sheetName val="[PRIX.xla][PRIX.xla]_A_atest_67"/>
      <sheetName val="[PRIX.xla][PRIX.xla]_atest_P_68"/>
      <sheetName val="[PRIX.xla][PRIX.xla]_A_atest_68"/>
      <sheetName val="[PRIX.xla][PRIX.xla]_atest_P_70"/>
      <sheetName val="[PRIX.xla][PRIX.xla]_A_atest_70"/>
      <sheetName val="[PRIX.xla][PRIX.xla]_atest_P_69"/>
      <sheetName val="[PRIX.xla][PRIX.xla]_A_atest_69"/>
      <sheetName val="[PRIX.xla][PRIX.xla]_atest_P_77"/>
      <sheetName val="[PRIX.xla][PRIX.xla]_A_atest_77"/>
      <sheetName val="[PRIX.xla][PRIX.xla]_atest_P_76"/>
      <sheetName val="[PRIX.xla][PRIX.xla]_A_atest_76"/>
      <sheetName val="[PRIX.xla][PRIX.xla]_atest_P_75"/>
      <sheetName val="[PRIX.xla][PRIX.xla]_A_atest_75"/>
      <sheetName val="[PRIX.xla][PRIX.xla]_atest_P_74"/>
      <sheetName val="[PRIX.xla][PRIX.xla]_A_atest_74"/>
      <sheetName val="[PRIX.xla][PRIX.xla]_atest_P_71"/>
      <sheetName val="[PRIX.xla][PRIX.xla]_A_atest_71"/>
      <sheetName val="[PRIX.xla][PRIX.xla]_atest_P_73"/>
      <sheetName val="[PRIX.xla][PRIX.xla]_A_atest_73"/>
      <sheetName val="[PRIX.xla][PRIX.xla]_atest_P_72"/>
      <sheetName val="[PRIX.xla][PRIX.xla]_A_atest_72"/>
      <sheetName val="[PRIX.xla][PRIX.xla]_atest_P_79"/>
      <sheetName val="[PRIX.xla][PRIX.xla]_A_atest_79"/>
      <sheetName val="[PRIX.xla][PRIX.xla]_atest_P_78"/>
      <sheetName val="[PRIX.xla][PRIX.xla]_A_atest_78"/>
      <sheetName val="[PRIX.xla][PRIX.xla]_atest_P_80"/>
      <sheetName val="[PRIX.xla][PRIX.xla]_A_atest_80"/>
      <sheetName val="[PRIX.xla][PRIX.xla]_atest_P_81"/>
      <sheetName val="[PRIX.xla][PRIX.xla]_A_atest_81"/>
      <sheetName val="[PRIX.xla][PRIX.xla]_atest_P_82"/>
      <sheetName val="[PRIX.xla][PRIX.xla]_A_atest_82"/>
      <sheetName val="[PRIX.xla][PRIX.xla]_atest_P_83"/>
      <sheetName val="[PRIX.xla][PRIX.xla]_A_atest_83"/>
      <sheetName val="[PRIX.xla][PRIX.xla]_atest_P_84"/>
      <sheetName val="[PRIX.xla][PRIX.xla]_A_atest_84"/>
      <sheetName val="[PRIX.xla][PRIX.xla]_atest_P_88"/>
      <sheetName val="[PRIX.xla][PRIX.xla]_A_atest_88"/>
      <sheetName val="[PRIX.xla][PRIX.xla]_atest_P_86"/>
      <sheetName val="[PRIX.xla][PRIX.xla]_A_atest_86"/>
      <sheetName val="[PRIX.xla][PRIX.xla]_atest_P_85"/>
      <sheetName val="[PRIX.xla][PRIX.xla]_A_atest_85"/>
      <sheetName val="[PRIX.xla][PRIX.xla]_atest_P_87"/>
      <sheetName val="[PRIX.xla][PRIX.xla]_A_atest_87"/>
      <sheetName val="[PRIX.xla][PRIX.xla]_atest_P_89"/>
      <sheetName val="[PRIX.xla][PRIX.xla]_A_atest_89"/>
      <sheetName val="[PRIX.xla][PRIX.xla]_atest_P_99"/>
      <sheetName val="[PRIX.xla][PRIX.xla]_A_atest_99"/>
      <sheetName val="[PRIX.xla][PRIX.xla]_atest_P_96"/>
      <sheetName val="[PRIX.xla][PRIX.xla]_A_atest_96"/>
      <sheetName val="[PRIX.xla][PRIX.xla]_atest_P_95"/>
      <sheetName val="[PRIX.xla][PRIX.xla]_A_atest_95"/>
      <sheetName val="[PRIX.xla][PRIX.xla]_atest_P_94"/>
      <sheetName val="[PRIX.xla][PRIX.xla]_A_atest_94"/>
      <sheetName val="[PRIX.xla][PRIX.xla]_atest_P_90"/>
      <sheetName val="[PRIX.xla][PRIX.xla]_A_atest_90"/>
      <sheetName val="[PRIX.xla][PRIX.xla]_atest_P_91"/>
      <sheetName val="[PRIX.xla][PRIX.xla]_A_atest_91"/>
      <sheetName val="[PRIX.xla][PRIX.xla]_atest_P_92"/>
      <sheetName val="[PRIX.xla][PRIX.xla]_A_atest_92"/>
      <sheetName val="[PRIX.xla][PRIX.xla]_atest_P_93"/>
      <sheetName val="[PRIX.xla][PRIX.xla]_A_atest_93"/>
      <sheetName val="[PRIX.xla][PRIX.xla]_atest_P_97"/>
      <sheetName val="[PRIX.xla][PRIX.xla]_A_atest_97"/>
      <sheetName val="[PRIX.xla][PRIX.xla]_atest_P_98"/>
      <sheetName val="[PRIX.xla][PRIX.xla]_A_atest_98"/>
      <sheetName val="[PRIX.xla][PRIX.xla]_atest__100"/>
      <sheetName val="[PRIX.xla][PRIX.xla]_A_ates_100"/>
      <sheetName val="[PRIX.xla][PRIX.xla]_atest__101"/>
      <sheetName val="[PRIX.xla][PRIX.xla]_A_ates_101"/>
      <sheetName val="[PRIX.xla][PRIX.xla]_atest__103"/>
      <sheetName val="[PRIX.xla][PRIX.xla]_A_ates_103"/>
      <sheetName val="[PRIX.xla][PRIX.xla]_atest__102"/>
      <sheetName val="[PRIX.xla][PRIX.xla]_A_ates_102"/>
      <sheetName val="[PRIX.xla][PRIX.xla]_atest__106"/>
      <sheetName val="[PRIX.xla][PRIX.xla]_A_ates_106"/>
      <sheetName val="[PRIX.xla][PRIX.xla]_atest__104"/>
      <sheetName val="[PRIX.xla][PRIX.xla]_A_ates_104"/>
      <sheetName val="[PRIX.xla][PRIX.xla]_atest__105"/>
      <sheetName val="[PRIX.xla][PRIX.xla]_A_ates_105"/>
      <sheetName val="[PRIX.xla][PRIX.xla]_atest__107"/>
      <sheetName val="[PRIX.xla][PRIX.xla]_A_ates_107"/>
      <sheetName val="[PRIX.xla][PRIX.xla]_atest__109"/>
      <sheetName val="[PRIX.xla][PRIX.xla]_A_ates_109"/>
      <sheetName val="[PRIX.xla][PRIX.xla]_atest__108"/>
      <sheetName val="[PRIX.xla][PRIX.xla]_A_ates_108"/>
      <sheetName val="[PRIX.xla][PRIX.xla]_atest__112"/>
      <sheetName val="[PRIX.xla][PRIX.xla]_A_ates_112"/>
      <sheetName val="[PRIX.xla][PRIX.xla]_atest__110"/>
      <sheetName val="[PRIX.xla][PRIX.xla]_A_ates_110"/>
      <sheetName val="[PRIX.xla][PRIX.xla]_atest__111"/>
      <sheetName val="[PRIX.xla][PRIX.xla]_A_ates_111"/>
      <sheetName val="[PRIX.xla][PRIX.xla]_atest__114"/>
      <sheetName val="[PRIX.xla][PRIX.xla]_A_ates_114"/>
      <sheetName val="[PRIX.xla][PRIX.xla]_atest__113"/>
      <sheetName val="[PRIX.xla][PRIX.xla]_A_ates_113"/>
      <sheetName val="[PRIX.xla][PRIX.xla]_atest__116"/>
      <sheetName val="[PRIX.xla][PRIX.xla]_A_ates_116"/>
      <sheetName val="[PRIX.xla][PRIX.xla]_atest__115"/>
      <sheetName val="[PRIX.xla][PRIX.xla]_A_ates_115"/>
      <sheetName val="[PRIX.xla][PRIX.xla]_atest__118"/>
      <sheetName val="[PRIX.xla][PRIX.xla]_A_ates_118"/>
      <sheetName val="[PRIX.xla][PRIX.xla]_atest__117"/>
      <sheetName val="[PRIX.xla][PRIX.xla]_A_ates_117"/>
      <sheetName val="[PRIX.xla][PRIX.xla]_atest__119"/>
      <sheetName val="[PRIX.xla][PRIX.xla]_A_ates_119"/>
      <sheetName val="[PRIX.xla][PRIX.xla]_atest__121"/>
      <sheetName val="[PRIX.xla][PRIX.xla]_A_ates_121"/>
      <sheetName val="[PRIX.xla][PRIX.xla]_atest__120"/>
      <sheetName val="[PRIX.xla][PRIX.xla]_A_ates_120"/>
      <sheetName val="[PRIX.xla][PRIX.xla]_atest__122"/>
      <sheetName val="[PRIX.xla][PRIX.xla]_A_ates_122"/>
      <sheetName val="[PRIX.xla][PRIX.xla]_atest__123"/>
      <sheetName val="[PRIX.xla][PRIX.xla]_A_ates_123"/>
      <sheetName val="[PRIX.xla][PRIX.xla]_atest__127"/>
      <sheetName val="[PRIX.xla][PRIX.xla]_A_ates_127"/>
      <sheetName val="[PRIX.xla][PRIX.xla]_atest__124"/>
      <sheetName val="[PRIX.xla][PRIX.xla]_A_ates_124"/>
      <sheetName val="[PRIX.xla][PRIX.xla]_atest__126"/>
      <sheetName val="[PRIX.xla][PRIX.xla]_A_ates_126"/>
      <sheetName val="[PRIX.xla][PRIX.xla]_atest__125"/>
      <sheetName val="[PRIX.xla][PRIX.xla]_A_ates_125"/>
      <sheetName val="[PRIX.xla][PRIX.xla]_atest__130"/>
      <sheetName val="[PRIX.xla][PRIX.xla]_A_ates_130"/>
      <sheetName val="[PRIX.xla][PRIX.xla]_atest__138"/>
      <sheetName val="[PRIX.xla][PRIX.xla]_A_ates_138"/>
      <sheetName val="[PRIX.xla][PRIX.xla]_atest__129"/>
      <sheetName val="[PRIX.xla][PRIX.xla]_A_ates_129"/>
      <sheetName val="[PRIX.xla][PRIX.xla]_atest__128"/>
      <sheetName val="[PRIX.xla][PRIX.xla]_A_ates_128"/>
      <sheetName val="[PRIX.xla][PRIX.xla]_atest__132"/>
      <sheetName val="[PRIX.xla][PRIX.xla]_A_ates_132"/>
      <sheetName val="[PRIX.xla][PRIX.xla]_atest__131"/>
      <sheetName val="[PRIX.xla][PRIX.xla]_A_ates_131"/>
      <sheetName val="[PRIX.xla][PRIX.xla]_atest__137"/>
      <sheetName val="[PRIX.xla][PRIX.xla]_A_ates_137"/>
      <sheetName val="[PRIX.xla][PRIX.xla]_atest__136"/>
      <sheetName val="[PRIX.xla][PRIX.xla]_A_ates_136"/>
      <sheetName val="[PRIX.xla][PRIX.xla]_atest__135"/>
      <sheetName val="[PRIX.xla][PRIX.xla]_A_ates_135"/>
      <sheetName val="[PRIX.xla][PRIX.xla]_atest__133"/>
      <sheetName val="[PRIX.xla][PRIX.xla]_A_ates_133"/>
      <sheetName val="[PRIX.xla][PRIX.xla]_atest__134"/>
      <sheetName val="[PRIX.xla][PRIX.xla]_A_ates_134"/>
      <sheetName val="[PRIX.xla][PRIX.xla]_atest__159"/>
      <sheetName val="[PRIX.xla][PRIX.xla]_A_ates_159"/>
      <sheetName val="[PRIX.xla][PRIX.xla]_atest__155"/>
      <sheetName val="[PRIX.xla][PRIX.xla]_A_ates_155"/>
      <sheetName val="[PRIX.xla][PRIX.xla]_atest__139"/>
      <sheetName val="[PRIX.xla][PRIX.xla]_A_ates_139"/>
      <sheetName val="[PRIX.xla][PRIX.xla]_atest__141"/>
      <sheetName val="[PRIX.xla][PRIX.xla]_A_ates_141"/>
      <sheetName val="[PRIX.xla][PRIX.xla]_atest__140"/>
      <sheetName val="[PRIX.xla][PRIX.xla]_A_ates_140"/>
      <sheetName val="[PRIX.xla][PRIX.xla]_atest__142"/>
      <sheetName val="[PRIX.xla][PRIX.xla]_A_ates_142"/>
      <sheetName val="[PRIX.xla][PRIX.xla]_atest__152"/>
      <sheetName val="[PRIX.xla][PRIX.xla]_A_ates_152"/>
      <sheetName val="[PRIX.xla][PRIX.xla]_atest__150"/>
      <sheetName val="[PRIX.xla][PRIX.xla]_A_ates_150"/>
      <sheetName val="[PRIX.xla][PRIX.xla]_atest__149"/>
      <sheetName val="[PRIX.xla][PRIX.xla]_A_ates_149"/>
      <sheetName val="[PRIX.xla][PRIX.xla]_atest__143"/>
      <sheetName val="[PRIX.xla][PRIX.xla]_A_ates_143"/>
      <sheetName val="[PRIX.xla][PRIX.xla]_atest__145"/>
      <sheetName val="[PRIX.xla][PRIX.xla]_A_ates_145"/>
      <sheetName val="[PRIX.xla][PRIX.xla]_atest__144"/>
      <sheetName val="[PRIX.xla][PRIX.xla]_A_ates_144"/>
      <sheetName val="[PRIX.xla][PRIX.xla]_atest__146"/>
      <sheetName val="[PRIX.xla][PRIX.xla]_A_ates_146"/>
      <sheetName val="[PRIX.xla][PRIX.xla]_atest__147"/>
      <sheetName val="[PRIX.xla][PRIX.xla]_A_ates_147"/>
      <sheetName val="[PRIX.xla][PRIX.xla]_atest__148"/>
      <sheetName val="[PRIX.xla][PRIX.xla]_A_ates_148"/>
      <sheetName val="[PRIX.xla][PRIX.xla]_atest__151"/>
      <sheetName val="[PRIX.xla][PRIX.xla]_A_ates_151"/>
      <sheetName val="[PRIX.xla][PRIX.xla]_atest__154"/>
      <sheetName val="[PRIX.xla][PRIX.xla]_A_ates_154"/>
      <sheetName val="[PRIX.xla][PRIX.xla]_atest__153"/>
      <sheetName val="[PRIX.xla][PRIX.xla]_A_ates_153"/>
      <sheetName val="[PRIX.xla][PRIX.xla]_atest__156"/>
      <sheetName val="[PRIX.xla][PRIX.xla]_A_ates_156"/>
      <sheetName val="[PRIX.xla][PRIX.xla]_atest__158"/>
      <sheetName val="[PRIX.xla][PRIX.xla]_A_ates_158"/>
      <sheetName val="[PRIX.xla][PRIX.xla]_atest__157"/>
      <sheetName val="[PRIX.xla][PRIX.xla]_A_ates_157"/>
      <sheetName val="[PRIX.xla][PRIX.xla]_atest__172"/>
      <sheetName val="[PRIX.xla][PRIX.xla]_A_ates_172"/>
      <sheetName val="[PRIX.xla][PRIX.xla]_atest__161"/>
      <sheetName val="[PRIX.xla][PRIX.xla]_A_ates_161"/>
      <sheetName val="[PRIX.xla][PRIX.xla]_atest__160"/>
      <sheetName val="[PRIX.xla][PRIX.xla]_A_ates_160"/>
      <sheetName val="[PRIX.xla][PRIX.xla]_atest__163"/>
      <sheetName val="[PRIX.xla][PRIX.xla]_A_ates_163"/>
      <sheetName val="[PRIX.xla][PRIX.xla]_atest__162"/>
      <sheetName val="[PRIX.xla][PRIX.xla]_A_ates_162"/>
      <sheetName val="[PRIX.xla][PRIX.xla]_atest__165"/>
      <sheetName val="[PRIX.xla][PRIX.xla]_A_ates_165"/>
      <sheetName val="[PRIX.xla][PRIX.xla]_atest__164"/>
      <sheetName val="[PRIX.xla][PRIX.xla]_A_ates_164"/>
      <sheetName val="[PRIX.xla][PRIX.xla]_atest__167"/>
      <sheetName val="[PRIX.xla][PRIX.xla]_A_ates_167"/>
      <sheetName val="[PRIX.xla][PRIX.xla]_atest__166"/>
      <sheetName val="[PRIX.xla][PRIX.xla]_A_ates_166"/>
      <sheetName val="[PRIX.xla][PRIX.xla]_atest__170"/>
      <sheetName val="[PRIX.xla][PRIX.xla]_A_ates_170"/>
      <sheetName val="[PRIX.xla][PRIX.xla]_atest__168"/>
      <sheetName val="[PRIX.xla][PRIX.xla]_A_ates_168"/>
      <sheetName val="[PRIX.xla][PRIX.xla]_atest__169"/>
      <sheetName val="[PRIX.xla][PRIX.xla]_A_ates_169"/>
      <sheetName val="[PRIX.xla][PRIX.xla]_atest__171"/>
      <sheetName val="[PRIX.xla][PRIX.xla]_A_ates_171"/>
      <sheetName val="[PRIX.xla][PRIX.xla]_atest__177"/>
      <sheetName val="[PRIX.xla][PRIX.xla]_A_ates_177"/>
      <sheetName val="[PRIX.xla][PRIX.xla]_atest__176"/>
      <sheetName val="[PRIX.xla][PRIX.xla]_A_ates_176"/>
      <sheetName val="[PRIX.xla][PRIX.xla]_atest__175"/>
      <sheetName val="[PRIX.xla][PRIX.xla]_A_ates_175"/>
      <sheetName val="[PRIX.xla][PRIX.xla]_atest__173"/>
      <sheetName val="[PRIX.xla][PRIX.xla]_A_ates_173"/>
      <sheetName val="[PRIX.xla][PRIX.xla]_atest__174"/>
      <sheetName val="[PRIX.xla][PRIX.xla]_A_ates_174"/>
      <sheetName val="[PRIX.xla][PRIX.xla]_atest__178"/>
      <sheetName val="[PRIX.xla][PRIX.xla]_A_ates_178"/>
      <sheetName val="[PRIX.xla][PRIX.xla]_atest__180"/>
      <sheetName val="[PRIX.xla][PRIX.xla]_A_ates_180"/>
      <sheetName val="[PRIX.xla][PRIX.xla]_atest__179"/>
      <sheetName val="[PRIX.xla][PRIX.xla]_A_ates_179"/>
      <sheetName val="[PRIX.xla][PRIX.xla]_atest__182"/>
      <sheetName val="[PRIX.xla][PRIX.xla]_A_ates_182"/>
      <sheetName val="[PRIX.xla][PRIX.xla]_atest__181"/>
      <sheetName val="[PRIX.xla][PRIX.xla]_A_ates_181"/>
      <sheetName val="[PRIX.xla][PRIX.xla]_atest__185"/>
      <sheetName val="[PRIX.xla][PRIX.xla]_A_ates_185"/>
      <sheetName val="[PRIX.xla][PRIX.xla]_atest__184"/>
      <sheetName val="[PRIX.xla][PRIX.xla]_A_ates_184"/>
      <sheetName val="[PRIX.xla][PRIX.xla]_atest__183"/>
      <sheetName val="[PRIX.xla][PRIX.xla]_A_ates_183"/>
      <sheetName val="[PRIX.xla][PRIX.xla]_atest__187"/>
      <sheetName val="[PRIX.xla][PRIX.xla]_A_ates_187"/>
      <sheetName val="[PRIX.xla][PRIX.xla]_atest__186"/>
      <sheetName val="[PRIX.xla][PRIX.xla]_A_ates_186"/>
      <sheetName val="[PRIX.xla][PRIX.xla]_atest__189"/>
      <sheetName val="[PRIX.xla][PRIX.xla]_A_ates_189"/>
      <sheetName val="[PRIX.xla][PRIX.xla]_atest__188"/>
      <sheetName val="[PRIX.xla][PRIX.xla]_A_ates_188"/>
      <sheetName val="[PRIX.xla][PRIX.xla]_atest__190"/>
      <sheetName val="[PRIX.xla][PRIX.xla]_A_ates_190"/>
      <sheetName val="[PRIX.xla][PRIX.xla]_atest__194"/>
      <sheetName val="[PRIX.xla][PRIX.xla]_A_ates_194"/>
      <sheetName val="[PRIX.xla][PRIX.xla]_atest__191"/>
      <sheetName val="[PRIX.xla][PRIX.xla]_A_ates_191"/>
      <sheetName val="[PRIX.xla][PRIX.xla]_atest__192"/>
      <sheetName val="[PRIX.xla][PRIX.xla]_A_ates_192"/>
      <sheetName val="[PRIX.xla][PRIX.xla]_atest__193"/>
      <sheetName val="[PRIX.xla][PRIX.xla]_A_ates_193"/>
      <sheetName val="[PRIX.xla][PRIX.xla]_atest__196"/>
      <sheetName val="[PRIX.xla][PRIX.xla]_A_ates_196"/>
      <sheetName val="[PRIX.xla][PRIX.xla]_atest__195"/>
      <sheetName val="[PRIX.xla][PRIX.xla]_A_ates_195"/>
      <sheetName val="Mediatype"/>
      <sheetName val="[PRIX.xla][PRIX.xla]_atest__199"/>
      <sheetName val="[PRIX.xla][PRIX.xla]_A_ates_199"/>
      <sheetName val="[PRIX.xla][PRIX.xla]_atest__200"/>
      <sheetName val="[PRIX.xla][PRIX.xla]_A_ates_200"/>
      <sheetName val="[PRIX.xla][PRIX.xla]_atest__197"/>
      <sheetName val="[PRIX.xla][PRIX.xla]_A_ates_197"/>
      <sheetName val="[PRIX.xla][PRIX.xla]_atest__198"/>
      <sheetName val="[PRIX.xla][PRIX.xla]_A_ates_198"/>
      <sheetName val="[PRIX.xla][PRIX.xla]_atest__202"/>
      <sheetName val="[PRIX.xla][PRIX.xla]_A_ates_202"/>
      <sheetName val="[PRIX.xla][PRIX.xla]_atest__201"/>
      <sheetName val="[PRIX.xla][PRIX.xla]_A_ates_201"/>
      <sheetName val="[PRIX.xla][PRIX.xla]_atest__207"/>
      <sheetName val="[PRIX.xla][PRIX.xla]_A_ates_207"/>
      <sheetName val="[PRIX.xla][PRIX.xla]_atest__203"/>
      <sheetName val="[PRIX.xla][PRIX.xla]_A_ates_203"/>
      <sheetName val="[PRIX.xla][PRIX.xla]_atest__204"/>
      <sheetName val="[PRIX.xla][PRIX.xla]_A_ates_204"/>
      <sheetName val="[PRIX.xla][PRIX.xla]_atest__205"/>
      <sheetName val="[PRIX.xla][PRIX.xla]_A_ates_205"/>
      <sheetName val="[PRIX.xla][PRIX.xla]_atest__206"/>
      <sheetName val="[PRIX.xla][PRIX.xla]_A_ates_206"/>
      <sheetName val="[PRIX.xla][PRIX.xla]_atest__214"/>
      <sheetName val="[PRIX.xla][PRIX.xla]_A_ates_214"/>
      <sheetName val="[PRIX.xla][PRIX.xla]_atest__208"/>
      <sheetName val="[PRIX.xla][PRIX.xla]_A_ates_208"/>
      <sheetName val="[PRIX.xla][PRIX.xla]_atest__209"/>
      <sheetName val="[PRIX.xla][PRIX.xla]_A_ates_209"/>
      <sheetName val="[PRIX.xla][PRIX.xla]_atest__210"/>
      <sheetName val="[PRIX.xla][PRIX.xla]_A_ates_210"/>
      <sheetName val="[PRIX.xla][PRIX.xla]_atest__211"/>
      <sheetName val="[PRIX.xla][PRIX.xla]_A_ates_211"/>
      <sheetName val="[PRIX.xla][PRIX.xla]_atest__212"/>
      <sheetName val="[PRIX.xla][PRIX.xla]_A_ates_212"/>
      <sheetName val="[PRIX.xla][PRIX.xla]_atest__213"/>
      <sheetName val="[PRIX.xla][PRIX.xla]_A_ates_213"/>
      <sheetName val="[PRIX.xla][PRIX.xla]_atest__215"/>
      <sheetName val="[PRIX.xla][PRIX.xla]_A_ates_215"/>
      <sheetName val="[PRIX.xla][PRIX.xla]_atest__216"/>
      <sheetName val="[PRIX.xla][PRIX.xla]_A_ates_216"/>
      <sheetName val="[PRIX.xla][PRIX.xla]_atest__217"/>
      <sheetName val="[PRIX.xla][PRIX.xla]_A_ates_217"/>
      <sheetName val="[PRIX.xla][PRIX.xla]_atest__218"/>
      <sheetName val="[PRIX.xla][PRIX.xla]_A_ates_218"/>
      <sheetName val="[PRIX.xla][PRIX.xla]_atest__219"/>
      <sheetName val="[PRIX.xla][PRIX.xla]_A_ates_219"/>
      <sheetName val="[PRIX.xla][PRIX.xla]_atest__222"/>
      <sheetName val="[PRIX.xla][PRIX.xla]_A_ates_222"/>
      <sheetName val="[PRIX.xla][PRIX.xla]_atest__221"/>
      <sheetName val="[PRIX.xla][PRIX.xla]_A_ates_221"/>
      <sheetName val="[PRIX.xla][PRIX.xla]_atest__220"/>
      <sheetName val="[PRIX.xla][PRIX.xla]_A_ates_220"/>
      <sheetName val="[PRIX.xla][PRIX.xla]_atest__227"/>
      <sheetName val="[PRIX.xla][PRIX.xla]_A_ates_227"/>
      <sheetName val="[PRIX.xla][PRIX.xla]_atest__223"/>
      <sheetName val="[PRIX.xla][PRIX.xla]_A_ates_223"/>
      <sheetName val="[PRIX.xla][PRIX.xla]_atest__226"/>
      <sheetName val="[PRIX.xla][PRIX.xla]_A_ates_226"/>
      <sheetName val="[PRIX.xla][PRIX.xla]_atest__224"/>
      <sheetName val="[PRIX.xla][PRIX.xla]_A_ates_224"/>
      <sheetName val="[PRIX.xla][PRIX.xla]_atest__225"/>
      <sheetName val="[PRIX.xla][PRIX.xla]_A_ates_225"/>
      <sheetName val="[PRIX.xla][PRIX.xla]_atest__232"/>
      <sheetName val="[PRIX.xla][PRIX.xla]_A_ates_232"/>
      <sheetName val="[PRIX.xla][PRIX.xla]_atest__228"/>
      <sheetName val="[PRIX.xla][PRIX.xla]_A_ates_228"/>
      <sheetName val="[PRIX.xla][PRIX.xla]_atest__229"/>
      <sheetName val="[PRIX.xla][PRIX.xla]_A_ates_229"/>
      <sheetName val="[PRIX.xla][PRIX.xla]_atest__230"/>
      <sheetName val="[PRIX.xla][PRIX.xla]_A_ates_230"/>
      <sheetName val="[PRIX.xla][PRIX.xla]_atest__231"/>
      <sheetName val="[PRIX.xla][PRIX.xla]_A_ates_231"/>
      <sheetName val="[PRIX.xla][PRIX.xla]_atest__238"/>
      <sheetName val="[PRIX.xla][PRIX.xla]_A_ates_238"/>
      <sheetName val="[PRIX.xla][PRIX.xla]_atest__233"/>
      <sheetName val="[PRIX.xla][PRIX.xla]_A_ates_233"/>
      <sheetName val="[PRIX.xla][PRIX.xla]_atest__234"/>
      <sheetName val="[PRIX.xla][PRIX.xla]_A_ates_234"/>
      <sheetName val="[PRIX.xla][PRIX.xla]_atest__235"/>
      <sheetName val="[PRIX.xla][PRIX.xla]_A_ates_235"/>
      <sheetName val="[PRIX.xla][PRIX.xla]_atest__236"/>
      <sheetName val="[PRIX.xla][PRIX.xla]_A_ates_236"/>
      <sheetName val="[PRIX.xla][PRIX.xla]_atest__237"/>
      <sheetName val="[PRIX.xla][PRIX.xla]_A_ates_237"/>
      <sheetName val="[PRIX.xla][PRIX.xla]_atest__240"/>
      <sheetName val="[PRIX.xla][PRIX.xla]_A_ates_240"/>
      <sheetName val="[PRIX.xla][PRIX.xla]_atest__239"/>
      <sheetName val="[PRIX.xla][PRIX.xla]_A_ates_239"/>
      <sheetName val="[PRIX.xla][PRIX.xla]_atest__242"/>
      <sheetName val="[PRIX.xla][PRIX.xla]_A_ates_242"/>
      <sheetName val="[PRIX.xla][PRIX.xla]_atest__241"/>
      <sheetName val="[PRIX.xla][PRIX.xla]_A_ates_241"/>
      <sheetName val="[PRIX.xla][PRIX.xla]_atest__243"/>
      <sheetName val="[PRIX.xla][PRIX.xla]_A_ates_243"/>
      <sheetName val="[PRIX.xla][PRIX.xla]_atest__245"/>
      <sheetName val="[PRIX.xla][PRIX.xla]_A_ates_245"/>
      <sheetName val="[PRIX.xla][PRIX.xla]_atest__244"/>
      <sheetName val="[PRIX.xla][PRIX.xla]_A_ates_244"/>
      <sheetName val="[PRIX.xla][PRIX.xla]_atest__252"/>
      <sheetName val="[PRIX.xla][PRIX.xla]_A_ates_252"/>
      <sheetName val="[PRIX.xla][PRIX.xla]_atest__247"/>
      <sheetName val="[PRIX.xla][PRIX.xla]_A_ates_247"/>
      <sheetName val="[PRIX.xla][PRIX.xla]_atest__246"/>
      <sheetName val="[PRIX.xla][PRIX.xla]_A_ates_246"/>
      <sheetName val="[PRIX.xla][PRIX.xla]_atest__248"/>
      <sheetName val="[PRIX.xla][PRIX.xla]_A_ates_248"/>
      <sheetName val="[PRIX.xla][PRIX.xla]_atest__249"/>
      <sheetName val="[PRIX.xla][PRIX.xla]_A_ates_249"/>
      <sheetName val="[PRIX.xla][PRIX.xla]_atest__250"/>
      <sheetName val="[PRIX.xla][PRIX.xla]_A_ates_250"/>
      <sheetName val="[PRIX.xla][PRIX.xla]_atest__251"/>
      <sheetName val="[PRIX.xla][PRIX.xla]_A_ates_251"/>
      <sheetName val="[PRIX.xla][PRIX.xla]_atest__262"/>
      <sheetName val="[PRIX.xla][PRIX.xla]_A_ates_262"/>
      <sheetName val="[PRIX.xla][PRIX.xla]_atest__253"/>
      <sheetName val="[PRIX.xla][PRIX.xla]_A_ates_253"/>
      <sheetName val="[PRIX.xla][PRIX.xla]_atest__254"/>
      <sheetName val="[PRIX.xla][PRIX.xla]_A_ates_254"/>
      <sheetName val="[PRIX.xla][PRIX.xla]_atest__255"/>
      <sheetName val="[PRIX.xla][PRIX.xla]_A_ates_255"/>
      <sheetName val="[PRIX.xla][PRIX.xla]_atest__256"/>
      <sheetName val="[PRIX.xla][PRIX.xla]_A_ates_256"/>
      <sheetName val="[PRIX.xla][PRIX.xla]_atest__257"/>
      <sheetName val="[PRIX.xla][PRIX.xla]_A_ates_257"/>
      <sheetName val="[PRIX.xla][PRIX.xla]_atest__258"/>
      <sheetName val="[PRIX.xla][PRIX.xla]_A_ates_258"/>
      <sheetName val="[PRIX.xla][PRIX.xla]_atest__259"/>
      <sheetName val="[PRIX.xla][PRIX.xla]_A_ates_259"/>
      <sheetName val="[PRIX.xla][PRIX.xla]_atest__260"/>
      <sheetName val="[PRIX.xla][PRIX.xla]_A_ates_260"/>
      <sheetName val="[PRIX.xla][PRIX.xla]_atest__261"/>
      <sheetName val="[PRIX.xla][PRIX.xla]_A_ates_261"/>
      <sheetName val="[PRIX.xla][PRIX.xla]_atest__263"/>
      <sheetName val="[PRIX.xla][PRIX.xla]_A_ates_263"/>
      <sheetName val="[PRIX.xla][PRIX.xla]_atest__264"/>
      <sheetName val="[PRIX.xla][PRIX.xla]_A_ates_264"/>
      <sheetName val="[PRIX.xla][PRIX.xla]_atest__266"/>
      <sheetName val="[PRIX.xla][PRIX.xla]_A_ates_266"/>
      <sheetName val="[PRIX.xla][PRIX.xla]_atest__265"/>
      <sheetName val="[PRIX.xla][PRIX.xla]_A_ates_265"/>
      <sheetName val="[PRIX.xla][PRIX.xla]_atest__268"/>
      <sheetName val="[PRIX.xla][PRIX.xla]_A_ates_268"/>
      <sheetName val="[PRIX.xla][PRIX.xla]_atest__267"/>
      <sheetName val="[PRIX.xla][PRIX.xla]_A_ates_267"/>
      <sheetName val="[PRIX.xla][PRIX.xla]_atest__290"/>
      <sheetName val="[PRIX.xla][PRIX.xla]_A_ates_290"/>
      <sheetName val="[PRIX.xla][PRIX.xla]_atest__287"/>
      <sheetName val="[PRIX.xla][PRIX.xla]_A_ates_287"/>
      <sheetName val="[PRIX.xla][PRIX.xla]_atest__289"/>
      <sheetName val="[PRIX.xla][PRIX.xla]_A_ates_289"/>
      <sheetName val="[PRIX.xla][PRIX.xla]_atest__282"/>
      <sheetName val="[PRIX.xla][PRIX.xla]_A_ates_282"/>
      <sheetName val="[PRIX.xla][PRIX.xla]_atest__283"/>
      <sheetName val="[PRIX.xla][PRIX.xla]_A_ates_283"/>
      <sheetName val="[PRIX.xla][PRIX.xla]_atest__270"/>
      <sheetName val="[PRIX.xla][PRIX.xla]_A_ates_270"/>
      <sheetName val="[PRIX.xla][PRIX.xla]_atest__269"/>
      <sheetName val="[PRIX.xla][PRIX.xla]_A_ates_269"/>
      <sheetName val="[PRIX.xla][PRIX.xla]_atest__271"/>
      <sheetName val="[PRIX.xla][PRIX.xla]_A_ates_271"/>
      <sheetName val="[PRIX.xla][PRIX.xla]_atest__272"/>
      <sheetName val="[PRIX.xla][PRIX.xla]_A_ates_272"/>
      <sheetName val="[PRIX.xla][PRIX.xla]_atest__273"/>
      <sheetName val="[PRIX.xla][PRIX.xla]_A_ates_273"/>
      <sheetName val="[PRIX.xla][PRIX.xla]_atest__274"/>
      <sheetName val="[PRIX.xla][PRIX.xla]_A_ates_274"/>
      <sheetName val="[PRIX.xla][PRIX.xla]_atest__275"/>
      <sheetName val="[PRIX.xla][PRIX.xla]_A_ates_275"/>
      <sheetName val="[PRIX.xla][PRIX.xla]_atest__276"/>
      <sheetName val="[PRIX.xla][PRIX.xla]_A_ates_276"/>
      <sheetName val="[PRIX.xla][PRIX.xla]_atest__277"/>
      <sheetName val="[PRIX.xla][PRIX.xla]_A_ates_277"/>
      <sheetName val="[PRIX.xla][PRIX.xla]_atest__278"/>
      <sheetName val="[PRIX.xla][PRIX.xla]_A_ates_278"/>
      <sheetName val="[PRIX.xla][PRIX.xla]_atest__279"/>
      <sheetName val="[PRIX.xla][PRIX.xla]_A_ates_279"/>
      <sheetName val="[PRIX.xla][PRIX.xla]_atest__280"/>
      <sheetName val="[PRIX.xla][PRIX.xla]_A_ates_280"/>
      <sheetName val="[PRIX.xla][PRIX.xla]_atest__281"/>
      <sheetName val="[PRIX.xla][PRIX.xla]_A_ates_281"/>
      <sheetName val="[PRIX.xla][PRIX.xla]_atest__284"/>
      <sheetName val="[PRIX.xla][PRIX.xla]_A_ates_284"/>
      <sheetName val="[PRIX.xla][PRIX.xla]_atest__285"/>
      <sheetName val="[PRIX.xla][PRIX.xla]_A_ates_285"/>
      <sheetName val="[PRIX.xla][PRIX.xla]_atest__286"/>
      <sheetName val="[PRIX.xla][PRIX.xla]_A_ates_286"/>
      <sheetName val="[PRIX.xla][PRIX.xla]_atest__288"/>
      <sheetName val="[PRIX.xla][PRIX.xla]_A_ates_288"/>
      <sheetName val="[PRIX.xla][PRIX.xla]_atest__291"/>
      <sheetName val="[PRIX.xla][PRIX.xla]_A_ates_291"/>
      <sheetName val="[PRIX.xla][PRIX.xla]_atest__302"/>
      <sheetName val="[PRIX.xla][PRIX.xla]_atest__293"/>
      <sheetName val="[PRIX.xla][PRIX.xla]_atest__292"/>
      <sheetName val="[PRIX.xla][PRIX.xla]_atest__294"/>
      <sheetName val="[PRIX.xla][PRIX.xla]_atest__295"/>
      <sheetName val="[PRIX.xla][PRIX.xla]_atest__296"/>
      <sheetName val="[PRIX.xla][PRIX.xla]_atest__297"/>
      <sheetName val="[PRIX.xla][PRIX.xla]_atest__298"/>
      <sheetName val="[PRIX.xla][PRIX.xla]_atest__299"/>
      <sheetName val="[PRIX.xla][PRIX.xla]_atest__300"/>
      <sheetName val="[PRIX.xla][PRIX.xla]_atest__301"/>
      <sheetName val="[PRIX.xla][PRIX.xla]_A_ates_293"/>
      <sheetName val="[PRIX.xla][PRIX.xla]_A_ates_292"/>
      <sheetName val="[PRIX.xla][PRIX.xla]_A_ates_295"/>
      <sheetName val="[PRIX.xla][PRIX.xla]_A_ates_294"/>
      <sheetName val="[PRIX.xla][PRIX.xla]_A_ates_296"/>
      <sheetName val="[PRIX.xla][PRIX.xla]_atest__332"/>
      <sheetName val="[PRIX.xla][PRIX.xla]_A_ates_332"/>
      <sheetName val="[PRIX.xla][PRIX.xla]_atest__333"/>
      <sheetName val="[PRIX.xla][PRIX.xla]_A_ates_333"/>
      <sheetName val="[PRIX.xla][PRIX.xla]_A_ates_300"/>
      <sheetName val="[PRIX.xla][PRIX.xla]_A_ates_302"/>
      <sheetName val="[PRIX.xla][PRIX.xla]_A_ates_297"/>
      <sheetName val="[PRIX.xla][PRIX.xla]_A_ates_298"/>
      <sheetName val="[PRIX.xla][PRIX.xla]_A_ates_299"/>
      <sheetName val="[PRIX.xla][PRIX.xla]_A_ates_301"/>
      <sheetName val="[PRIX.xla][PRIX.xla]_atest__303"/>
      <sheetName val="[PRIX.xla][PRIX.xla]_A_ates_303"/>
      <sheetName val="[PRIX.xla][PRIX.xla]_atest__320"/>
      <sheetName val="[PRIX.xla][PRIX.xla]_A_ates_320"/>
      <sheetName val="[PRIX.xla][PRIX.xla]_atest__319"/>
      <sheetName val="[PRIX.xla][PRIX.xla]_A_ates_319"/>
      <sheetName val="[PRIX.xla][PRIX.xla]_atest__305"/>
      <sheetName val="[PRIX.xla][PRIX.xla]_A_ates_305"/>
      <sheetName val="[PRIX.xla][PRIX.xla]_atest__304"/>
      <sheetName val="[PRIX.xla][PRIX.xla]_A_ates_304"/>
      <sheetName val="[PRIX.xla][PRIX.xla]_atest__307"/>
      <sheetName val="[PRIX.xla][PRIX.xla]_A_ates_307"/>
      <sheetName val="[PRIX.xla][PRIX.xla]_atest__306"/>
      <sheetName val="[PRIX.xla][PRIX.xla]_A_ates_306"/>
      <sheetName val="[PRIX.xla][PRIX.xla]_atest__308"/>
      <sheetName val="[PRIX.xla][PRIX.xla]_A_ates_308"/>
      <sheetName val="[PRIX.xla][PRIX.xla]_atest__313"/>
      <sheetName val="[PRIX.xla][PRIX.xla]_A_ates_313"/>
      <sheetName val="[PRIX.xla][PRIX.xla]_atest__309"/>
      <sheetName val="[PRIX.xla][PRIX.xla]_A_ates_309"/>
      <sheetName val="[PRIX.xla][PRIX.xla]_atest__310"/>
      <sheetName val="[PRIX.xla][PRIX.xla]_A_ates_310"/>
      <sheetName val="[PRIX.xla][PRIX.xla]_atest__311"/>
      <sheetName val="[PRIX.xla][PRIX.xla]_A_ates_311"/>
      <sheetName val="[PRIX.xla][PRIX.xla]_atest__312"/>
      <sheetName val="[PRIX.xla][PRIX.xla]_A_ates_312"/>
      <sheetName val="[PRIX.xla][PRIX.xla]_atest__317"/>
      <sheetName val="[PRIX.xla][PRIX.xla]_A_ates_317"/>
      <sheetName val="[PRIX.xla][PRIX.xla]_atest__314"/>
      <sheetName val="[PRIX.xla][PRIX.xla]_A_ates_314"/>
      <sheetName val="[PRIX.xla][PRIX.xla]_atest__315"/>
      <sheetName val="[PRIX.xla][PRIX.xla]_A_ates_315"/>
      <sheetName val="[PRIX.xla][PRIX.xla]_atest__316"/>
      <sheetName val="[PRIX.xla][PRIX.xla]_A_ates_316"/>
      <sheetName val="[PRIX.xla][PRIX.xla]_atest__318"/>
      <sheetName val="[PRIX.xla][PRIX.xla]_A_ates_318"/>
      <sheetName val="[PRIX.xla][PRIX.xla]_atest__323"/>
      <sheetName val="[PRIX.xla][PRIX.xla]_A_ates_323"/>
      <sheetName val="[PRIX.xla][PRIX.xla]_atest__322"/>
      <sheetName val="[PRIX.xla][PRIX.xla]_A_ates_322"/>
      <sheetName val="[PRIX.xla][PRIX.xla]_atest__321"/>
      <sheetName val="[PRIX.xla][PRIX.xla]_A_ates_321"/>
      <sheetName val="[PRIX.xla][PRIX.xla]_atest__324"/>
      <sheetName val="[PRIX.xla][PRIX.xla]_A_ates_324"/>
      <sheetName val="[PRIX.xla][PRIX.xla]_atest__327"/>
      <sheetName val="[PRIX.xla][PRIX.xla]_A_ates_327"/>
      <sheetName val="[PRIX.xla][PRIX.xla]_atest__325"/>
      <sheetName val="[PRIX.xla][PRIX.xla]_A_ates_325"/>
      <sheetName val="[PRIX.xla][PRIX.xla]_atest__326"/>
      <sheetName val="[PRIX.xla][PRIX.xla]_A_ates_326"/>
      <sheetName val="[PRIX.xla][PRIX.xla]_atest__328"/>
      <sheetName val="[PRIX.xla][PRIX.xla]_A_ates_328"/>
      <sheetName val="[PRIX.xla][PRIX.xla]_atest__329"/>
      <sheetName val="[PRIX.xla][PRIX.xla]_A_ates_329"/>
      <sheetName val="[PRIX.xla][PRIX.xla]_atest__330"/>
      <sheetName val="[PRIX.xla][PRIX.xla]_A_ates_330"/>
      <sheetName val="[PRIX.xla][PRIX.xla]_atest__331"/>
      <sheetName val="[PRIX.xla][PRIX.xla]_A_ates_331"/>
      <sheetName val="[PRIX.xla][PRIX.xla]_atest__337"/>
      <sheetName val="[PRIX.xla][PRIX.xla]_A_ates_337"/>
      <sheetName val="[PRIX.xla][PRIX.xla]_atest__334"/>
      <sheetName val="[PRIX.xla][PRIX.xla]_A_ates_334"/>
      <sheetName val="[PRIX.xla][PRIX.xla]_atest__335"/>
      <sheetName val="[PRIX.xla][PRIX.xla]_A_ates_335"/>
      <sheetName val="[PRIX.xla][PRIX.xla]_atest__336"/>
      <sheetName val="[PRIX.xla][PRIX.xla]_A_ates_336"/>
      <sheetName val="[PRIX.xla][PRIX.xla]_atest__338"/>
      <sheetName val="[PRIX.xla][PRIX.xla]_A_ates_338"/>
      <sheetName val="[PRIX.xla][PRIX.xla]_atest__339"/>
      <sheetName val="[PRIX.xla][PRIX.xla]_A_ates_339"/>
      <sheetName val="[PRIX.xla][PRIX.xla]_atest__341"/>
      <sheetName val="[PRIX.xla][PRIX.xla]_A_ates_341"/>
      <sheetName val="[PRIX.xla][PRIX.xla]_atest__340"/>
      <sheetName val="[PRIX.xla][PRIX.xla]_A_ates_340"/>
      <sheetName val="[PRIX.xla][PRIX.xla]_atest__342"/>
      <sheetName val="[PRIX.xla][PRIX.xla]_A_ates_342"/>
      <sheetName val="[PRIX.xla][PRIX.xla]_atest__359"/>
      <sheetName val="[PRIX.xla][PRIX.xla]_A_ates_359"/>
      <sheetName val="[PRIX.xla][PRIX.xla]_atest__360"/>
      <sheetName val="[PRIX.xla][PRIX.xla]_A_ates_360"/>
      <sheetName val="[PRIX.xla][PRIX.xla]_atest__345"/>
      <sheetName val="[PRIX.xla][PRIX.xla]_A_ates_345"/>
      <sheetName val="[PRIX.xla][PRIX.xla]_atest__346"/>
      <sheetName val="[PRIX.xla][PRIX.xla]_A_ates_346"/>
      <sheetName val="[PRIX.xla][PRIX.xla]_atest__343"/>
      <sheetName val="[PRIX.xla][PRIX.xla]_A_ates_343"/>
      <sheetName val="[PRIX.xla][PRIX.xla]_atest__344"/>
      <sheetName val="[PRIX.xla][PRIX.xla]_A_ates_344"/>
      <sheetName val="[PRIX.xla][PRIX.xla]_atest__348"/>
      <sheetName val="[PRIX.xla][PRIX.xla]_A_ates_348"/>
      <sheetName val="[PRIX.xla][PRIX.xla]_atest__347"/>
      <sheetName val="[PRIX.xla][PRIX.xla]_A_ates_347"/>
      <sheetName val="[PRIX.xla][PRIX.xla]_atest__349"/>
      <sheetName val="[PRIX.xla][PRIX.xla]_A_ates_349"/>
      <sheetName val="[PRIX.xla][PRIX.xla]_atest__352"/>
      <sheetName val="[PRIX.xla][PRIX.xla]_A_ates_352"/>
      <sheetName val="[PRIX.xla][PRIX.xla]_atest__353"/>
      <sheetName val="[PRIX.xla][PRIX.xla]_A_ates_353"/>
      <sheetName val="[PRIX.xla][PRIX.xla]_atest__350"/>
      <sheetName val="[PRIX.xla][PRIX.xla]_A_ates_350"/>
      <sheetName val="[PRIX.xla][PRIX.xla]_atest__351"/>
      <sheetName val="[PRIX.xla][PRIX.xla]_A_ates_351"/>
      <sheetName val="[PRIX.xla][PRIX.xla]_atest__355"/>
      <sheetName val="[PRIX.xla][PRIX.xla]_A_ates_355"/>
      <sheetName val="[PRIX.xla][PRIX.xla]_atest__354"/>
      <sheetName val="[PRIX.xla][PRIX.xla]_A_ates_354"/>
      <sheetName val="[PRIX.xla][PRIX.xla]_atest__356"/>
      <sheetName val="[PRIX.xla][PRIX.xla]_A_ates_356"/>
      <sheetName val="[PRIX.xla][PRIX.xla]_atest__357"/>
      <sheetName val="[PRIX.xla][PRIX.xla]_A_ates_357"/>
      <sheetName val="[PRIX.xla][PRIX.xla]_atest__358"/>
      <sheetName val="[PRIX.xla][PRIX.xla]_A_ates_358"/>
      <sheetName val="[PRIX.xla][PRIX.xla]_atest__361"/>
      <sheetName val="[PRIX.xla][PRIX.xla]_A_ates_361"/>
      <sheetName val="[PRIX.xla][PRIX.xla]_atest__362"/>
      <sheetName val="[PRIX.xla][PRIX.xla]_A_ates_362"/>
      <sheetName val="[PRIX.xla][PRIX.xla]_atest__365"/>
      <sheetName val="[PRIX.xla][PRIX.xla]_A_ates_365"/>
      <sheetName val="[PRIX.xla][PRIX.xla]_atest__366"/>
      <sheetName val="[PRIX.xla][PRIX.xla]_A_ates_366"/>
      <sheetName val="[PRIX.xla][PRIX.xla]_atest__363"/>
      <sheetName val="[PRIX.xla][PRIX.xla]_A_ates_363"/>
      <sheetName val="[PRIX.xla][PRIX.xla]_atest__364"/>
      <sheetName val="[PRIX.xla][PRIX.xla]_A_ates_364"/>
      <sheetName val="[PRIX.xla][PRIX.xla]_atest__367"/>
      <sheetName val="[PRIX.xla][PRIX.xla]_A_ates_367"/>
      <sheetName val="[PRIX.xla][PRIX.xla]_atest__368"/>
      <sheetName val="[PRIX.xla][PRIX.xla]_A_ates_368"/>
      <sheetName val="[PRIX.xla][PRIX.xla]_atest__371"/>
      <sheetName val="[PRIX.xla][PRIX.xla]_A_ates_371"/>
      <sheetName val="[PRIX.xla][PRIX.xla]_atest__369"/>
      <sheetName val="[PRIX.xla][PRIX.xla]_A_ates_369"/>
      <sheetName val="[PRIX.xla][PRIX.xla]_atest__370"/>
      <sheetName val="[PRIX.xla][PRIX.xla]_A_ates_370"/>
      <sheetName val="[PRIX.xla][PRIX.xla]_atest__372"/>
      <sheetName val="[PRIX.xla][PRIX.xla]_A_ates_372"/>
      <sheetName val="[PRIX.xla][PRIX.xla]_atest__374"/>
      <sheetName val="[PRIX.xla][PRIX.xla]_A_ates_374"/>
      <sheetName val="[PRIX.xla][PRIX.xla]_atest__373"/>
      <sheetName val="[PRIX.xla][PRIX.xla]_A_ates_373"/>
      <sheetName val="[PRIX.xla][PRIX.xla]_atest__377"/>
      <sheetName val="[PRIX.xla][PRIX.xla]_A_ates_377"/>
      <sheetName val="[PRIX.xla][PRIX.xla]_atest__378"/>
      <sheetName val="[PRIX.xla][PRIX.xla]_A_ates_378"/>
      <sheetName val="[PRIX.xla][PRIX.xla]_atest__375"/>
      <sheetName val="[PRIX.xla][PRIX.xla]_A_ates_375"/>
      <sheetName val="[PRIX.xla][PRIX.xla]_atest__376"/>
      <sheetName val="[PRIX.xla][PRIX.xla]_A_ates_376"/>
      <sheetName val="[PRIX.xla][PRIX.xla]_atest__379"/>
      <sheetName val="[PRIX.xla][PRIX.xla]_A_ates_379"/>
      <sheetName val="[PRIX.xla][PRIX.xla]_atest__380"/>
      <sheetName val="[PRIX.xla][PRIX.xla]_A_ates_380"/>
      <sheetName val="[PRIX.xla][PRIX.xla]_atest__382"/>
      <sheetName val="[PRIX.xla][PRIX.xla]_A_ates_382"/>
      <sheetName val="[PRIX.xla][PRIX.xla]_atest__381"/>
      <sheetName val="[PRIX.xla][PRIX.xla]_A_ates_381"/>
      <sheetName val="[PRIX.xla][PRIX.xla]_atest__383"/>
      <sheetName val="[PRIX.xla][PRIX.xla]_A_ates_383"/>
      <sheetName val="[PRIX.xla][PRIX.xla]_atest__384"/>
      <sheetName val="[PRIX.xla][PRIX.xla]_A_ates_384"/>
      <sheetName val="[PRIX.xla][PRIX.xla]_atest__385"/>
      <sheetName val="[PRIX.xla][PRIX.xla]_A_ates_385"/>
      <sheetName val="[PRIX.xla][PRIX.xla]_atest__388"/>
      <sheetName val="[PRIX.xla][PRIX.xla]_A_ates_388"/>
      <sheetName val="[PRIX.xla][PRIX.xla]_atest__390"/>
      <sheetName val="[PRIX.xla][PRIX.xla]_A_ates_390"/>
      <sheetName val="[PRIX.xla][PRIX.xla]_atest__386"/>
      <sheetName val="[PRIX.xla][PRIX.xla]_A_ates_386"/>
      <sheetName val="[PRIX.xla][PRIX.xla]_atest__387"/>
      <sheetName val="[PRIX.xla][PRIX.xla]_A_ates_387"/>
      <sheetName val="[PRIX.xla][PRIX.xla]_atest__389"/>
      <sheetName val="[PRIX.xla][PRIX.xla]_A_ates_389"/>
      <sheetName val="[PRIX.xla][PRIX.xla]_atest__392"/>
      <sheetName val="[PRIX.xla][PRIX.xla]_A_ates_392"/>
      <sheetName val="[PRIX.xla][PRIX.xla]_atest__391"/>
      <sheetName val="[PRIX.xla][PRIX.xla]_A_ates_391"/>
      <sheetName val="[PRIX.xla][PRIX.xla]_atest__393"/>
      <sheetName val="[PRIX.xla][PRIX.xla]_A_ates_393"/>
      <sheetName val="[PRIX.xla][PRIX.xla]_atest__394"/>
      <sheetName val="[PRIX.xla][PRIX.xla]_A_ates_394"/>
      <sheetName val="[PRIX.xla][PRIX.xla]_atest__395"/>
      <sheetName val="[PRIX.xla][PRIX.xla]_A_ates_395"/>
      <sheetName val="[PRIX.xla][PRIX.xla]_atest__396"/>
      <sheetName val="[PRIX.xla][PRIX.xla]_A_ates_396"/>
      <sheetName val="[PRIX.xla][PRIX.xla]_atest__397"/>
      <sheetName val="[PRIX.xla][PRIX.xla]_A_ates_397"/>
      <sheetName val="[PRIX.xla][PRIX.xla]_atest__398"/>
      <sheetName val="[PRIX.xla][PRIX.xla]_A_ates_398"/>
      <sheetName val="[PRIX.xla][PRIX.xla]_atest__409"/>
      <sheetName val="[PRIX.xla][PRIX.xla]_A_ates_409"/>
      <sheetName val="[PRIX.xla][PRIX.xla]_atest__410"/>
      <sheetName val="[PRIX.xla][PRIX.xla]_A_ates_410"/>
      <sheetName val="[PRIX.xla][PRIX.xla]_atest__399"/>
      <sheetName val="[PRIX.xla][PRIX.xla]_A_ates_399"/>
      <sheetName val="[PRIX.xla][PRIX.xla]_atest__400"/>
      <sheetName val="[PRIX.xla][PRIX.xla]_A_ates_400"/>
      <sheetName val="[PRIX.xla][PRIX.xla]_atest__401"/>
      <sheetName val="[PRIX.xla][PRIX.xla]_A_ates_401"/>
      <sheetName val="[PRIX.xla][PRIX.xla]_atest__403"/>
      <sheetName val="[PRIX.xla][PRIX.xla]_A_ates_403"/>
      <sheetName val="[PRIX.xla][PRIX.xla]_atest__402"/>
      <sheetName val="[PRIX.xla][PRIX.xla]_A_ates_402"/>
      <sheetName val="[PRIX.xla][PRIX.xla]_atest__404"/>
      <sheetName val="[PRIX.xla][PRIX.xla]_A_ates_404"/>
      <sheetName val="[PRIX.xla][PRIX.xla]_atest__408"/>
      <sheetName val="[PRIX.xla][PRIX.xla]_A_ates_408"/>
      <sheetName val="[PRIX.xla][PRIX.xla]_atest__405"/>
      <sheetName val="[PRIX.xla][PRIX.xla]_A_ates_405"/>
      <sheetName val="[PRIX.xla][PRIX.xla]_atest__406"/>
      <sheetName val="[PRIX.xla][PRIX.xla]_A_ates_406"/>
      <sheetName val="[PRIX.xla][PRIX.xla]_atest__407"/>
      <sheetName val="[PRIX.xla][PRIX.xla]_A_ates_407"/>
      <sheetName val="[PRIX.xla][PRIX.xla]_atest__412"/>
      <sheetName val="[PRIX.xla][PRIX.xla]_A_ates_412"/>
      <sheetName val="[PRIX.xla][PRIX.xla]_atest__411"/>
      <sheetName val="[PRIX.xla][PRIX.xla]_A_ates_411"/>
      <sheetName val="[PRIX.xla][PRIX.xla]_atest__414"/>
      <sheetName val="[PRIX.xla][PRIX.xla]_A_ates_414"/>
      <sheetName val="[PRIX.xla][PRIX.xla]_atest__413"/>
      <sheetName val="[PRIX.xla][PRIX.xla]_A_ates_413"/>
      <sheetName val="[PRIX.xla][PRIX.xla]_atest__415"/>
      <sheetName val="[PRIX.xla][PRIX.xla]_A_ates_415"/>
      <sheetName val="[PRIX.xla][PRIX.xla]_atest__416"/>
      <sheetName val="[PRIX.xla][PRIX.xla]_A_ates_416"/>
      <sheetName val="[PRIX.xla][PRIX.xla]_atest__418"/>
      <sheetName val="[PRIX.xla][PRIX.xla]_A_ates_418"/>
      <sheetName val="[PRIX.xla][PRIX.xla]_atest__417"/>
      <sheetName val="[PRIX.xla][PRIX.xla]_A_ates_417"/>
      <sheetName val="[PRIX.xla][PRIX.xla]_atest__421"/>
      <sheetName val="[PRIX.xla][PRIX.xla]_A_ates_421"/>
      <sheetName val="[PRIX.xla][PRIX.xla]_atest__419"/>
      <sheetName val="[PRIX.xla][PRIX.xla]_A_ates_419"/>
      <sheetName val="[PRIX.xla][PRIX.xla]_atest__420"/>
      <sheetName val="[PRIX.xla][PRIX.xla]_A_ates_420"/>
      <sheetName val="[PRIX.xla][PRIX.xla]_atest__425"/>
      <sheetName val="[PRIX.xla][PRIX.xla]_A_ates_425"/>
      <sheetName val="[PRIX.xla][PRIX.xla]_atest__422"/>
      <sheetName val="[PRIX.xla][PRIX.xla]_A_ates_422"/>
      <sheetName val="[PRIX.xla][PRIX.xla]_atest__423"/>
      <sheetName val="[PRIX.xla][PRIX.xla]_A_ates_423"/>
      <sheetName val="[PRIX.xla][PRIX.xla]_atest__424"/>
      <sheetName val="[PRIX.xla][PRIX.xla]_A_ates_424"/>
    </sheetNames>
    <definedNames>
      <definedName name="MostraConcorrenti" refersTo="#REF!"/>
      <definedName name="MostraVisuale" refersTo="#REF!"/>
      <definedName name="NascondiConcorrenti" refersTo="#REF!"/>
      <definedName name="NascondiVisuale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özet"/>
      <sheetName val="Styling"/>
      <sheetName val="Sh-İ"/>
      <sheetName val="Tr-İ"/>
      <sheetName val="KD-R"/>
      <sheetName val="KD-İ"/>
      <sheetName val="At-R"/>
      <sheetName val="At-İ"/>
      <sheetName val="Sh-R"/>
      <sheetName val="St-R"/>
      <sheetName val="St-İ"/>
      <sheetName val="Tg-R"/>
      <sheetName val="Tg-İ"/>
      <sheetName val="Tr-R"/>
      <sheetName val="Br-R "/>
      <sheetName val="Br-İ"/>
      <sheetName val="toplam"/>
      <sheetName val="STYLING.XLS"/>
      <sheetName val="Br-R_"/>
      <sheetName val="alapok"/>
      <sheetName val="MA-BL"/>
      <sheetName val="Kategoriler"/>
      <sheetName val="Kur"/>
      <sheetName val="Sayfa2"/>
      <sheetName val="tanımlar"/>
      <sheetName val="Hasar Hattı"/>
      <sheetName val="Köprü"/>
    </sheetNames>
    <sheetDataSet>
      <sheetData sheetId="0" refreshError="1">
        <row r="1">
          <cell r="M1">
            <v>0.9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glio1"/>
      <sheetName val="CARS"/>
      <sheetName val="MONAT"/>
      <sheetName val="CH_REP"/>
      <sheetName val="ZO_REP"/>
      <sheetName val="Cartel1"/>
      <sheetName val="Data Chart"/>
      <sheetName val="Sheet3"/>
      <sheetName val="MASTER FIAT"/>
      <sheetName val="#RIF"/>
      <sheetName val="Form-E1"/>
      <sheetName val="Vendite"/>
      <sheetName val="Dealer"/>
      <sheetName val="Kategoriler"/>
      <sheetName val="TUBORG"/>
      <sheetName val="Hasar Hattı"/>
      <sheetName val="Materyaller"/>
      <sheetName val="Fiyat"/>
      <sheetName val="Alim Sekli"/>
      <sheetName val="Copies"/>
      <sheetName val="SpotList (2)"/>
      <sheetName val="Exchange"/>
      <sheetName val="Payments"/>
      <sheetName val="Stations"/>
      <sheetName val="Prices"/>
      <sheetName val="rendelés melléklet"/>
      <sheetName val="CampaignData"/>
      <sheetName val="PlanData"/>
      <sheetName val="ExchangeRates"/>
      <sheetName val="ManualDiscounts"/>
      <sheetName val="NetPrices"/>
      <sheetName val="PlanSheet"/>
      <sheetName val="Network"/>
      <sheetName val="buyingmethod"/>
      <sheetName val="creativetype"/>
      <sheetName val="Format"/>
      <sheetName val="Media Type"/>
      <sheetName val="DATA"/>
      <sheetName val="Kaynak"/>
      <sheetName val="Главный"/>
      <sheetName val="Sheet2"/>
      <sheetName val="AMOUNT BASES"/>
      <sheetName val="#¡REF"/>
      <sheetName val="iva-d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tv-fiyat"/>
      <sheetName val="Kategoriler"/>
      <sheetName val="Programlar"/>
      <sheetName val="ATV"/>
      <sheetName val="SHOW"/>
      <sheetName val="STAR"/>
      <sheetName val="KAND"/>
      <sheetName val="TGRT"/>
      <sheetName val="Cine5"/>
      <sheetName val="Prima"/>
      <sheetName val="BRAVO"/>
      <sheetName val="OLAY"/>
      <sheetName val="NTV STAND-BY"/>
      <sheetName val="NTV  NORMAL"/>
      <sheetName val="E TV"/>
      <sheetName val="EGE TV"/>
      <sheetName val="Karışık"/>
      <sheetName val="Pivot"/>
      <sheetName val="Özet"/>
      <sheetName val="Ödeme"/>
      <sheetName val="ntv_fiyat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tv-fiyat"/>
    </sheetNames>
    <sheetDataSet>
      <sheetData sheetId="0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öprü"/>
      <sheetName val="Planlama"/>
      <sheetName val="kategoriler"/>
      <sheetName val="ntv-fiyat"/>
      <sheetName val="rendelés melléklet"/>
      <sheetName val="TOPLAM KANAL KIRILIMI-GRP'S 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udağ Ramazan Kampanyası"/>
      <sheetName val="YouTube"/>
      <sheetName val="Meta Hedefleme"/>
      <sheetName val="Tiktok Hedefleme"/>
      <sheetName val="Twitter"/>
      <sheetName val="Sayfa1"/>
      <sheetName val="Tahmini Satın Alma Mart"/>
      <sheetName val="Uludağ Limonata&amp;Şerbet Digital "/>
    </sheetNames>
    <definedNames>
      <definedName name="LANG_CELL" refersTo="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CCS"/>
      <sheetName val="CCS"/>
      <sheetName val="PRINT"/>
      <sheetName val="PG"/>
      <sheetName val="SAD"/>
      <sheetName val="UAE"/>
      <sheetName val="KWT"/>
      <sheetName val="QTR"/>
      <sheetName val="BHN"/>
      <sheetName val="OMN"/>
      <sheetName val="ntv-fiyat"/>
      <sheetName val="JUL"/>
      <sheetName val="TOPLAM KANAL KIRILIMI-GRP'S (2)"/>
      <sheetName val="Köprü"/>
      <sheetName val="SUMMARY_CCS"/>
      <sheetName val="rendelés melléklet"/>
      <sheetName val="PPTO"/>
      <sheetName val="Cine 5"/>
    </sheetNames>
    <sheetDataSet>
      <sheetData sheetId="0" refreshError="1"/>
      <sheetData sheetId="1" refreshError="1">
        <row r="1">
          <cell r="A1" t="str">
            <v>1999 MEDIA PLAN SUMMARY</v>
          </cell>
        </row>
        <row r="2">
          <cell r="A2" t="str">
            <v>MARKET : PAN GULF REGIONAL MEDIA</v>
          </cell>
          <cell r="H2" t="str">
            <v>BUDGET :</v>
          </cell>
          <cell r="J2" t="str">
            <v>US$</v>
          </cell>
          <cell r="K2">
            <v>495</v>
          </cell>
          <cell r="L2" t="str">
            <v>M</v>
          </cell>
          <cell r="R2" t="str">
            <v>NUMBER :</v>
          </cell>
        </row>
        <row r="3">
          <cell r="A3" t="str">
            <v>MARKETS :  M.E. REGION</v>
          </cell>
          <cell r="O3" t="str">
            <v>NUMBER :</v>
          </cell>
          <cell r="Q3" t="str">
            <v>CCS / 7</v>
          </cell>
        </row>
        <row r="4">
          <cell r="A4" t="str">
            <v>PRODUCT : KRAFT CREAM CHEESE SPREAD</v>
          </cell>
          <cell r="H4" t="str">
            <v>ACTUAL :</v>
          </cell>
          <cell r="J4" t="str">
            <v>US$</v>
          </cell>
          <cell r="K4">
            <v>493.87608999999998</v>
          </cell>
          <cell r="L4" t="str">
            <v>M</v>
          </cell>
          <cell r="O4" t="str">
            <v>DATE :</v>
          </cell>
          <cell r="Q4" t="str">
            <v>9.6.1999</v>
          </cell>
          <cell r="R4" t="str">
            <v>DATE :</v>
          </cell>
        </row>
        <row r="6">
          <cell r="A6" t="str">
            <v>MEDIUM /</v>
          </cell>
          <cell r="B6" t="str">
            <v>TIME</v>
          </cell>
          <cell r="C6" t="str">
            <v>Dec</v>
          </cell>
          <cell r="D6" t="str">
            <v>JAN</v>
          </cell>
          <cell r="E6" t="str">
            <v>FEB</v>
          </cell>
          <cell r="F6" t="str">
            <v>MAR</v>
          </cell>
          <cell r="G6" t="str">
            <v>APR</v>
          </cell>
          <cell r="H6" t="str">
            <v>MAY</v>
          </cell>
          <cell r="I6" t="str">
            <v>JUN</v>
          </cell>
          <cell r="J6" t="str">
            <v>JUL</v>
          </cell>
          <cell r="K6" t="str">
            <v>AUG</v>
          </cell>
          <cell r="L6" t="str">
            <v>SEP</v>
          </cell>
          <cell r="M6" t="str">
            <v>OCT</v>
          </cell>
          <cell r="N6" t="str">
            <v>NOV</v>
          </cell>
          <cell r="O6" t="str">
            <v>DEC</v>
          </cell>
          <cell r="P6" t="str">
            <v>TOTAL</v>
          </cell>
          <cell r="Q6" t="str">
            <v>% OF</v>
          </cell>
          <cell r="R6" t="str">
            <v>PLAN NO.</v>
          </cell>
        </row>
        <row r="7">
          <cell r="A7" t="str">
            <v>MARKET</v>
          </cell>
          <cell r="B7" t="str">
            <v>(HRS)</v>
          </cell>
          <cell r="C7">
            <v>98</v>
          </cell>
          <cell r="D7">
            <v>99</v>
          </cell>
          <cell r="E7">
            <v>99</v>
          </cell>
          <cell r="F7">
            <v>99</v>
          </cell>
          <cell r="G7">
            <v>99</v>
          </cell>
          <cell r="H7">
            <v>99</v>
          </cell>
          <cell r="I7">
            <v>99</v>
          </cell>
          <cell r="J7">
            <v>99</v>
          </cell>
          <cell r="K7">
            <v>99</v>
          </cell>
          <cell r="L7">
            <v>99</v>
          </cell>
          <cell r="M7">
            <v>99</v>
          </cell>
          <cell r="N7">
            <v>99</v>
          </cell>
          <cell r="O7">
            <v>99</v>
          </cell>
          <cell r="P7">
            <v>99</v>
          </cell>
          <cell r="Q7" t="str">
            <v>TOTAL</v>
          </cell>
          <cell r="R7" t="str">
            <v>&amp; DATE</v>
          </cell>
        </row>
        <row r="8">
          <cell r="A8" t="str">
            <v>SATELLITE</v>
          </cell>
          <cell r="B8" t="str">
            <v>WEEKS ON AIR</v>
          </cell>
          <cell r="C8">
            <v>34</v>
          </cell>
          <cell r="D8">
            <v>1234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1234</v>
          </cell>
          <cell r="J8">
            <v>1234</v>
          </cell>
          <cell r="K8">
            <v>34</v>
          </cell>
          <cell r="L8">
            <v>1234</v>
          </cell>
          <cell r="M8">
            <v>1234</v>
          </cell>
          <cell r="N8">
            <v>1234</v>
          </cell>
          <cell r="O8">
            <v>0</v>
          </cell>
          <cell r="P8">
            <v>31</v>
          </cell>
          <cell r="Q8">
            <v>1234</v>
          </cell>
          <cell r="R8">
            <v>1234</v>
          </cell>
        </row>
        <row r="9">
          <cell r="A9" t="str">
            <v>MBC TV</v>
          </cell>
          <cell r="B9" t="str">
            <v>NO OF SPOTS</v>
          </cell>
          <cell r="C9">
            <v>40</v>
          </cell>
          <cell r="D9">
            <v>82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64</v>
          </cell>
          <cell r="J9">
            <v>64</v>
          </cell>
          <cell r="K9">
            <v>71</v>
          </cell>
          <cell r="L9">
            <v>143</v>
          </cell>
          <cell r="M9">
            <v>120</v>
          </cell>
          <cell r="N9">
            <v>120</v>
          </cell>
          <cell r="O9">
            <v>0</v>
          </cell>
          <cell r="P9">
            <v>704</v>
          </cell>
          <cell r="R9" t="str">
            <v>CCS/PA/7</v>
          </cell>
        </row>
        <row r="10">
          <cell r="A10" t="str">
            <v xml:space="preserve">Dubbed Serial </v>
          </cell>
          <cell r="B10" t="str">
            <v>BUDGET (US$M)</v>
          </cell>
          <cell r="C10">
            <v>22.33</v>
          </cell>
          <cell r="D10">
            <v>58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47.617739</v>
          </cell>
          <cell r="J10">
            <v>47.617739</v>
          </cell>
          <cell r="K10">
            <v>48.614149999999995</v>
          </cell>
          <cell r="L10">
            <v>102.90470199999999</v>
          </cell>
          <cell r="M10">
            <v>83.395880000000005</v>
          </cell>
          <cell r="N10">
            <v>83.395880000000005</v>
          </cell>
          <cell r="O10">
            <v>0</v>
          </cell>
          <cell r="P10">
            <v>493.87608999999998</v>
          </cell>
          <cell r="Q10">
            <v>0.51874396443416315</v>
          </cell>
          <cell r="R10" t="str">
            <v>9.6.1999</v>
          </cell>
        </row>
        <row r="11">
          <cell r="A11" t="str">
            <v>News</v>
          </cell>
          <cell r="B11">
            <v>0.875</v>
          </cell>
          <cell r="C11">
            <v>30</v>
          </cell>
          <cell r="D11">
            <v>3605</v>
          </cell>
          <cell r="E11">
            <v>3554.5299999999997</v>
          </cell>
          <cell r="F11">
            <v>0.11600000000000001</v>
          </cell>
          <cell r="G11">
            <v>14.696642685851318</v>
          </cell>
          <cell r="N11">
            <v>2</v>
          </cell>
          <cell r="O11">
            <v>2</v>
          </cell>
        </row>
        <row r="12">
          <cell r="A12" t="str">
            <v>Variety</v>
          </cell>
          <cell r="B12">
            <v>0.90625</v>
          </cell>
          <cell r="C12" t="str">
            <v>DOC 30"</v>
          </cell>
          <cell r="D12" t="str">
            <v>DOC 30"</v>
          </cell>
          <cell r="E12">
            <v>2843.6239999999998</v>
          </cell>
          <cell r="F12">
            <v>0.09</v>
          </cell>
          <cell r="G12">
            <v>15.153871569411136</v>
          </cell>
          <cell r="I12" t="str">
            <v>DOC 30"</v>
          </cell>
          <cell r="J12" t="str">
            <v>DOC 30"</v>
          </cell>
          <cell r="K12" t="str">
            <v>NTVC 35"</v>
          </cell>
          <cell r="L12" t="str">
            <v>NTVC 35"</v>
          </cell>
          <cell r="M12" t="str">
            <v>NTVC 35"</v>
          </cell>
          <cell r="N12" t="str">
            <v>NTVC 35"</v>
          </cell>
          <cell r="O12">
            <v>1</v>
          </cell>
        </row>
        <row r="13">
          <cell r="A13" t="str">
            <v xml:space="preserve">During Serial </v>
          </cell>
          <cell r="B13" t="str">
            <v>COPY ON AIR</v>
          </cell>
          <cell r="C13" t="str">
            <v>AR</v>
          </cell>
          <cell r="D13" t="str">
            <v>AR</v>
          </cell>
          <cell r="E13" t="str">
            <v>free</v>
          </cell>
          <cell r="F13">
            <v>3.1E-2</v>
          </cell>
          <cell r="G13">
            <v>0</v>
          </cell>
          <cell r="I13" t="str">
            <v>AR</v>
          </cell>
          <cell r="J13" t="str">
            <v>AR</v>
          </cell>
          <cell r="K13" t="str">
            <v>AR</v>
          </cell>
          <cell r="L13" t="str">
            <v>AR</v>
          </cell>
          <cell r="M13" t="str">
            <v>AR</v>
          </cell>
          <cell r="N13" t="str">
            <v>AR</v>
          </cell>
          <cell r="O13">
            <v>2</v>
          </cell>
        </row>
        <row r="14">
          <cell r="A14" t="str">
            <v>During coolery program</v>
          </cell>
          <cell r="B14">
            <v>0.54166666666666663</v>
          </cell>
          <cell r="C14">
            <v>30</v>
          </cell>
          <cell r="D14">
            <v>1545</v>
          </cell>
          <cell r="E14" t="str">
            <v>free</v>
          </cell>
          <cell r="F14">
            <v>3.2000000000000001E-2</v>
          </cell>
          <cell r="N14">
            <v>2</v>
          </cell>
          <cell r="O14">
            <v>2</v>
          </cell>
        </row>
        <row r="15">
          <cell r="A15" t="str">
            <v>PRINT CAMPAIGN</v>
          </cell>
          <cell r="B15">
            <v>0.67708333333333337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 xml:space="preserve">Dubbed Serial </v>
          </cell>
          <cell r="B16">
            <v>0.70833333333333337</v>
          </cell>
          <cell r="C16">
            <v>35</v>
          </cell>
          <cell r="D16">
            <v>2565</v>
          </cell>
          <cell r="E16">
            <v>2529.0899999999997</v>
          </cell>
          <cell r="F16">
            <v>4.5999999999999999E-2</v>
          </cell>
          <cell r="G16">
            <v>26.369408820769468</v>
          </cell>
          <cell r="P16">
            <v>1</v>
          </cell>
          <cell r="Q16">
            <v>3</v>
          </cell>
          <cell r="R16">
            <v>0</v>
          </cell>
        </row>
        <row r="17">
          <cell r="A17" t="str">
            <v>SAUDI</v>
          </cell>
          <cell r="B17" t="str">
            <v>WEEKS ON AIR</v>
          </cell>
          <cell r="C17">
            <v>34</v>
          </cell>
          <cell r="D17">
            <v>1234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1234</v>
          </cell>
          <cell r="J17">
            <v>1234</v>
          </cell>
          <cell r="K17">
            <v>34</v>
          </cell>
          <cell r="L17">
            <v>1234</v>
          </cell>
          <cell r="M17">
            <v>1234</v>
          </cell>
          <cell r="N17">
            <v>1234</v>
          </cell>
          <cell r="O17">
            <v>0</v>
          </cell>
          <cell r="P17">
            <v>31</v>
          </cell>
          <cell r="Q17">
            <v>4</v>
          </cell>
          <cell r="R17">
            <v>3</v>
          </cell>
        </row>
        <row r="18">
          <cell r="A18" t="str">
            <v>Variety</v>
          </cell>
          <cell r="B18" t="str">
            <v>NO OF SPOTS</v>
          </cell>
          <cell r="C18">
            <v>4</v>
          </cell>
          <cell r="D18">
            <v>8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4</v>
          </cell>
          <cell r="J18">
            <v>4</v>
          </cell>
          <cell r="K18">
            <v>4</v>
          </cell>
          <cell r="L18">
            <v>8</v>
          </cell>
          <cell r="M18">
            <v>7</v>
          </cell>
          <cell r="N18">
            <v>7</v>
          </cell>
          <cell r="O18">
            <v>0</v>
          </cell>
          <cell r="P18">
            <v>46</v>
          </cell>
          <cell r="Q18">
            <v>3</v>
          </cell>
          <cell r="R18" t="str">
            <v>CCS / SA / 7</v>
          </cell>
        </row>
        <row r="19">
          <cell r="A19" t="str">
            <v xml:space="preserve">During Serial </v>
          </cell>
          <cell r="B19" t="str">
            <v>BUDGET (US$M)</v>
          </cell>
          <cell r="C19">
            <v>9.8999039999999994</v>
          </cell>
          <cell r="D19">
            <v>18.56232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9.8999039999999994</v>
          </cell>
          <cell r="J19">
            <v>9.8999039999999994</v>
          </cell>
          <cell r="K19">
            <v>9.8999039999999994</v>
          </cell>
          <cell r="L19">
            <v>17.324831999999997</v>
          </cell>
          <cell r="M19">
            <v>16.087343999999998</v>
          </cell>
          <cell r="N19">
            <v>16.087343999999998</v>
          </cell>
          <cell r="O19">
            <v>0</v>
          </cell>
          <cell r="P19">
            <v>107.661456</v>
          </cell>
          <cell r="Q19">
            <v>0.11308247480090446</v>
          </cell>
          <cell r="R19" t="str">
            <v>9.6.1999</v>
          </cell>
        </row>
        <row r="20">
          <cell r="A20" t="str">
            <v>During coolery program</v>
          </cell>
          <cell r="B20" t="str">
            <v>GRP'S</v>
          </cell>
          <cell r="C20">
            <v>235</v>
          </cell>
          <cell r="D20">
            <v>384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450</v>
          </cell>
          <cell r="J20">
            <v>450</v>
          </cell>
          <cell r="K20">
            <v>475</v>
          </cell>
          <cell r="L20">
            <v>853</v>
          </cell>
          <cell r="M20">
            <v>675</v>
          </cell>
          <cell r="N20">
            <v>675</v>
          </cell>
          <cell r="O20">
            <v>0</v>
          </cell>
          <cell r="P20">
            <v>4197</v>
          </cell>
          <cell r="Q20">
            <v>6</v>
          </cell>
          <cell r="R20">
            <v>5</v>
          </cell>
        </row>
        <row r="21">
          <cell r="A21" t="str">
            <v xml:space="preserve">During Serial </v>
          </cell>
          <cell r="B21" t="str">
            <v>REACH %</v>
          </cell>
          <cell r="C21">
            <v>68.5</v>
          </cell>
          <cell r="D21">
            <v>70.099999999999994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73.900000000000006</v>
          </cell>
          <cell r="J21">
            <v>73.900000000000006</v>
          </cell>
          <cell r="K21">
            <v>73.900000000000006</v>
          </cell>
          <cell r="L21">
            <v>74.900000000000006</v>
          </cell>
          <cell r="M21">
            <v>73.900000000000006</v>
          </cell>
          <cell r="N21">
            <v>73.900000000000006</v>
          </cell>
          <cell r="O21">
            <v>0</v>
          </cell>
          <cell r="P21">
            <v>0</v>
          </cell>
          <cell r="Q21">
            <v>7</v>
          </cell>
          <cell r="R21">
            <v>4</v>
          </cell>
        </row>
        <row r="22">
          <cell r="B22" t="str">
            <v>FREQUENCY</v>
          </cell>
          <cell r="C22">
            <v>3.4306569343065694</v>
          </cell>
          <cell r="D22">
            <v>5.4778887303851649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6.0893098782138022</v>
          </cell>
          <cell r="J22">
            <v>6.0893098782138022</v>
          </cell>
          <cell r="K22">
            <v>6.4276048714479019</v>
          </cell>
          <cell r="L22">
            <v>11.388518024032042</v>
          </cell>
          <cell r="M22">
            <v>9.1339648173207024</v>
          </cell>
          <cell r="N22">
            <v>9.1339648173207024</v>
          </cell>
          <cell r="O22">
            <v>0</v>
          </cell>
          <cell r="P22">
            <v>0</v>
          </cell>
        </row>
        <row r="23">
          <cell r="A23" t="str">
            <v>L B C SAT</v>
          </cell>
        </row>
        <row r="24">
          <cell r="A24" t="str">
            <v>DURING NAHARKOUM SAEED</v>
          </cell>
          <cell r="B24">
            <v>0.47916666666666669</v>
          </cell>
          <cell r="C24" t="str">
            <v>DOC 30"</v>
          </cell>
          <cell r="D24" t="str">
            <v>DOC 30"</v>
          </cell>
          <cell r="E24" t="str">
            <v>FREE</v>
          </cell>
          <cell r="F24">
            <v>3.3000000000000002E-2</v>
          </cell>
          <cell r="G24">
            <v>0</v>
          </cell>
          <cell r="I24" t="str">
            <v>DOC 30"</v>
          </cell>
          <cell r="J24" t="str">
            <v>DOC 30"</v>
          </cell>
          <cell r="K24" t="str">
            <v>NTVC 35"</v>
          </cell>
          <cell r="L24" t="str">
            <v>NTVC 35"</v>
          </cell>
          <cell r="M24" t="str">
            <v>NTVC 35"</v>
          </cell>
          <cell r="N24" t="str">
            <v>NTVC 35"</v>
          </cell>
        </row>
        <row r="25">
          <cell r="A25" t="str">
            <v>DURING DUBBED SERIAL</v>
          </cell>
          <cell r="B25" t="str">
            <v>COPY ON AIR</v>
          </cell>
          <cell r="C25" t="str">
            <v>AR</v>
          </cell>
          <cell r="D25" t="str">
            <v>AR</v>
          </cell>
          <cell r="E25" t="str">
            <v>FREE</v>
          </cell>
          <cell r="F25">
            <v>0.04</v>
          </cell>
          <cell r="G25">
            <v>0</v>
          </cell>
          <cell r="I25" t="str">
            <v>AR</v>
          </cell>
          <cell r="J25" t="str">
            <v>AR</v>
          </cell>
          <cell r="K25" t="str">
            <v>AR</v>
          </cell>
          <cell r="L25" t="str">
            <v>AR</v>
          </cell>
          <cell r="M25" t="str">
            <v>AR</v>
          </cell>
          <cell r="N25" t="str">
            <v>AR</v>
          </cell>
          <cell r="O25">
            <v>2</v>
          </cell>
        </row>
        <row r="26">
          <cell r="A26" t="str">
            <v>OUTDOOR (S.A.)</v>
          </cell>
          <cell r="B26" t="str">
            <v>WEEKS ON AIR</v>
          </cell>
          <cell r="C26" t="str">
            <v>30-35</v>
          </cell>
          <cell r="D26" t="str">
            <v>FREE</v>
          </cell>
          <cell r="E26" t="str">
            <v>FREE</v>
          </cell>
          <cell r="F26">
            <v>4.2000000000000003E-2</v>
          </cell>
          <cell r="G26">
            <v>0</v>
          </cell>
          <cell r="I26">
            <v>3</v>
          </cell>
          <cell r="N26">
            <v>2</v>
          </cell>
          <cell r="O26">
            <v>2</v>
          </cell>
        </row>
        <row r="27">
          <cell r="A27" t="str">
            <v>DURING VARIETY</v>
          </cell>
          <cell r="B27" t="str">
            <v>BURSTS</v>
          </cell>
          <cell r="C27" t="str">
            <v>30-35</v>
          </cell>
          <cell r="D27" t="str">
            <v>FREE</v>
          </cell>
          <cell r="E27" t="str">
            <v>FREE</v>
          </cell>
          <cell r="F27">
            <v>4.5999999999999999E-2</v>
          </cell>
          <cell r="G27">
            <v>0</v>
          </cell>
          <cell r="I27">
            <v>2</v>
          </cell>
          <cell r="N27">
            <v>3</v>
          </cell>
          <cell r="O27">
            <v>3</v>
          </cell>
          <cell r="P27">
            <v>0</v>
          </cell>
        </row>
        <row r="28">
          <cell r="A28" t="str">
            <v>DURING NEWS</v>
          </cell>
          <cell r="B28" t="str">
            <v>BUDGET (US4M)</v>
          </cell>
          <cell r="C28" t="str">
            <v>30-35</v>
          </cell>
          <cell r="D28">
            <v>2000</v>
          </cell>
          <cell r="E28">
            <v>2320</v>
          </cell>
          <cell r="F28">
            <v>4.2000000000000003E-2</v>
          </cell>
          <cell r="G28">
            <v>26.493091241292678</v>
          </cell>
          <cell r="I28">
            <v>2</v>
          </cell>
          <cell r="P28">
            <v>0</v>
          </cell>
          <cell r="Q28">
            <v>0</v>
          </cell>
        </row>
        <row r="29">
          <cell r="A29" t="str">
            <v>DURING  DUBBED SERIAL</v>
          </cell>
          <cell r="B29">
            <v>0.92708333333333337</v>
          </cell>
          <cell r="C29" t="str">
            <v>30-35</v>
          </cell>
          <cell r="D29">
            <v>2000</v>
          </cell>
          <cell r="E29">
            <v>2320</v>
          </cell>
          <cell r="F29">
            <v>6.7000000000000004E-2</v>
          </cell>
          <cell r="G29">
            <v>16.607609434840185</v>
          </cell>
          <cell r="I29">
            <v>5</v>
          </cell>
          <cell r="N29">
            <v>4</v>
          </cell>
          <cell r="O29">
            <v>4</v>
          </cell>
        </row>
        <row r="30">
          <cell r="A30" t="str">
            <v>U.A.E.</v>
          </cell>
          <cell r="B30" t="str">
            <v>WEEKS ON AIR</v>
          </cell>
          <cell r="C30">
            <v>34</v>
          </cell>
          <cell r="D30">
            <v>1234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1234</v>
          </cell>
          <cell r="J30">
            <v>1234</v>
          </cell>
          <cell r="K30">
            <v>34</v>
          </cell>
          <cell r="L30">
            <v>1234</v>
          </cell>
          <cell r="M30">
            <v>1234</v>
          </cell>
          <cell r="N30">
            <v>1234</v>
          </cell>
          <cell r="O30">
            <v>0</v>
          </cell>
          <cell r="P30">
            <v>31</v>
          </cell>
        </row>
        <row r="31">
          <cell r="A31" t="str">
            <v>DURING DUBBED SERIAL</v>
          </cell>
          <cell r="B31" t="str">
            <v>NO OF SPOTS</v>
          </cell>
          <cell r="C31">
            <v>28</v>
          </cell>
          <cell r="D31">
            <v>47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43</v>
          </cell>
          <cell r="J31">
            <v>43</v>
          </cell>
          <cell r="K31">
            <v>40</v>
          </cell>
          <cell r="L31">
            <v>80</v>
          </cell>
          <cell r="M31">
            <v>63</v>
          </cell>
          <cell r="N31">
            <v>63</v>
          </cell>
          <cell r="O31">
            <v>0</v>
          </cell>
          <cell r="P31">
            <v>407</v>
          </cell>
          <cell r="R31" t="str">
            <v>CCS / UAE / 7</v>
          </cell>
        </row>
        <row r="32">
          <cell r="A32" t="str">
            <v>DURING NAHARKOUM SAEED</v>
          </cell>
          <cell r="B32" t="str">
            <v>BUDGET (US$M)</v>
          </cell>
          <cell r="C32">
            <v>23.092252443</v>
          </cell>
          <cell r="D32">
            <v>26.623049930499999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19.9519522515</v>
          </cell>
          <cell r="J32">
            <v>19.9519522515</v>
          </cell>
          <cell r="K32">
            <v>21.963547850999998</v>
          </cell>
          <cell r="L32">
            <v>41.888331307500003</v>
          </cell>
          <cell r="M32">
            <v>32.651557402500003</v>
          </cell>
          <cell r="N32">
            <v>32.651557402500003</v>
          </cell>
          <cell r="O32">
            <v>0</v>
          </cell>
          <cell r="P32">
            <v>218.77420084000002</v>
          </cell>
          <cell r="Q32">
            <v>0.22979001931366516</v>
          </cell>
          <cell r="R32" t="str">
            <v>9.6.1999</v>
          </cell>
        </row>
        <row r="33">
          <cell r="A33" t="str">
            <v>DURING DUBBED SERIAL</v>
          </cell>
          <cell r="B33" t="str">
            <v>GRP'S</v>
          </cell>
          <cell r="C33">
            <v>264</v>
          </cell>
          <cell r="D33">
            <v>527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540</v>
          </cell>
          <cell r="J33">
            <v>540</v>
          </cell>
          <cell r="K33">
            <v>560</v>
          </cell>
          <cell r="L33">
            <v>970.7</v>
          </cell>
          <cell r="M33">
            <v>770</v>
          </cell>
          <cell r="N33">
            <v>770</v>
          </cell>
          <cell r="O33">
            <v>0</v>
          </cell>
          <cell r="P33">
            <v>4941.7</v>
          </cell>
          <cell r="Q33">
            <v>4</v>
          </cell>
          <cell r="R33">
            <v>3</v>
          </cell>
        </row>
        <row r="34">
          <cell r="A34" t="str">
            <v>DURING VARIETY</v>
          </cell>
          <cell r="B34" t="str">
            <v>REACH %</v>
          </cell>
          <cell r="C34">
            <v>70.900000000000006</v>
          </cell>
          <cell r="D34">
            <v>73.2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73.2</v>
          </cell>
          <cell r="J34">
            <v>73.2</v>
          </cell>
          <cell r="K34">
            <v>74.8</v>
          </cell>
          <cell r="L34">
            <v>76.5</v>
          </cell>
          <cell r="M34">
            <v>74.8</v>
          </cell>
          <cell r="N34">
            <v>74.8</v>
          </cell>
          <cell r="O34">
            <v>0</v>
          </cell>
          <cell r="P34">
            <v>0</v>
          </cell>
          <cell r="Q34">
            <v>4</v>
          </cell>
          <cell r="R34">
            <v>3</v>
          </cell>
        </row>
        <row r="35">
          <cell r="A35" t="str">
            <v>DURING VARIETY</v>
          </cell>
          <cell r="B35" t="str">
            <v>FREQUENCY</v>
          </cell>
          <cell r="C35">
            <v>3.7235543018335679</v>
          </cell>
          <cell r="D35">
            <v>7.2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7.3770491803278686</v>
          </cell>
          <cell r="J35">
            <v>7.3770491803278686</v>
          </cell>
          <cell r="K35">
            <v>7.4866310160427814</v>
          </cell>
          <cell r="L35">
            <v>12.68888888888889</v>
          </cell>
          <cell r="M35">
            <v>10.294117647058824</v>
          </cell>
          <cell r="N35">
            <v>10.294117647058824</v>
          </cell>
          <cell r="O35">
            <v>0</v>
          </cell>
          <cell r="P35">
            <v>0</v>
          </cell>
          <cell r="Q35">
            <v>7</v>
          </cell>
          <cell r="R35">
            <v>6</v>
          </cell>
        </row>
        <row r="36">
          <cell r="A36" t="str">
            <v>DURING NEWS</v>
          </cell>
          <cell r="B36">
            <v>0.88541666666666663</v>
          </cell>
          <cell r="C36" t="str">
            <v>30-35</v>
          </cell>
          <cell r="D36">
            <v>1350</v>
          </cell>
          <cell r="E36">
            <v>1566</v>
          </cell>
          <cell r="F36">
            <v>4.2000000000000003E-2</v>
          </cell>
          <cell r="G36">
            <v>17.882836587872557</v>
          </cell>
          <cell r="H36">
            <v>1</v>
          </cell>
        </row>
        <row r="37">
          <cell r="A37" t="str">
            <v>DURING  DUBBED SERIAL</v>
          </cell>
          <cell r="B37">
            <v>0.92708333333333337</v>
          </cell>
          <cell r="C37" t="str">
            <v>DOC 30"</v>
          </cell>
          <cell r="D37" t="str">
            <v>DOC 30"</v>
          </cell>
          <cell r="E37">
            <v>1566</v>
          </cell>
          <cell r="F37">
            <v>6.7000000000000004E-2</v>
          </cell>
          <cell r="G37">
            <v>11.210136368517125</v>
          </cell>
          <cell r="H37">
            <v>2</v>
          </cell>
          <cell r="I37" t="str">
            <v>DOC 30"</v>
          </cell>
          <cell r="J37" t="str">
            <v>DOC 30"</v>
          </cell>
          <cell r="K37" t="str">
            <v>NTVC 35"</v>
          </cell>
          <cell r="L37" t="str">
            <v>NTVC 35"</v>
          </cell>
          <cell r="M37" t="str">
            <v>NTVC 35"</v>
          </cell>
          <cell r="N37" t="str">
            <v>NTVC 35"</v>
          </cell>
          <cell r="P37">
            <v>5</v>
          </cell>
          <cell r="Q37">
            <v>9</v>
          </cell>
          <cell r="R37">
            <v>8</v>
          </cell>
        </row>
        <row r="38">
          <cell r="A38" t="str">
            <v>DURING VARAITY PROGRAMS</v>
          </cell>
          <cell r="B38" t="str">
            <v>COPY ON AIR</v>
          </cell>
          <cell r="C38" t="str">
            <v>AR</v>
          </cell>
          <cell r="D38" t="str">
            <v>AR</v>
          </cell>
          <cell r="E38">
            <v>1566</v>
          </cell>
          <cell r="F38">
            <v>7.1999999999999995E-2</v>
          </cell>
          <cell r="G38">
            <v>10.431654676258994</v>
          </cell>
          <cell r="H38">
            <v>2</v>
          </cell>
          <cell r="I38" t="str">
            <v>AR</v>
          </cell>
          <cell r="J38" t="str">
            <v>AR</v>
          </cell>
          <cell r="K38" t="str">
            <v>AR</v>
          </cell>
          <cell r="L38" t="str">
            <v>AR</v>
          </cell>
          <cell r="M38" t="str">
            <v>AR</v>
          </cell>
          <cell r="N38" t="str">
            <v>AR</v>
          </cell>
          <cell r="P38">
            <v>4</v>
          </cell>
          <cell r="Q38">
            <v>9</v>
          </cell>
          <cell r="R38">
            <v>8</v>
          </cell>
        </row>
        <row r="39">
          <cell r="A39" t="str">
            <v>BAHRAIN</v>
          </cell>
          <cell r="B39" t="str">
            <v>WEEKS ON AIR</v>
          </cell>
          <cell r="C39">
            <v>34</v>
          </cell>
          <cell r="D39">
            <v>1234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1234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10</v>
          </cell>
          <cell r="Q39">
            <v>21</v>
          </cell>
          <cell r="R39">
            <v>20</v>
          </cell>
        </row>
        <row r="40">
          <cell r="A40" t="str">
            <v>FUTURE SAT</v>
          </cell>
          <cell r="B40" t="str">
            <v>NO OF SPOTS</v>
          </cell>
          <cell r="C40">
            <v>5</v>
          </cell>
          <cell r="D40">
            <v>6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8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19</v>
          </cell>
          <cell r="R40" t="str">
            <v>CCS / BHN / 7</v>
          </cell>
        </row>
        <row r="41">
          <cell r="A41" t="str">
            <v>DURING ALAM AL SABAH</v>
          </cell>
          <cell r="B41" t="str">
            <v>BUDGET (US$M)</v>
          </cell>
          <cell r="C41">
            <v>1.5734042553191487</v>
          </cell>
          <cell r="D41">
            <v>2.1287234042553194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2.7534574468085102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6.4555851063829781</v>
          </cell>
          <cell r="Q41">
            <v>6.7806396758896444E-3</v>
          </cell>
          <cell r="R41" t="str">
            <v>9.6.1999</v>
          </cell>
        </row>
        <row r="42">
          <cell r="A42" t="str">
            <v>DURING ARABIC SERIAL</v>
          </cell>
          <cell r="B42" t="str">
            <v>GRP'S</v>
          </cell>
          <cell r="C42">
            <v>115</v>
          </cell>
          <cell r="D42">
            <v>230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183.125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528.125</v>
          </cell>
        </row>
        <row r="43">
          <cell r="A43" t="str">
            <v>DURING ARABIC SERIAL</v>
          </cell>
          <cell r="B43" t="str">
            <v>REACH %</v>
          </cell>
          <cell r="C43">
            <v>57.3</v>
          </cell>
          <cell r="D43">
            <v>60.4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60.8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</row>
        <row r="44">
          <cell r="A44" t="str">
            <v xml:space="preserve">DURING NEWS </v>
          </cell>
          <cell r="B44" t="str">
            <v>FREQUENCY</v>
          </cell>
          <cell r="C44">
            <v>2.0069808027923211</v>
          </cell>
          <cell r="D44">
            <v>3.8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3.0119243421052633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</row>
        <row r="45">
          <cell r="A45" t="str">
            <v>DURING ENTERTAINMENT PROG</v>
          </cell>
          <cell r="B45">
            <v>0.91666666666666663</v>
          </cell>
          <cell r="C45">
            <v>30</v>
          </cell>
          <cell r="D45">
            <v>500</v>
          </cell>
          <cell r="E45">
            <v>580</v>
          </cell>
          <cell r="F45">
            <v>2.5999999999999999E-2</v>
          </cell>
          <cell r="G45">
            <v>10.699133001291274</v>
          </cell>
          <cell r="H45">
            <v>2</v>
          </cell>
          <cell r="I45">
            <v>5</v>
          </cell>
          <cell r="N45">
            <v>2</v>
          </cell>
          <cell r="O45">
            <v>2</v>
          </cell>
        </row>
        <row r="46">
          <cell r="A46" t="str">
            <v>DURING ENTERTAINMENT PROG</v>
          </cell>
          <cell r="B46">
            <v>0.94791666666666663</v>
          </cell>
          <cell r="C46" t="str">
            <v>DOC 30"</v>
          </cell>
          <cell r="D46" t="str">
            <v>DOC 30"</v>
          </cell>
          <cell r="E46">
            <v>580</v>
          </cell>
          <cell r="F46">
            <v>2.5000000000000001E-2</v>
          </cell>
          <cell r="G46">
            <v>11.127098321342926</v>
          </cell>
          <cell r="H46">
            <v>3</v>
          </cell>
          <cell r="I46" t="str">
            <v>DOC 30"</v>
          </cell>
          <cell r="N46">
            <v>3</v>
          </cell>
          <cell r="O46">
            <v>3</v>
          </cell>
        </row>
        <row r="47">
          <cell r="A47" t="str">
            <v>BEF ENTERTAINMENT PROG</v>
          </cell>
          <cell r="B47" t="str">
            <v>COPY ON AIR</v>
          </cell>
          <cell r="C47" t="str">
            <v>AR</v>
          </cell>
          <cell r="D47" t="str">
            <v>AR</v>
          </cell>
          <cell r="E47">
            <v>580</v>
          </cell>
          <cell r="F47">
            <v>2.5000000000000001E-2</v>
          </cell>
          <cell r="G47">
            <v>11.127098321342926</v>
          </cell>
          <cell r="H47">
            <v>2</v>
          </cell>
          <cell r="I47" t="str">
            <v>AR</v>
          </cell>
          <cell r="N47">
            <v>3</v>
          </cell>
          <cell r="O47">
            <v>3</v>
          </cell>
        </row>
        <row r="48">
          <cell r="A48" t="str">
            <v>QATAR</v>
          </cell>
          <cell r="B48" t="str">
            <v>WEEKS ON AIR</v>
          </cell>
          <cell r="C48">
            <v>34</v>
          </cell>
          <cell r="D48">
            <v>1234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1234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10</v>
          </cell>
        </row>
        <row r="49">
          <cell r="A49" t="str">
            <v>DURING ALAM AL SABAH</v>
          </cell>
          <cell r="B49" t="str">
            <v>NO OF SPOTS</v>
          </cell>
          <cell r="C49">
            <v>5</v>
          </cell>
          <cell r="D49">
            <v>8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8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21</v>
          </cell>
          <cell r="R49" t="str">
            <v>CCS/qtr/7</v>
          </cell>
        </row>
        <row r="50">
          <cell r="A50" t="str">
            <v>DURING ARABIC SERIAL</v>
          </cell>
          <cell r="B50" t="str">
            <v>BUDGET (US$M)</v>
          </cell>
          <cell r="C50">
            <v>2.4438995999999999</v>
          </cell>
          <cell r="D50">
            <v>3.9102393599999994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1.9551196799999997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8.3092586399999995</v>
          </cell>
          <cell r="Q50">
            <v>8.7276502258338169E-3</v>
          </cell>
          <cell r="R50" t="str">
            <v>9.6.1999</v>
          </cell>
        </row>
        <row r="51">
          <cell r="A51" t="str">
            <v>DURING ARABIC SERIAL</v>
          </cell>
          <cell r="B51" t="str">
            <v>GRP'S</v>
          </cell>
          <cell r="C51">
            <v>196</v>
          </cell>
          <cell r="D51">
            <v>394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371.55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961.55</v>
          </cell>
          <cell r="Q51">
            <v>2</v>
          </cell>
          <cell r="R51">
            <v>2</v>
          </cell>
        </row>
        <row r="52">
          <cell r="A52" t="str">
            <v xml:space="preserve">DURING NEWS </v>
          </cell>
          <cell r="B52" t="str">
            <v>REACH %</v>
          </cell>
          <cell r="C52">
            <v>78.5</v>
          </cell>
          <cell r="D52">
            <v>82.1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81.2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4</v>
          </cell>
          <cell r="R52">
            <v>4</v>
          </cell>
        </row>
        <row r="53">
          <cell r="A53" t="str">
            <v>DURING ENTERTAINMENT PROG</v>
          </cell>
          <cell r="B53" t="str">
            <v>FREQUENCY</v>
          </cell>
          <cell r="C53">
            <v>2.4968152866242037</v>
          </cell>
          <cell r="D53">
            <v>4.8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4.5757389162561566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5</v>
          </cell>
          <cell r="R53">
            <v>5</v>
          </cell>
        </row>
        <row r="54">
          <cell r="A54" t="str">
            <v>DURING ENTERTAINMENT PROG</v>
          </cell>
          <cell r="B54">
            <v>0.94791666666666663</v>
          </cell>
          <cell r="C54">
            <v>35</v>
          </cell>
          <cell r="D54">
            <v>583.29999999999995</v>
          </cell>
          <cell r="E54">
            <v>676.62799999999993</v>
          </cell>
          <cell r="F54">
            <v>2.5000000000000001E-2</v>
          </cell>
          <cell r="G54">
            <v>12.980872901678655</v>
          </cell>
          <cell r="P54">
            <v>4</v>
          </cell>
          <cell r="Q54">
            <v>7</v>
          </cell>
          <cell r="R54">
            <v>5</v>
          </cell>
        </row>
        <row r="55">
          <cell r="A55" t="str">
            <v>BEF ENTERTAINMENT PROG</v>
          </cell>
          <cell r="B55">
            <v>0.95833333333333337</v>
          </cell>
          <cell r="C55" t="str">
            <v>DOC 30"</v>
          </cell>
          <cell r="D55" t="str">
            <v>DOC 30"</v>
          </cell>
          <cell r="E55">
            <v>676.62799999999993</v>
          </cell>
          <cell r="F55">
            <v>2.5000000000000001E-2</v>
          </cell>
          <cell r="G55">
            <v>12.980872901678655</v>
          </cell>
          <cell r="I55" t="str">
            <v>DOC 30"</v>
          </cell>
          <cell r="P55">
            <v>3</v>
          </cell>
          <cell r="Q55">
            <v>5</v>
          </cell>
          <cell r="R55">
            <v>4</v>
          </cell>
        </row>
        <row r="56">
          <cell r="A56" t="str">
            <v>DURING FILM</v>
          </cell>
          <cell r="B56" t="str">
            <v>COPY ON AIR</v>
          </cell>
          <cell r="C56" t="str">
            <v>AR</v>
          </cell>
          <cell r="D56" t="str">
            <v>AR</v>
          </cell>
          <cell r="E56">
            <v>676.62799999999993</v>
          </cell>
          <cell r="F56">
            <v>4.7E-2</v>
          </cell>
          <cell r="G56">
            <v>6.9047196285524759</v>
          </cell>
          <cell r="I56" t="str">
            <v>AR</v>
          </cell>
          <cell r="P56">
            <v>5</v>
          </cell>
          <cell r="Q56">
            <v>10</v>
          </cell>
          <cell r="R56">
            <v>8</v>
          </cell>
        </row>
        <row r="57">
          <cell r="A57" t="str">
            <v>KUWAIT</v>
          </cell>
          <cell r="B57" t="str">
            <v>WEEKS ON AIR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1234</v>
          </cell>
          <cell r="J57">
            <v>1234</v>
          </cell>
          <cell r="K57">
            <v>34</v>
          </cell>
          <cell r="L57">
            <v>1234</v>
          </cell>
          <cell r="M57">
            <v>1234</v>
          </cell>
          <cell r="N57">
            <v>1234</v>
          </cell>
          <cell r="O57">
            <v>0</v>
          </cell>
          <cell r="P57">
            <v>0</v>
          </cell>
        </row>
        <row r="58">
          <cell r="A58" t="str">
            <v>BEF. ARABIC SEIAL</v>
          </cell>
          <cell r="B58" t="str">
            <v>NO OF SPOTS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8</v>
          </cell>
          <cell r="J58">
            <v>8</v>
          </cell>
          <cell r="K58">
            <v>8</v>
          </cell>
          <cell r="L58">
            <v>15</v>
          </cell>
          <cell r="M58">
            <v>11</v>
          </cell>
          <cell r="N58">
            <v>11</v>
          </cell>
          <cell r="O58">
            <v>0</v>
          </cell>
          <cell r="P58">
            <v>61</v>
          </cell>
          <cell r="R58" t="str">
            <v>CCS/qtr/7</v>
          </cell>
        </row>
        <row r="59">
          <cell r="A59" t="str">
            <v>BEF. VARIETY</v>
          </cell>
          <cell r="B59" t="str">
            <v>BUDGET (US$M)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6.4017006802721088</v>
          </cell>
          <cell r="J59">
            <v>6.4017006802721088</v>
          </cell>
          <cell r="K59">
            <v>6.4017006802721088</v>
          </cell>
          <cell r="L59">
            <v>11.718367346938775</v>
          </cell>
          <cell r="M59">
            <v>8.8972789115646265</v>
          </cell>
          <cell r="N59">
            <v>8.8972789115646265</v>
          </cell>
          <cell r="O59">
            <v>0</v>
          </cell>
          <cell r="P59">
            <v>48.718027210884358</v>
          </cell>
          <cell r="Q59">
            <v>5.1171099566260814E-2</v>
          </cell>
          <cell r="R59" t="str">
            <v>9.6.1999</v>
          </cell>
        </row>
        <row r="60">
          <cell r="A60" t="str">
            <v>BEF. VARIETY</v>
          </cell>
          <cell r="B60" t="str">
            <v>GRP'S</v>
          </cell>
          <cell r="C60">
            <v>293</v>
          </cell>
          <cell r="D60">
            <v>586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610</v>
          </cell>
          <cell r="J60">
            <v>610</v>
          </cell>
          <cell r="K60">
            <v>618</v>
          </cell>
          <cell r="L60">
            <v>998</v>
          </cell>
          <cell r="M60">
            <v>782</v>
          </cell>
          <cell r="N60">
            <v>782</v>
          </cell>
          <cell r="O60">
            <v>0</v>
          </cell>
          <cell r="P60">
            <v>5279</v>
          </cell>
        </row>
        <row r="61">
          <cell r="A61" t="str">
            <v>BEF. ARABIC FILM</v>
          </cell>
          <cell r="B61" t="str">
            <v>REACH %</v>
          </cell>
          <cell r="C61">
            <v>67.900000000000006</v>
          </cell>
          <cell r="D61">
            <v>69.8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77.3</v>
          </cell>
          <cell r="J61">
            <v>77.3</v>
          </cell>
          <cell r="K61">
            <v>77.3</v>
          </cell>
          <cell r="L61">
            <v>78.2</v>
          </cell>
          <cell r="M61">
            <v>77.3</v>
          </cell>
          <cell r="N61">
            <v>77.3</v>
          </cell>
          <cell r="O61">
            <v>0</v>
          </cell>
          <cell r="P61">
            <v>0</v>
          </cell>
        </row>
        <row r="62">
          <cell r="A62" t="str">
            <v>BEF. VARIETY</v>
          </cell>
          <cell r="B62" t="str">
            <v>FREQUENCY</v>
          </cell>
          <cell r="C62">
            <v>4.3151693667157582</v>
          </cell>
          <cell r="D62">
            <v>8.4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7.8913324708926265</v>
          </cell>
          <cell r="J62">
            <v>7.8913324708926265</v>
          </cell>
          <cell r="K62">
            <v>7.9948253557567917</v>
          </cell>
          <cell r="L62">
            <v>12.762148337595907</v>
          </cell>
          <cell r="M62">
            <v>10.116429495472186</v>
          </cell>
          <cell r="N62">
            <v>10.116429495472186</v>
          </cell>
          <cell r="O62">
            <v>0</v>
          </cell>
          <cell r="P62">
            <v>0</v>
          </cell>
        </row>
        <row r="63">
          <cell r="A63" t="str">
            <v>BEF. ARABIC SEIAL</v>
          </cell>
          <cell r="B63">
            <v>0.76041666666666663</v>
          </cell>
          <cell r="C63">
            <v>30</v>
          </cell>
          <cell r="D63">
            <v>500</v>
          </cell>
          <cell r="E63">
            <v>580</v>
          </cell>
          <cell r="F63">
            <v>2.7E-2</v>
          </cell>
          <cell r="G63">
            <v>10.302868816058265</v>
          </cell>
          <cell r="H63">
            <v>2</v>
          </cell>
          <cell r="I63">
            <v>3</v>
          </cell>
          <cell r="N63">
            <v>3</v>
          </cell>
          <cell r="O63">
            <v>3</v>
          </cell>
        </row>
        <row r="64">
          <cell r="A64" t="str">
            <v>BEF. VARIETY</v>
          </cell>
          <cell r="B64">
            <v>0.80208333333333337</v>
          </cell>
          <cell r="C64" t="str">
            <v>DOC 30"</v>
          </cell>
          <cell r="D64" t="str">
            <v>DOC 30"</v>
          </cell>
          <cell r="E64">
            <v>580</v>
          </cell>
          <cell r="F64">
            <v>3.4000000000000002E-2</v>
          </cell>
          <cell r="G64">
            <v>8.1816899421639153</v>
          </cell>
          <cell r="H64">
            <v>1</v>
          </cell>
          <cell r="I64" t="str">
            <v>DOC 30"</v>
          </cell>
          <cell r="J64" t="str">
            <v>DOC 30"</v>
          </cell>
          <cell r="K64" t="str">
            <v>NTVC 35"</v>
          </cell>
          <cell r="L64" t="str">
            <v>NTVC 35"</v>
          </cell>
          <cell r="M64" t="str">
            <v>NTVC 35"</v>
          </cell>
          <cell r="N64" t="str">
            <v>NTVC 35"</v>
          </cell>
          <cell r="O64">
            <v>3</v>
          </cell>
        </row>
        <row r="65">
          <cell r="A65" t="str">
            <v>BEF. ARABIC FILM</v>
          </cell>
          <cell r="B65" t="str">
            <v>COPY ON AIR</v>
          </cell>
          <cell r="C65" t="str">
            <v>AR</v>
          </cell>
          <cell r="D65" t="str">
            <v>AR</v>
          </cell>
          <cell r="E65">
            <v>580</v>
          </cell>
          <cell r="F65">
            <v>2.4E-2</v>
          </cell>
          <cell r="G65">
            <v>11.590727418065548</v>
          </cell>
          <cell r="H65">
            <v>1</v>
          </cell>
          <cell r="I65" t="str">
            <v>AR</v>
          </cell>
          <cell r="J65" t="str">
            <v>AR</v>
          </cell>
          <cell r="K65" t="str">
            <v>AR</v>
          </cell>
          <cell r="L65" t="str">
            <v>AR</v>
          </cell>
          <cell r="M65" t="str">
            <v>AR</v>
          </cell>
          <cell r="N65" t="str">
            <v>AR</v>
          </cell>
          <cell r="O65">
            <v>3</v>
          </cell>
        </row>
        <row r="66">
          <cell r="A66" t="str">
            <v>OMAN</v>
          </cell>
          <cell r="B66" t="str">
            <v>WEEKS ON AIR</v>
          </cell>
          <cell r="C66">
            <v>34</v>
          </cell>
          <cell r="D66">
            <v>1234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1234</v>
          </cell>
          <cell r="J66">
            <v>1234</v>
          </cell>
          <cell r="K66">
            <v>34</v>
          </cell>
          <cell r="L66">
            <v>1234</v>
          </cell>
          <cell r="M66">
            <v>1234</v>
          </cell>
          <cell r="N66">
            <v>1234</v>
          </cell>
          <cell r="O66">
            <v>0</v>
          </cell>
          <cell r="P66">
            <v>31</v>
          </cell>
        </row>
        <row r="67">
          <cell r="A67" t="str">
            <v>BEF. VARIETY</v>
          </cell>
          <cell r="B67" t="str">
            <v>NO OF SPOTS</v>
          </cell>
          <cell r="C67">
            <v>5</v>
          </cell>
          <cell r="D67">
            <v>10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8</v>
          </cell>
          <cell r="J67">
            <v>8</v>
          </cell>
          <cell r="K67">
            <v>8</v>
          </cell>
          <cell r="L67">
            <v>15</v>
          </cell>
          <cell r="M67">
            <v>12</v>
          </cell>
          <cell r="N67">
            <v>12</v>
          </cell>
          <cell r="O67">
            <v>0</v>
          </cell>
          <cell r="P67">
            <v>78</v>
          </cell>
          <cell r="Q67">
            <v>2</v>
          </cell>
          <cell r="R67" t="str">
            <v>CCS / OMN / 7</v>
          </cell>
        </row>
        <row r="68">
          <cell r="A68" t="str">
            <v/>
          </cell>
          <cell r="B68" t="str">
            <v>BUDGET (US$M)</v>
          </cell>
          <cell r="C68">
            <v>4.1353246753246742</v>
          </cell>
          <cell r="D68">
            <v>8.4062337662337647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6.6436363636363627</v>
          </cell>
          <cell r="J68">
            <v>6.6436363636363627</v>
          </cell>
          <cell r="K68">
            <v>7.1859740259740246</v>
          </cell>
          <cell r="L68">
            <v>13.558441558441558</v>
          </cell>
          <cell r="M68">
            <v>10.846753246753247</v>
          </cell>
          <cell r="N68">
            <v>10.846753246753247</v>
          </cell>
          <cell r="O68">
            <v>0</v>
          </cell>
          <cell r="P68">
            <v>68.26675324675324</v>
          </cell>
          <cell r="Q68">
            <v>7.1704151983283004E-2</v>
          </cell>
          <cell r="R68" t="str">
            <v>9.6.1999</v>
          </cell>
        </row>
        <row r="69">
          <cell r="A69" t="str">
            <v>BEF. ARABIC FILM</v>
          </cell>
          <cell r="B69" t="str">
            <v>GRP'S</v>
          </cell>
          <cell r="C69">
            <v>178</v>
          </cell>
          <cell r="D69">
            <v>356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312</v>
          </cell>
          <cell r="J69">
            <v>312</v>
          </cell>
          <cell r="K69">
            <v>322</v>
          </cell>
          <cell r="L69">
            <v>605.4</v>
          </cell>
          <cell r="M69">
            <v>485.9</v>
          </cell>
          <cell r="N69">
            <v>485.9</v>
          </cell>
          <cell r="O69">
            <v>0</v>
          </cell>
          <cell r="P69">
            <v>3057.2000000000003</v>
          </cell>
          <cell r="Q69">
            <v>3</v>
          </cell>
          <cell r="R69">
            <v>3</v>
          </cell>
        </row>
        <row r="70">
          <cell r="A70" t="str">
            <v>BEF. VARIETY</v>
          </cell>
          <cell r="B70" t="str">
            <v>REACH %</v>
          </cell>
          <cell r="C70">
            <v>56.2</v>
          </cell>
          <cell r="D70">
            <v>58.3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59.1</v>
          </cell>
          <cell r="J70">
            <v>59.1</v>
          </cell>
          <cell r="K70">
            <v>59.1</v>
          </cell>
          <cell r="L70">
            <v>61.8</v>
          </cell>
          <cell r="M70">
            <v>60.8</v>
          </cell>
          <cell r="N70">
            <v>60.8</v>
          </cell>
          <cell r="O70">
            <v>0</v>
          </cell>
          <cell r="P70">
            <v>0</v>
          </cell>
          <cell r="Q70">
            <v>8</v>
          </cell>
          <cell r="R70">
            <v>7</v>
          </cell>
        </row>
        <row r="71">
          <cell r="A71" t="str">
            <v>BEF. ARABIC SEIAL</v>
          </cell>
          <cell r="B71" t="str">
            <v>FREQUENCY</v>
          </cell>
          <cell r="C71">
            <v>3.1672597864768681</v>
          </cell>
          <cell r="D71">
            <v>6.1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5.2791878172588831</v>
          </cell>
          <cell r="J71">
            <v>5.2791878172588831</v>
          </cell>
          <cell r="K71">
            <v>5.44839255499154</v>
          </cell>
          <cell r="L71">
            <v>9.7961165048543695</v>
          </cell>
          <cell r="M71">
            <v>7.9917763157894735</v>
          </cell>
          <cell r="N71">
            <v>7.9917763157894735</v>
          </cell>
          <cell r="O71">
            <v>0</v>
          </cell>
          <cell r="P71">
            <v>0</v>
          </cell>
          <cell r="Q71">
            <v>4</v>
          </cell>
          <cell r="R71">
            <v>3</v>
          </cell>
        </row>
        <row r="72">
          <cell r="A72" t="str">
            <v>BEF. VARIETY</v>
          </cell>
          <cell r="B72">
            <v>0.80208333333333337</v>
          </cell>
          <cell r="C72">
            <v>35</v>
          </cell>
          <cell r="D72">
            <v>583.29999999999995</v>
          </cell>
          <cell r="E72">
            <v>676.62799999999993</v>
          </cell>
          <cell r="F72">
            <v>3.4000000000000002E-2</v>
          </cell>
          <cell r="G72">
            <v>9.5447594865284238</v>
          </cell>
          <cell r="P72">
            <v>3</v>
          </cell>
          <cell r="Q72">
            <v>7</v>
          </cell>
          <cell r="R72">
            <v>5</v>
          </cell>
        </row>
        <row r="73">
          <cell r="A73" t="str">
            <v>BEF. ARABIC FILM</v>
          </cell>
          <cell r="B73">
            <v>0.875</v>
          </cell>
          <cell r="C73" t="str">
            <v>DOC 30"</v>
          </cell>
          <cell r="D73" t="str">
            <v>DOC 30"</v>
          </cell>
          <cell r="E73">
            <v>676.62799999999993</v>
          </cell>
          <cell r="F73">
            <v>2.4E-2</v>
          </cell>
          <cell r="G73">
            <v>13.521742605915266</v>
          </cell>
          <cell r="I73" t="str">
            <v>DOC 30"</v>
          </cell>
          <cell r="J73" t="str">
            <v>DOC 30"</v>
          </cell>
          <cell r="K73" t="str">
            <v>NTVC 35"</v>
          </cell>
          <cell r="L73" t="str">
            <v>NTVC 35"</v>
          </cell>
          <cell r="M73" t="str">
            <v>NTVC 35"</v>
          </cell>
          <cell r="N73" t="str">
            <v>NTVC 35"</v>
          </cell>
          <cell r="P73">
            <v>3</v>
          </cell>
          <cell r="Q73">
            <v>5</v>
          </cell>
          <cell r="R73">
            <v>4</v>
          </cell>
        </row>
        <row r="74">
          <cell r="A74" t="str">
            <v>TOTAL MONTHLY TV SPOTS</v>
          </cell>
          <cell r="B74" t="str">
            <v>COPY ON AIR</v>
          </cell>
          <cell r="C74" t="str">
            <v>AR</v>
          </cell>
          <cell r="D74" t="str">
            <v>AR</v>
          </cell>
          <cell r="H74">
            <v>40</v>
          </cell>
          <cell r="I74" t="str">
            <v>AR</v>
          </cell>
          <cell r="J74" t="str">
            <v>AR</v>
          </cell>
          <cell r="K74" t="str">
            <v>AR</v>
          </cell>
          <cell r="L74" t="str">
            <v>AR</v>
          </cell>
          <cell r="M74" t="str">
            <v>AR</v>
          </cell>
          <cell r="N74" t="str">
            <v>AR</v>
          </cell>
          <cell r="O74">
            <v>64</v>
          </cell>
          <cell r="P74">
            <v>71</v>
          </cell>
          <cell r="Q74">
            <v>143</v>
          </cell>
          <cell r="R74">
            <v>120</v>
          </cell>
        </row>
        <row r="75">
          <cell r="A75" t="str">
            <v>TOTAL MONTHLY EXPENDITURE (US$ M)</v>
          </cell>
          <cell r="H75">
            <v>22.33</v>
          </cell>
          <cell r="I75">
            <v>58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47.617739</v>
          </cell>
          <cell r="O75">
            <v>47.617739</v>
          </cell>
          <cell r="P75">
            <v>48.614149999999995</v>
          </cell>
          <cell r="Q75">
            <v>102.90470199999999</v>
          </cell>
          <cell r="R75">
            <v>83.395880000000005</v>
          </cell>
        </row>
        <row r="76">
          <cell r="A76" t="str">
            <v>M.E. REGION TOTAL</v>
          </cell>
          <cell r="C76">
            <v>63.474784973643821</v>
          </cell>
          <cell r="D76">
            <v>117.63056646098909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95.223509422216978</v>
          </cell>
          <cell r="J76">
            <v>90.514932295408471</v>
          </cell>
          <cell r="K76">
            <v>94.065276557246136</v>
          </cell>
          <cell r="L76">
            <v>187.39467421288032</v>
          </cell>
          <cell r="M76">
            <v>151.87881356081789</v>
          </cell>
          <cell r="N76">
            <v>151.87881356081789</v>
          </cell>
          <cell r="O76">
            <v>0</v>
          </cell>
          <cell r="P76">
            <v>952.06137104402058</v>
          </cell>
          <cell r="Q76">
            <v>1</v>
          </cell>
          <cell r="R76">
            <v>16.885992597859921</v>
          </cell>
        </row>
        <row r="77">
          <cell r="A77" t="str">
            <v>MBC MONTHLY EXPENDITURE (US$M)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12.237738999999999</v>
          </cell>
          <cell r="O77">
            <v>12.237738999999999</v>
          </cell>
          <cell r="P77">
            <v>13.544681999999998</v>
          </cell>
          <cell r="Q77">
            <v>32.765765999999999</v>
          </cell>
          <cell r="R77">
            <v>23.155223999999997</v>
          </cell>
        </row>
      </sheetData>
      <sheetData sheetId="2" refreshError="1"/>
      <sheetData sheetId="3" refreshError="1">
        <row r="1">
          <cell r="A1" t="str">
            <v>1999 MEDIA PLAN</v>
          </cell>
        </row>
        <row r="2">
          <cell r="A2" t="str">
            <v>MARKET : PAN GULF REGIONAL MEDIA</v>
          </cell>
          <cell r="H2" t="str">
            <v>BUDGET :</v>
          </cell>
          <cell r="J2" t="str">
            <v>US$</v>
          </cell>
          <cell r="K2">
            <v>495</v>
          </cell>
          <cell r="L2" t="str">
            <v>M</v>
          </cell>
          <cell r="R2" t="str">
            <v>NUMBER :</v>
          </cell>
          <cell r="T2" t="str">
            <v>CCS/PA/7</v>
          </cell>
        </row>
        <row r="3">
          <cell r="A3" t="str">
            <v>MARKETS :  M.E. REGION</v>
          </cell>
          <cell r="O3" t="str">
            <v>NUMBER :</v>
          </cell>
          <cell r="Q3" t="str">
            <v>CCS / 7</v>
          </cell>
        </row>
        <row r="4">
          <cell r="A4" t="str">
            <v>PRODUCT : KRAFT CREAM CHEESE SPREAD</v>
          </cell>
          <cell r="H4" t="str">
            <v>ACTUAL :</v>
          </cell>
          <cell r="J4" t="str">
            <v>US$</v>
          </cell>
          <cell r="K4">
            <v>493.87608999999998</v>
          </cell>
          <cell r="L4" t="str">
            <v>M</v>
          </cell>
          <cell r="O4" t="str">
            <v>DATE :</v>
          </cell>
          <cell r="Q4" t="str">
            <v>9.6.1999</v>
          </cell>
          <cell r="R4" t="str">
            <v>DATE :</v>
          </cell>
          <cell r="T4" t="str">
            <v>9.6.1999</v>
          </cell>
        </row>
        <row r="6">
          <cell r="A6" t="str">
            <v>MEDIUM /</v>
          </cell>
          <cell r="B6" t="str">
            <v>TIME</v>
          </cell>
          <cell r="C6" t="str">
            <v>DUR</v>
          </cell>
          <cell r="D6" t="str">
            <v xml:space="preserve">GROSS </v>
          </cell>
          <cell r="E6" t="str">
            <v>NET</v>
          </cell>
          <cell r="F6" t="str">
            <v>RTNG</v>
          </cell>
          <cell r="G6" t="str">
            <v>CPM</v>
          </cell>
          <cell r="H6" t="str">
            <v>DEC</v>
          </cell>
          <cell r="I6" t="str">
            <v>JAN</v>
          </cell>
          <cell r="J6" t="str">
            <v>FEB</v>
          </cell>
          <cell r="K6" t="str">
            <v>MAR</v>
          </cell>
          <cell r="L6" t="str">
            <v>APR</v>
          </cell>
          <cell r="M6" t="str">
            <v>MAY</v>
          </cell>
          <cell r="N6" t="str">
            <v>JUN</v>
          </cell>
          <cell r="O6" t="str">
            <v>JUL</v>
          </cell>
          <cell r="P6" t="str">
            <v>AUG</v>
          </cell>
          <cell r="Q6" t="str">
            <v>SEP</v>
          </cell>
          <cell r="R6" t="str">
            <v>OCT</v>
          </cell>
          <cell r="S6" t="str">
            <v>NOV</v>
          </cell>
          <cell r="T6" t="str">
            <v>DEC</v>
          </cell>
          <cell r="U6" t="str">
            <v>FISCAL</v>
          </cell>
        </row>
        <row r="7">
          <cell r="A7" t="str">
            <v>TIME SEGMENT</v>
          </cell>
          <cell r="B7" t="str">
            <v>(HRS)</v>
          </cell>
          <cell r="C7" t="str">
            <v>(SEC)</v>
          </cell>
          <cell r="D7" t="str">
            <v>(US$)</v>
          </cell>
          <cell r="E7" t="str">
            <v>(US$)</v>
          </cell>
          <cell r="F7" t="str">
            <v>(%)</v>
          </cell>
          <cell r="G7" t="str">
            <v>(US$)</v>
          </cell>
          <cell r="H7">
            <v>98</v>
          </cell>
          <cell r="I7">
            <v>99</v>
          </cell>
          <cell r="J7">
            <v>99</v>
          </cell>
          <cell r="K7">
            <v>99</v>
          </cell>
          <cell r="L7">
            <v>99</v>
          </cell>
          <cell r="M7">
            <v>99</v>
          </cell>
          <cell r="N7">
            <v>99</v>
          </cell>
          <cell r="O7">
            <v>99</v>
          </cell>
          <cell r="P7">
            <v>99</v>
          </cell>
          <cell r="Q7">
            <v>99</v>
          </cell>
          <cell r="R7">
            <v>99</v>
          </cell>
          <cell r="S7">
            <v>99</v>
          </cell>
          <cell r="T7">
            <v>99</v>
          </cell>
          <cell r="U7" t="str">
            <v>TOTAL</v>
          </cell>
        </row>
        <row r="8">
          <cell r="A8" t="str">
            <v>WEEKS ON AIR</v>
          </cell>
          <cell r="B8" t="str">
            <v>WEEKS ON AIR</v>
          </cell>
          <cell r="C8">
            <v>34</v>
          </cell>
          <cell r="D8">
            <v>1234</v>
          </cell>
          <cell r="E8">
            <v>0</v>
          </cell>
          <cell r="F8">
            <v>0</v>
          </cell>
          <cell r="G8">
            <v>0</v>
          </cell>
          <cell r="H8">
            <v>34</v>
          </cell>
          <cell r="I8">
            <v>1234</v>
          </cell>
          <cell r="J8">
            <v>1234</v>
          </cell>
          <cell r="K8">
            <v>34</v>
          </cell>
          <cell r="L8">
            <v>1234</v>
          </cell>
          <cell r="M8">
            <v>1234</v>
          </cell>
          <cell r="N8">
            <v>1234</v>
          </cell>
          <cell r="O8">
            <v>1234</v>
          </cell>
          <cell r="P8">
            <v>34</v>
          </cell>
          <cell r="Q8">
            <v>1234</v>
          </cell>
          <cell r="R8">
            <v>1234</v>
          </cell>
          <cell r="S8">
            <v>1234</v>
          </cell>
          <cell r="U8">
            <v>31</v>
          </cell>
        </row>
        <row r="9">
          <cell r="A9" t="str">
            <v>MBC TV</v>
          </cell>
          <cell r="B9" t="str">
            <v>NO OF SPOTS</v>
          </cell>
          <cell r="C9">
            <v>40</v>
          </cell>
          <cell r="D9">
            <v>82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64</v>
          </cell>
          <cell r="J9">
            <v>64</v>
          </cell>
          <cell r="K9">
            <v>71</v>
          </cell>
          <cell r="L9">
            <v>143</v>
          </cell>
          <cell r="M9">
            <v>120</v>
          </cell>
          <cell r="N9">
            <v>120</v>
          </cell>
          <cell r="O9">
            <v>0</v>
          </cell>
          <cell r="P9">
            <v>704</v>
          </cell>
          <cell r="R9" t="str">
            <v>CCS/PA/7</v>
          </cell>
          <cell r="U9">
            <v>0</v>
          </cell>
        </row>
        <row r="10">
          <cell r="A10" t="str">
            <v xml:space="preserve">Dubbed Serial </v>
          </cell>
          <cell r="B10">
            <v>0.70833333333333337</v>
          </cell>
          <cell r="C10">
            <v>30</v>
          </cell>
          <cell r="D10">
            <v>2317.5</v>
          </cell>
          <cell r="E10">
            <v>2285.0549999999998</v>
          </cell>
          <cell r="F10">
            <v>4.5999999999999999E-2</v>
          </cell>
          <cell r="G10">
            <v>23.824992180168909</v>
          </cell>
          <cell r="H10">
            <v>0</v>
          </cell>
          <cell r="I10">
            <v>47.617739</v>
          </cell>
          <cell r="J10">
            <v>47.617739</v>
          </cell>
          <cell r="K10">
            <v>48.614149999999995</v>
          </cell>
          <cell r="L10">
            <v>102.90470199999999</v>
          </cell>
          <cell r="M10">
            <v>83.395880000000005</v>
          </cell>
          <cell r="N10">
            <v>1</v>
          </cell>
          <cell r="O10">
            <v>1</v>
          </cell>
          <cell r="P10">
            <v>493.87608999999998</v>
          </cell>
          <cell r="Q10">
            <v>0.51874396443416315</v>
          </cell>
          <cell r="R10" t="str">
            <v>9.6.1999</v>
          </cell>
          <cell r="U10">
            <v>4.5701099999999997</v>
          </cell>
        </row>
        <row r="11">
          <cell r="A11" t="str">
            <v>News</v>
          </cell>
          <cell r="B11">
            <v>0.875</v>
          </cell>
          <cell r="C11">
            <v>30</v>
          </cell>
          <cell r="D11">
            <v>3605</v>
          </cell>
          <cell r="E11">
            <v>3554.5299999999997</v>
          </cell>
          <cell r="F11">
            <v>0.11600000000000001</v>
          </cell>
          <cell r="G11">
            <v>14.696642685851318</v>
          </cell>
          <cell r="N11">
            <v>2</v>
          </cell>
          <cell r="O11">
            <v>2</v>
          </cell>
          <cell r="U11">
            <v>14.218119999999999</v>
          </cell>
        </row>
        <row r="12">
          <cell r="A12" t="str">
            <v>Variety</v>
          </cell>
          <cell r="B12">
            <v>0.90625</v>
          </cell>
          <cell r="C12">
            <v>30</v>
          </cell>
          <cell r="D12">
            <v>2884</v>
          </cell>
          <cell r="E12">
            <v>2843.6239999999998</v>
          </cell>
          <cell r="F12">
            <v>0.09</v>
          </cell>
          <cell r="G12">
            <v>15.153871569411136</v>
          </cell>
          <cell r="I12" t="str">
            <v>DOC 30"</v>
          </cell>
          <cell r="J12" t="str">
            <v>DOC 30"</v>
          </cell>
          <cell r="K12" t="str">
            <v>NTVC 35"</v>
          </cell>
          <cell r="L12" t="str">
            <v>NTVC 35"</v>
          </cell>
          <cell r="M12" t="str">
            <v>NTVC 35"</v>
          </cell>
          <cell r="N12">
            <v>1</v>
          </cell>
          <cell r="O12">
            <v>1</v>
          </cell>
          <cell r="U12">
            <v>5.6872479999999994</v>
          </cell>
        </row>
        <row r="13">
          <cell r="A13" t="str">
            <v xml:space="preserve">During Serial </v>
          </cell>
          <cell r="B13">
            <v>0.5</v>
          </cell>
          <cell r="C13">
            <v>30</v>
          </cell>
          <cell r="D13">
            <v>1287.5</v>
          </cell>
          <cell r="E13" t="str">
            <v>free</v>
          </cell>
          <cell r="F13">
            <v>3.1E-2</v>
          </cell>
          <cell r="G13">
            <v>0</v>
          </cell>
          <cell r="I13" t="str">
            <v>AR</v>
          </cell>
          <cell r="J13" t="str">
            <v>AR</v>
          </cell>
          <cell r="K13" t="str">
            <v>AR</v>
          </cell>
          <cell r="L13" t="str">
            <v>AR</v>
          </cell>
          <cell r="M13" t="str">
            <v>AR</v>
          </cell>
          <cell r="N13">
            <v>2</v>
          </cell>
          <cell r="O13">
            <v>2</v>
          </cell>
          <cell r="U13">
            <v>0</v>
          </cell>
        </row>
        <row r="14">
          <cell r="A14" t="str">
            <v>During coolery program</v>
          </cell>
          <cell r="B14">
            <v>0.54166666666666663</v>
          </cell>
          <cell r="C14">
            <v>30</v>
          </cell>
          <cell r="D14">
            <v>1545</v>
          </cell>
          <cell r="E14" t="str">
            <v>free</v>
          </cell>
          <cell r="F14">
            <v>3.2000000000000001E-2</v>
          </cell>
          <cell r="N14">
            <v>2</v>
          </cell>
          <cell r="O14">
            <v>2</v>
          </cell>
          <cell r="U14">
            <v>0</v>
          </cell>
        </row>
        <row r="15">
          <cell r="A15" t="str">
            <v xml:space="preserve">During Serial </v>
          </cell>
          <cell r="B15">
            <v>0.67708333333333337</v>
          </cell>
          <cell r="C15">
            <v>30</v>
          </cell>
          <cell r="D15">
            <v>1287.5</v>
          </cell>
          <cell r="E15" t="str">
            <v>free</v>
          </cell>
          <cell r="F15">
            <v>2.3E-2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2</v>
          </cell>
          <cell r="O15">
            <v>2</v>
          </cell>
          <cell r="P15">
            <v>0</v>
          </cell>
          <cell r="Q15">
            <v>0</v>
          </cell>
          <cell r="R15">
            <v>0</v>
          </cell>
          <cell r="U15">
            <v>0</v>
          </cell>
        </row>
        <row r="16">
          <cell r="A16" t="str">
            <v xml:space="preserve">Dubbed Serial </v>
          </cell>
          <cell r="B16">
            <v>0.70833333333333337</v>
          </cell>
          <cell r="C16">
            <v>35</v>
          </cell>
          <cell r="D16">
            <v>2565</v>
          </cell>
          <cell r="E16">
            <v>2529.0899999999997</v>
          </cell>
          <cell r="F16">
            <v>4.5999999999999999E-2</v>
          </cell>
          <cell r="G16">
            <v>26.369408820769468</v>
          </cell>
          <cell r="P16">
            <v>1</v>
          </cell>
          <cell r="Q16">
            <v>3</v>
          </cell>
          <cell r="R16">
            <v>2</v>
          </cell>
          <cell r="S16">
            <v>2</v>
          </cell>
          <cell r="U16">
            <v>20.232719999999997</v>
          </cell>
        </row>
        <row r="17">
          <cell r="A17" t="str">
            <v>News</v>
          </cell>
          <cell r="B17">
            <v>0.875</v>
          </cell>
          <cell r="C17">
            <v>35</v>
          </cell>
          <cell r="D17">
            <v>3990</v>
          </cell>
          <cell r="E17">
            <v>3934.14</v>
          </cell>
          <cell r="F17">
            <v>0.11600000000000001</v>
          </cell>
          <cell r="G17">
            <v>16.266187050359711</v>
          </cell>
          <cell r="H17">
            <v>0</v>
          </cell>
          <cell r="I17">
            <v>1234</v>
          </cell>
          <cell r="J17">
            <v>1234</v>
          </cell>
          <cell r="K17">
            <v>34</v>
          </cell>
          <cell r="L17">
            <v>1234</v>
          </cell>
          <cell r="M17">
            <v>1234</v>
          </cell>
          <cell r="N17">
            <v>1234</v>
          </cell>
          <cell r="O17">
            <v>0</v>
          </cell>
          <cell r="P17">
            <v>2</v>
          </cell>
          <cell r="Q17">
            <v>4</v>
          </cell>
          <cell r="R17">
            <v>3</v>
          </cell>
          <cell r="S17">
            <v>3</v>
          </cell>
          <cell r="U17">
            <v>47.209679999999999</v>
          </cell>
        </row>
        <row r="18">
          <cell r="A18" t="str">
            <v>Variety</v>
          </cell>
          <cell r="B18">
            <v>0.90625</v>
          </cell>
          <cell r="C18">
            <v>35</v>
          </cell>
          <cell r="D18">
            <v>3192</v>
          </cell>
          <cell r="E18">
            <v>3147.3119999999994</v>
          </cell>
          <cell r="F18">
            <v>0.09</v>
          </cell>
          <cell r="G18">
            <v>16.772246203037568</v>
          </cell>
          <cell r="H18">
            <v>0</v>
          </cell>
          <cell r="I18">
            <v>4</v>
          </cell>
          <cell r="J18">
            <v>4</v>
          </cell>
          <cell r="K18">
            <v>4</v>
          </cell>
          <cell r="L18">
            <v>8</v>
          </cell>
          <cell r="M18">
            <v>7</v>
          </cell>
          <cell r="N18">
            <v>7</v>
          </cell>
          <cell r="O18">
            <v>0</v>
          </cell>
          <cell r="P18">
            <v>1</v>
          </cell>
          <cell r="Q18">
            <v>3</v>
          </cell>
          <cell r="R18">
            <v>2</v>
          </cell>
          <cell r="S18">
            <v>2</v>
          </cell>
          <cell r="U18">
            <v>25.178495999999996</v>
          </cell>
        </row>
        <row r="19">
          <cell r="A19" t="str">
            <v xml:space="preserve">During Serial </v>
          </cell>
          <cell r="B19">
            <v>0.5</v>
          </cell>
          <cell r="C19">
            <v>35</v>
          </cell>
          <cell r="D19">
            <v>1425</v>
          </cell>
          <cell r="E19" t="str">
            <v>free</v>
          </cell>
          <cell r="F19">
            <v>3.1E-2</v>
          </cell>
          <cell r="G19">
            <v>0</v>
          </cell>
          <cell r="H19">
            <v>0</v>
          </cell>
          <cell r="I19">
            <v>9.8999039999999994</v>
          </cell>
          <cell r="J19">
            <v>9.8999039999999994</v>
          </cell>
          <cell r="K19">
            <v>9.8999039999999994</v>
          </cell>
          <cell r="L19">
            <v>17.324831999999997</v>
          </cell>
          <cell r="M19">
            <v>16.087343999999998</v>
          </cell>
          <cell r="N19">
            <v>16.087343999999998</v>
          </cell>
          <cell r="O19">
            <v>0</v>
          </cell>
          <cell r="P19">
            <v>2</v>
          </cell>
          <cell r="Q19">
            <v>4</v>
          </cell>
          <cell r="R19">
            <v>4</v>
          </cell>
          <cell r="S19">
            <v>4</v>
          </cell>
          <cell r="U19">
            <v>0</v>
          </cell>
        </row>
        <row r="20">
          <cell r="A20" t="str">
            <v>During coolery program</v>
          </cell>
          <cell r="B20">
            <v>0.54166666666666663</v>
          </cell>
          <cell r="C20">
            <v>35</v>
          </cell>
          <cell r="D20">
            <v>1710</v>
          </cell>
          <cell r="E20" t="str">
            <v>free</v>
          </cell>
          <cell r="F20">
            <v>3.2000000000000001E-2</v>
          </cell>
          <cell r="G20">
            <v>0</v>
          </cell>
          <cell r="H20">
            <v>0</v>
          </cell>
          <cell r="I20">
            <v>450</v>
          </cell>
          <cell r="J20">
            <v>450</v>
          </cell>
          <cell r="K20">
            <v>475</v>
          </cell>
          <cell r="L20">
            <v>853</v>
          </cell>
          <cell r="M20">
            <v>675</v>
          </cell>
          <cell r="N20">
            <v>675</v>
          </cell>
          <cell r="O20">
            <v>0</v>
          </cell>
          <cell r="P20">
            <v>3</v>
          </cell>
          <cell r="Q20">
            <v>6</v>
          </cell>
          <cell r="R20">
            <v>5</v>
          </cell>
          <cell r="S20">
            <v>5</v>
          </cell>
          <cell r="U20">
            <v>0</v>
          </cell>
        </row>
        <row r="21">
          <cell r="A21" t="str">
            <v xml:space="preserve">During Serial </v>
          </cell>
          <cell r="B21">
            <v>0.67708333333333337</v>
          </cell>
          <cell r="C21">
            <v>35</v>
          </cell>
          <cell r="D21">
            <v>1425</v>
          </cell>
          <cell r="E21" t="str">
            <v>free</v>
          </cell>
          <cell r="F21">
            <v>2.3E-2</v>
          </cell>
          <cell r="G21">
            <v>0</v>
          </cell>
          <cell r="H21">
            <v>0</v>
          </cell>
          <cell r="I21">
            <v>73.900000000000006</v>
          </cell>
          <cell r="J21">
            <v>73.900000000000006</v>
          </cell>
          <cell r="K21">
            <v>73.900000000000006</v>
          </cell>
          <cell r="L21">
            <v>74.900000000000006</v>
          </cell>
          <cell r="M21">
            <v>73.900000000000006</v>
          </cell>
          <cell r="N21">
            <v>73.900000000000006</v>
          </cell>
          <cell r="O21">
            <v>0</v>
          </cell>
          <cell r="P21">
            <v>4</v>
          </cell>
          <cell r="Q21">
            <v>7</v>
          </cell>
          <cell r="R21">
            <v>4</v>
          </cell>
          <cell r="S21">
            <v>4</v>
          </cell>
          <cell r="U21">
            <v>0</v>
          </cell>
        </row>
        <row r="22">
          <cell r="B22" t="str">
            <v>FREQUENCY</v>
          </cell>
          <cell r="C22">
            <v>3.4306569343065694</v>
          </cell>
          <cell r="D22">
            <v>5.4778887303851649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6.0893098782138022</v>
          </cell>
          <cell r="J22">
            <v>6.0893098782138022</v>
          </cell>
          <cell r="K22">
            <v>6.4276048714479019</v>
          </cell>
          <cell r="L22">
            <v>11.388518024032042</v>
          </cell>
          <cell r="M22">
            <v>9.1339648173207024</v>
          </cell>
          <cell r="N22">
            <v>9.1339648173207024</v>
          </cell>
          <cell r="O22">
            <v>0</v>
          </cell>
          <cell r="P22">
            <v>0</v>
          </cell>
          <cell r="U22">
            <v>0</v>
          </cell>
        </row>
        <row r="23">
          <cell r="A23" t="str">
            <v>L B C SAT</v>
          </cell>
          <cell r="U23">
            <v>0</v>
          </cell>
        </row>
        <row r="24">
          <cell r="A24" t="str">
            <v>DURING NAHARKOUM SAEED</v>
          </cell>
          <cell r="B24">
            <v>0.47916666666666669</v>
          </cell>
          <cell r="C24" t="str">
            <v>30-35</v>
          </cell>
          <cell r="D24" t="str">
            <v>FREE</v>
          </cell>
          <cell r="E24" t="str">
            <v>FREE</v>
          </cell>
          <cell r="F24">
            <v>3.3000000000000002E-2</v>
          </cell>
          <cell r="G24">
            <v>0</v>
          </cell>
          <cell r="I24">
            <v>2</v>
          </cell>
          <cell r="J24" t="str">
            <v>DOC 30"</v>
          </cell>
          <cell r="K24" t="str">
            <v>NTVC 35"</v>
          </cell>
          <cell r="L24" t="str">
            <v>NTVC 35"</v>
          </cell>
          <cell r="M24" t="str">
            <v>NTVC 35"</v>
          </cell>
          <cell r="N24" t="str">
            <v>NTVC 35"</v>
          </cell>
          <cell r="U24">
            <v>0</v>
          </cell>
        </row>
        <row r="25">
          <cell r="A25" t="str">
            <v>DURING DUBBED SERIAL</v>
          </cell>
          <cell r="B25">
            <v>0.59375</v>
          </cell>
          <cell r="C25" t="str">
            <v>30-35</v>
          </cell>
          <cell r="D25" t="str">
            <v>FREE</v>
          </cell>
          <cell r="E25" t="str">
            <v>FREE</v>
          </cell>
          <cell r="F25">
            <v>0.04</v>
          </cell>
          <cell r="G25">
            <v>0</v>
          </cell>
          <cell r="I25">
            <v>2</v>
          </cell>
          <cell r="J25" t="str">
            <v>AR</v>
          </cell>
          <cell r="K25" t="str">
            <v>AR</v>
          </cell>
          <cell r="L25" t="str">
            <v>AR</v>
          </cell>
          <cell r="M25" t="str">
            <v>AR</v>
          </cell>
          <cell r="N25">
            <v>2</v>
          </cell>
          <cell r="O25">
            <v>2</v>
          </cell>
          <cell r="U25">
            <v>0</v>
          </cell>
        </row>
        <row r="26">
          <cell r="A26" t="str">
            <v>DURING VARIETY</v>
          </cell>
          <cell r="B26">
            <v>0.82291666666666663</v>
          </cell>
          <cell r="C26" t="str">
            <v>30-35</v>
          </cell>
          <cell r="D26" t="str">
            <v>FREE</v>
          </cell>
          <cell r="E26" t="str">
            <v>FREE</v>
          </cell>
          <cell r="F26">
            <v>4.2000000000000003E-2</v>
          </cell>
          <cell r="G26">
            <v>0</v>
          </cell>
          <cell r="I26">
            <v>3</v>
          </cell>
          <cell r="N26">
            <v>2</v>
          </cell>
          <cell r="O26">
            <v>2</v>
          </cell>
          <cell r="U26">
            <v>0</v>
          </cell>
        </row>
        <row r="27">
          <cell r="A27" t="str">
            <v>DURING VARIETY</v>
          </cell>
          <cell r="B27">
            <v>0.84375</v>
          </cell>
          <cell r="C27" t="str">
            <v>30-35</v>
          </cell>
          <cell r="D27" t="str">
            <v>FREE</v>
          </cell>
          <cell r="E27" t="str">
            <v>FREE</v>
          </cell>
          <cell r="F27">
            <v>4.5999999999999999E-2</v>
          </cell>
          <cell r="G27">
            <v>0</v>
          </cell>
          <cell r="I27">
            <v>2</v>
          </cell>
          <cell r="N27">
            <v>3</v>
          </cell>
          <cell r="O27">
            <v>3</v>
          </cell>
          <cell r="P27">
            <v>0</v>
          </cell>
          <cell r="U27">
            <v>0</v>
          </cell>
        </row>
        <row r="28">
          <cell r="A28" t="str">
            <v>DURING NEWS</v>
          </cell>
          <cell r="B28">
            <v>0.88541666666666663</v>
          </cell>
          <cell r="C28" t="str">
            <v>30-35</v>
          </cell>
          <cell r="D28">
            <v>2000</v>
          </cell>
          <cell r="E28">
            <v>2320</v>
          </cell>
          <cell r="F28">
            <v>4.2000000000000003E-2</v>
          </cell>
          <cell r="G28">
            <v>26.493091241292678</v>
          </cell>
          <cell r="I28">
            <v>2</v>
          </cell>
          <cell r="P28">
            <v>0</v>
          </cell>
          <cell r="Q28">
            <v>0</v>
          </cell>
          <cell r="U28">
            <v>4.6399999999999997</v>
          </cell>
        </row>
        <row r="29">
          <cell r="A29" t="str">
            <v>DURING  DUBBED SERIAL</v>
          </cell>
          <cell r="B29">
            <v>0.92708333333333337</v>
          </cell>
          <cell r="C29" t="str">
            <v>30-35</v>
          </cell>
          <cell r="D29">
            <v>2000</v>
          </cell>
          <cell r="E29">
            <v>2320</v>
          </cell>
          <cell r="F29">
            <v>6.7000000000000004E-2</v>
          </cell>
          <cell r="G29">
            <v>16.607609434840185</v>
          </cell>
          <cell r="I29">
            <v>5</v>
          </cell>
          <cell r="N29">
            <v>4</v>
          </cell>
          <cell r="O29">
            <v>4</v>
          </cell>
          <cell r="U29">
            <v>30.16</v>
          </cell>
        </row>
        <row r="30">
          <cell r="A30" t="str">
            <v>DURING VARAITY PROGRAMS</v>
          </cell>
          <cell r="B30">
            <v>0.95833333333333337</v>
          </cell>
          <cell r="C30" t="str">
            <v>30-35</v>
          </cell>
          <cell r="D30">
            <v>2000</v>
          </cell>
          <cell r="E30">
            <v>2320</v>
          </cell>
          <cell r="F30">
            <v>7.1999999999999995E-2</v>
          </cell>
          <cell r="G30">
            <v>15.454303224087399</v>
          </cell>
          <cell r="H30">
            <v>0</v>
          </cell>
          <cell r="I30">
            <v>5</v>
          </cell>
          <cell r="J30">
            <v>1234</v>
          </cell>
          <cell r="K30">
            <v>34</v>
          </cell>
          <cell r="L30">
            <v>1234</v>
          </cell>
          <cell r="M30">
            <v>1234</v>
          </cell>
          <cell r="N30">
            <v>4</v>
          </cell>
          <cell r="O30">
            <v>4</v>
          </cell>
          <cell r="P30">
            <v>31</v>
          </cell>
          <cell r="U30">
            <v>30.16</v>
          </cell>
        </row>
        <row r="31">
          <cell r="A31" t="str">
            <v>DURING DUBBED SERIAL</v>
          </cell>
          <cell r="B31">
            <v>24</v>
          </cell>
          <cell r="C31" t="str">
            <v>30-35</v>
          </cell>
          <cell r="D31" t="str">
            <v>FREE</v>
          </cell>
          <cell r="E31" t="str">
            <v>FREE</v>
          </cell>
          <cell r="F31">
            <v>7.9000000000000001E-2</v>
          </cell>
          <cell r="G31">
            <v>0</v>
          </cell>
          <cell r="H31">
            <v>0</v>
          </cell>
          <cell r="I31">
            <v>9</v>
          </cell>
          <cell r="J31">
            <v>43</v>
          </cell>
          <cell r="K31">
            <v>40</v>
          </cell>
          <cell r="L31">
            <v>80</v>
          </cell>
          <cell r="M31">
            <v>63</v>
          </cell>
          <cell r="N31">
            <v>10</v>
          </cell>
          <cell r="O31">
            <v>10</v>
          </cell>
          <cell r="P31">
            <v>407</v>
          </cell>
          <cell r="R31" t="str">
            <v>CCS / UAE / 7</v>
          </cell>
          <cell r="U31">
            <v>0</v>
          </cell>
        </row>
        <row r="32">
          <cell r="A32" t="str">
            <v>DURING NAHARKOUM SAEED</v>
          </cell>
          <cell r="B32">
            <v>0.47916666666666669</v>
          </cell>
          <cell r="C32" t="str">
            <v>30-35</v>
          </cell>
          <cell r="D32" t="str">
            <v>FREE</v>
          </cell>
          <cell r="E32" t="str">
            <v>FREE</v>
          </cell>
          <cell r="F32">
            <v>3.3000000000000002E-2</v>
          </cell>
          <cell r="G32">
            <v>0</v>
          </cell>
          <cell r="H32">
            <v>1</v>
          </cell>
          <cell r="I32">
            <v>19.9519522515</v>
          </cell>
          <cell r="J32">
            <v>19.9519522515</v>
          </cell>
          <cell r="K32">
            <v>21.963547850999998</v>
          </cell>
          <cell r="L32">
            <v>41.888331307500003</v>
          </cell>
          <cell r="M32">
            <v>32.651557402500003</v>
          </cell>
          <cell r="N32">
            <v>32.651557402500003</v>
          </cell>
          <cell r="O32">
            <v>0</v>
          </cell>
          <cell r="P32">
            <v>218.77420084000002</v>
          </cell>
          <cell r="Q32">
            <v>0.22979001931366516</v>
          </cell>
          <cell r="R32" t="str">
            <v>9.6.1999</v>
          </cell>
          <cell r="U32">
            <v>0</v>
          </cell>
        </row>
        <row r="33">
          <cell r="A33" t="str">
            <v>DURING DUBBED SERIAL</v>
          </cell>
          <cell r="B33">
            <v>0.59375</v>
          </cell>
          <cell r="C33" t="str">
            <v>30-35</v>
          </cell>
          <cell r="D33" t="str">
            <v>FREE</v>
          </cell>
          <cell r="E33" t="str">
            <v>FREE</v>
          </cell>
          <cell r="F33">
            <v>0.04</v>
          </cell>
          <cell r="G33">
            <v>0</v>
          </cell>
          <cell r="H33">
            <v>1</v>
          </cell>
          <cell r="I33">
            <v>540</v>
          </cell>
          <cell r="J33">
            <v>540</v>
          </cell>
          <cell r="K33">
            <v>560</v>
          </cell>
          <cell r="L33">
            <v>970.7</v>
          </cell>
          <cell r="M33">
            <v>770</v>
          </cell>
          <cell r="N33">
            <v>770</v>
          </cell>
          <cell r="O33">
            <v>0</v>
          </cell>
          <cell r="P33">
            <v>2</v>
          </cell>
          <cell r="Q33">
            <v>4</v>
          </cell>
          <cell r="R33">
            <v>3</v>
          </cell>
          <cell r="S33">
            <v>3</v>
          </cell>
          <cell r="U33">
            <v>0</v>
          </cell>
        </row>
        <row r="34">
          <cell r="A34" t="str">
            <v>DURING VARIETY</v>
          </cell>
          <cell r="B34">
            <v>0.82291666666666663</v>
          </cell>
          <cell r="C34" t="str">
            <v>30-35</v>
          </cell>
          <cell r="D34" t="str">
            <v>FREE</v>
          </cell>
          <cell r="E34" t="str">
            <v>FREE</v>
          </cell>
          <cell r="F34">
            <v>4.2000000000000003E-2</v>
          </cell>
          <cell r="G34">
            <v>0</v>
          </cell>
          <cell r="H34">
            <v>2</v>
          </cell>
          <cell r="I34">
            <v>73.2</v>
          </cell>
          <cell r="J34">
            <v>73.2</v>
          </cell>
          <cell r="K34">
            <v>74.8</v>
          </cell>
          <cell r="L34">
            <v>76.5</v>
          </cell>
          <cell r="M34">
            <v>74.8</v>
          </cell>
          <cell r="N34">
            <v>74.8</v>
          </cell>
          <cell r="O34">
            <v>0</v>
          </cell>
          <cell r="P34">
            <v>2</v>
          </cell>
          <cell r="Q34">
            <v>4</v>
          </cell>
          <cell r="R34">
            <v>3</v>
          </cell>
          <cell r="S34">
            <v>3</v>
          </cell>
          <cell r="U34">
            <v>0</v>
          </cell>
        </row>
        <row r="35">
          <cell r="A35" t="str">
            <v>DURING VARIETY</v>
          </cell>
          <cell r="B35">
            <v>0.84375</v>
          </cell>
          <cell r="C35" t="str">
            <v>30-35</v>
          </cell>
          <cell r="D35" t="str">
            <v>FREE</v>
          </cell>
          <cell r="E35" t="str">
            <v>FREE</v>
          </cell>
          <cell r="F35">
            <v>4.5999999999999999E-2</v>
          </cell>
          <cell r="G35">
            <v>0</v>
          </cell>
          <cell r="H35">
            <v>1</v>
          </cell>
          <cell r="I35">
            <v>7.3770491803278686</v>
          </cell>
          <cell r="J35">
            <v>7.3770491803278686</v>
          </cell>
          <cell r="K35">
            <v>7.4866310160427814</v>
          </cell>
          <cell r="L35">
            <v>12.68888888888889</v>
          </cell>
          <cell r="M35">
            <v>10.294117647058824</v>
          </cell>
          <cell r="N35">
            <v>10.294117647058824</v>
          </cell>
          <cell r="O35">
            <v>0</v>
          </cell>
          <cell r="P35">
            <v>4</v>
          </cell>
          <cell r="Q35">
            <v>7</v>
          </cell>
          <cell r="R35">
            <v>6</v>
          </cell>
          <cell r="S35">
            <v>6</v>
          </cell>
          <cell r="U35">
            <v>0</v>
          </cell>
        </row>
        <row r="36">
          <cell r="A36" t="str">
            <v>DURING NEWS</v>
          </cell>
          <cell r="B36">
            <v>0.88541666666666663</v>
          </cell>
          <cell r="C36" t="str">
            <v>30-35</v>
          </cell>
          <cell r="D36">
            <v>1350</v>
          </cell>
          <cell r="E36">
            <v>1566</v>
          </cell>
          <cell r="F36">
            <v>4.2000000000000003E-2</v>
          </cell>
          <cell r="G36">
            <v>17.882836587872557</v>
          </cell>
          <cell r="H36">
            <v>1</v>
          </cell>
          <cell r="U36">
            <v>1.5660000000000001</v>
          </cell>
        </row>
        <row r="37">
          <cell r="A37" t="str">
            <v>DURING  DUBBED SERIAL</v>
          </cell>
          <cell r="B37">
            <v>0.92708333333333337</v>
          </cell>
          <cell r="C37" t="str">
            <v>30-35</v>
          </cell>
          <cell r="D37">
            <v>1350</v>
          </cell>
          <cell r="E37">
            <v>1566</v>
          </cell>
          <cell r="F37">
            <v>6.7000000000000004E-2</v>
          </cell>
          <cell r="G37">
            <v>11.210136368517125</v>
          </cell>
          <cell r="H37">
            <v>2</v>
          </cell>
          <cell r="I37" t="str">
            <v>DOC 30"</v>
          </cell>
          <cell r="J37" t="str">
            <v>DOC 30"</v>
          </cell>
          <cell r="K37" t="str">
            <v>NTVC 35"</v>
          </cell>
          <cell r="L37" t="str">
            <v>NTVC 35"</v>
          </cell>
          <cell r="M37" t="str">
            <v>NTVC 35"</v>
          </cell>
          <cell r="N37" t="str">
            <v>NTVC 35"</v>
          </cell>
          <cell r="P37">
            <v>5</v>
          </cell>
          <cell r="Q37">
            <v>9</v>
          </cell>
          <cell r="R37">
            <v>8</v>
          </cell>
          <cell r="S37">
            <v>8</v>
          </cell>
          <cell r="U37">
            <v>50.112000000000002</v>
          </cell>
        </row>
        <row r="38">
          <cell r="A38" t="str">
            <v>DURING VARAITY PROGRAMS</v>
          </cell>
          <cell r="B38">
            <v>0.95833333333333337</v>
          </cell>
          <cell r="C38" t="str">
            <v>30-35</v>
          </cell>
          <cell r="D38">
            <v>1350</v>
          </cell>
          <cell r="E38">
            <v>1566</v>
          </cell>
          <cell r="F38">
            <v>7.1999999999999995E-2</v>
          </cell>
          <cell r="G38">
            <v>10.431654676258994</v>
          </cell>
          <cell r="H38">
            <v>2</v>
          </cell>
          <cell r="I38" t="str">
            <v>AR</v>
          </cell>
          <cell r="J38" t="str">
            <v>AR</v>
          </cell>
          <cell r="K38" t="str">
            <v>AR</v>
          </cell>
          <cell r="L38" t="str">
            <v>AR</v>
          </cell>
          <cell r="M38" t="str">
            <v>AR</v>
          </cell>
          <cell r="N38" t="str">
            <v>AR</v>
          </cell>
          <cell r="P38">
            <v>4</v>
          </cell>
          <cell r="Q38">
            <v>9</v>
          </cell>
          <cell r="R38">
            <v>8</v>
          </cell>
          <cell r="S38">
            <v>8</v>
          </cell>
          <cell r="U38">
            <v>48.545999999999999</v>
          </cell>
        </row>
        <row r="39">
          <cell r="A39" t="str">
            <v>DURING DUBBED SERIAL</v>
          </cell>
          <cell r="B39">
            <v>24</v>
          </cell>
          <cell r="C39" t="str">
            <v>30-35</v>
          </cell>
          <cell r="D39" t="str">
            <v>FREE</v>
          </cell>
          <cell r="E39" t="str">
            <v>FREE</v>
          </cell>
          <cell r="F39">
            <v>7.9000000000000001E-2</v>
          </cell>
          <cell r="G39">
            <v>0</v>
          </cell>
          <cell r="H39">
            <v>5</v>
          </cell>
          <cell r="I39">
            <v>1234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10</v>
          </cell>
          <cell r="Q39">
            <v>21</v>
          </cell>
          <cell r="R39">
            <v>20</v>
          </cell>
          <cell r="S39">
            <v>20</v>
          </cell>
          <cell r="U39">
            <v>0</v>
          </cell>
        </row>
        <row r="40">
          <cell r="A40" t="str">
            <v>FUTURE SAT</v>
          </cell>
          <cell r="B40" t="str">
            <v>NO OF SPOTS</v>
          </cell>
          <cell r="C40">
            <v>5</v>
          </cell>
          <cell r="D40">
            <v>6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8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19</v>
          </cell>
          <cell r="R40" t="str">
            <v>CCS / BHN / 7</v>
          </cell>
          <cell r="U40">
            <v>0</v>
          </cell>
        </row>
        <row r="41">
          <cell r="A41" t="str">
            <v>DURING ALAM AL SABAH</v>
          </cell>
          <cell r="B41">
            <v>0.45833333333333331</v>
          </cell>
          <cell r="C41">
            <v>30</v>
          </cell>
          <cell r="D41">
            <v>500</v>
          </cell>
          <cell r="E41">
            <v>580</v>
          </cell>
          <cell r="F41">
            <v>1.0999999999999999E-2</v>
          </cell>
          <cell r="G41">
            <v>25.288859821233924</v>
          </cell>
          <cell r="H41">
            <v>1</v>
          </cell>
          <cell r="I41">
            <v>2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6.4555851063829781</v>
          </cell>
          <cell r="Q41">
            <v>6.7806396758896444E-3</v>
          </cell>
          <cell r="R41" t="str">
            <v>9.6.1999</v>
          </cell>
          <cell r="U41">
            <v>1.74</v>
          </cell>
        </row>
        <row r="42">
          <cell r="A42" t="str">
            <v>DURING ARABIC SERIAL</v>
          </cell>
          <cell r="B42">
            <v>0.70833333333333337</v>
          </cell>
          <cell r="C42">
            <v>30</v>
          </cell>
          <cell r="D42">
            <v>500</v>
          </cell>
          <cell r="E42">
            <v>580</v>
          </cell>
          <cell r="F42">
            <v>1.0999999999999999E-2</v>
          </cell>
          <cell r="G42">
            <v>25.288859821233924</v>
          </cell>
          <cell r="H42">
            <v>1</v>
          </cell>
          <cell r="I42">
            <v>1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528.125</v>
          </cell>
          <cell r="U42">
            <v>1.1599999999999999</v>
          </cell>
        </row>
        <row r="43">
          <cell r="A43" t="str">
            <v>DURING ARABIC SERIAL</v>
          </cell>
          <cell r="B43">
            <v>0.85416666666666663</v>
          </cell>
          <cell r="C43">
            <v>30</v>
          </cell>
          <cell r="D43">
            <v>500</v>
          </cell>
          <cell r="E43">
            <v>580</v>
          </cell>
          <cell r="F43">
            <v>2.4E-2</v>
          </cell>
          <cell r="G43">
            <v>11.590727418065548</v>
          </cell>
          <cell r="H43">
            <v>1</v>
          </cell>
          <cell r="I43">
            <v>2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2</v>
          </cell>
          <cell r="O43">
            <v>2</v>
          </cell>
          <cell r="P43">
            <v>0</v>
          </cell>
          <cell r="U43">
            <v>4.0599999999999996</v>
          </cell>
        </row>
        <row r="44">
          <cell r="A44" t="str">
            <v xml:space="preserve">DURING NEWS </v>
          </cell>
          <cell r="B44">
            <v>0.89583333333333337</v>
          </cell>
          <cell r="C44">
            <v>30</v>
          </cell>
          <cell r="D44">
            <v>500</v>
          </cell>
          <cell r="E44">
            <v>580</v>
          </cell>
          <cell r="F44">
            <v>0.03</v>
          </cell>
          <cell r="G44">
            <v>9.2725819344524378</v>
          </cell>
          <cell r="H44">
            <v>2</v>
          </cell>
          <cell r="I44">
            <v>3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2</v>
          </cell>
          <cell r="O44">
            <v>2</v>
          </cell>
          <cell r="P44">
            <v>0</v>
          </cell>
          <cell r="U44">
            <v>5.22</v>
          </cell>
        </row>
        <row r="45">
          <cell r="A45" t="str">
            <v>DURING ENTERTAINMENT PROG</v>
          </cell>
          <cell r="B45">
            <v>0.91666666666666663</v>
          </cell>
          <cell r="C45">
            <v>30</v>
          </cell>
          <cell r="D45">
            <v>500</v>
          </cell>
          <cell r="E45">
            <v>580</v>
          </cell>
          <cell r="F45">
            <v>2.5999999999999999E-2</v>
          </cell>
          <cell r="G45">
            <v>10.699133001291274</v>
          </cell>
          <cell r="H45">
            <v>2</v>
          </cell>
          <cell r="I45">
            <v>5</v>
          </cell>
          <cell r="N45">
            <v>2</v>
          </cell>
          <cell r="O45">
            <v>2</v>
          </cell>
          <cell r="U45">
            <v>6.38</v>
          </cell>
        </row>
        <row r="46">
          <cell r="A46" t="str">
            <v>DURING ENTERTAINMENT PROG</v>
          </cell>
          <cell r="B46">
            <v>0.94791666666666663</v>
          </cell>
          <cell r="C46">
            <v>30</v>
          </cell>
          <cell r="D46">
            <v>500</v>
          </cell>
          <cell r="E46">
            <v>580</v>
          </cell>
          <cell r="F46">
            <v>2.5000000000000001E-2</v>
          </cell>
          <cell r="G46">
            <v>11.127098321342926</v>
          </cell>
          <cell r="H46">
            <v>3</v>
          </cell>
          <cell r="I46">
            <v>5</v>
          </cell>
          <cell r="N46">
            <v>3</v>
          </cell>
          <cell r="O46">
            <v>3</v>
          </cell>
          <cell r="U46">
            <v>8.1199999999999992</v>
          </cell>
        </row>
        <row r="47">
          <cell r="A47" t="str">
            <v>BEF ENTERTAINMENT PROG</v>
          </cell>
          <cell r="B47">
            <v>0.95833333333333337</v>
          </cell>
          <cell r="C47">
            <v>30</v>
          </cell>
          <cell r="D47">
            <v>500</v>
          </cell>
          <cell r="E47">
            <v>580</v>
          </cell>
          <cell r="F47">
            <v>2.5000000000000001E-2</v>
          </cell>
          <cell r="G47">
            <v>11.127098321342926</v>
          </cell>
          <cell r="H47">
            <v>2</v>
          </cell>
          <cell r="I47">
            <v>6</v>
          </cell>
          <cell r="N47">
            <v>3</v>
          </cell>
          <cell r="O47">
            <v>3</v>
          </cell>
          <cell r="U47">
            <v>8.1199999999999992</v>
          </cell>
        </row>
        <row r="48">
          <cell r="A48" t="str">
            <v>DURING FILM</v>
          </cell>
          <cell r="B48">
            <v>1.0208333333333333</v>
          </cell>
          <cell r="C48">
            <v>30</v>
          </cell>
          <cell r="D48">
            <v>500</v>
          </cell>
          <cell r="E48">
            <v>580</v>
          </cell>
          <cell r="F48">
            <v>4.7E-2</v>
          </cell>
          <cell r="G48">
            <v>5.9186693198632581</v>
          </cell>
          <cell r="H48">
            <v>3</v>
          </cell>
          <cell r="I48">
            <v>6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3</v>
          </cell>
          <cell r="O48">
            <v>3</v>
          </cell>
          <cell r="P48">
            <v>10</v>
          </cell>
          <cell r="U48">
            <v>8.6999999999999993</v>
          </cell>
        </row>
        <row r="49">
          <cell r="A49" t="str">
            <v>DURING ALAM AL SABAH</v>
          </cell>
          <cell r="B49">
            <v>0.45833333333333331</v>
          </cell>
          <cell r="C49">
            <v>35</v>
          </cell>
          <cell r="D49">
            <v>583.29999999999995</v>
          </cell>
          <cell r="E49">
            <v>676.62799999999993</v>
          </cell>
          <cell r="F49">
            <v>1.0999999999999999E-2</v>
          </cell>
          <cell r="G49">
            <v>29.501983867451493</v>
          </cell>
          <cell r="H49">
            <v>0</v>
          </cell>
          <cell r="I49">
            <v>8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21</v>
          </cell>
          <cell r="R49" t="str">
            <v>CCS/qtr/7</v>
          </cell>
          <cell r="U49">
            <v>0</v>
          </cell>
        </row>
        <row r="50">
          <cell r="A50" t="str">
            <v>DURING ARABIC SERIAL</v>
          </cell>
          <cell r="B50">
            <v>0.70833333333333337</v>
          </cell>
          <cell r="C50">
            <v>35</v>
          </cell>
          <cell r="D50">
            <v>583.29999999999995</v>
          </cell>
          <cell r="E50">
            <v>676.62799999999993</v>
          </cell>
          <cell r="F50">
            <v>1.0999999999999999E-2</v>
          </cell>
          <cell r="G50">
            <v>29.501983867451493</v>
          </cell>
          <cell r="H50">
            <v>0</v>
          </cell>
          <cell r="I50">
            <v>1.9551196799999997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8.3092586399999995</v>
          </cell>
          <cell r="Q50">
            <v>8.7276502258338169E-3</v>
          </cell>
          <cell r="R50" t="str">
            <v>9.6.1999</v>
          </cell>
          <cell r="U50">
            <v>0</v>
          </cell>
        </row>
        <row r="51">
          <cell r="A51" t="str">
            <v>DURING ARABIC SERIAL</v>
          </cell>
          <cell r="B51">
            <v>0.85416666666666663</v>
          </cell>
          <cell r="C51">
            <v>35</v>
          </cell>
          <cell r="D51">
            <v>583.29999999999995</v>
          </cell>
          <cell r="E51">
            <v>676.62799999999993</v>
          </cell>
          <cell r="F51">
            <v>2.4E-2</v>
          </cell>
          <cell r="G51">
            <v>13.521742605915266</v>
          </cell>
          <cell r="H51">
            <v>0</v>
          </cell>
          <cell r="I51">
            <v>371.55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1</v>
          </cell>
          <cell r="Q51">
            <v>2</v>
          </cell>
          <cell r="R51">
            <v>2</v>
          </cell>
          <cell r="S51">
            <v>2</v>
          </cell>
          <cell r="U51">
            <v>4.7363960000000001</v>
          </cell>
        </row>
        <row r="52">
          <cell r="A52" t="str">
            <v xml:space="preserve">DURING NEWS </v>
          </cell>
          <cell r="B52">
            <v>0.89583333333333337</v>
          </cell>
          <cell r="C52">
            <v>35</v>
          </cell>
          <cell r="D52">
            <v>583.29999999999995</v>
          </cell>
          <cell r="E52">
            <v>676.62799999999993</v>
          </cell>
          <cell r="F52">
            <v>0.03</v>
          </cell>
          <cell r="G52">
            <v>10.817394084732214</v>
          </cell>
          <cell r="H52">
            <v>0</v>
          </cell>
          <cell r="I52">
            <v>81.2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2</v>
          </cell>
          <cell r="Q52">
            <v>4</v>
          </cell>
          <cell r="R52">
            <v>4</v>
          </cell>
          <cell r="S52">
            <v>4</v>
          </cell>
          <cell r="U52">
            <v>9.4727920000000001</v>
          </cell>
        </row>
        <row r="53">
          <cell r="A53" t="str">
            <v>DURING ENTERTAINMENT PROG</v>
          </cell>
          <cell r="B53">
            <v>0.91666666666666663</v>
          </cell>
          <cell r="C53">
            <v>35</v>
          </cell>
          <cell r="D53">
            <v>583.29999999999995</v>
          </cell>
          <cell r="E53">
            <v>676.62799999999993</v>
          </cell>
          <cell r="F53">
            <v>2.5999999999999999E-2</v>
          </cell>
          <cell r="G53">
            <v>12.4816085593064</v>
          </cell>
          <cell r="H53">
            <v>0</v>
          </cell>
          <cell r="I53">
            <v>4.5757389162561566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2</v>
          </cell>
          <cell r="Q53">
            <v>5</v>
          </cell>
          <cell r="R53">
            <v>5</v>
          </cell>
          <cell r="S53">
            <v>5</v>
          </cell>
          <cell r="U53">
            <v>11.502675999999999</v>
          </cell>
        </row>
        <row r="54">
          <cell r="A54" t="str">
            <v>DURING ENTERTAINMENT PROG</v>
          </cell>
          <cell r="B54">
            <v>0.94791666666666663</v>
          </cell>
          <cell r="C54">
            <v>35</v>
          </cell>
          <cell r="D54">
            <v>583.29999999999995</v>
          </cell>
          <cell r="E54">
            <v>676.62799999999993</v>
          </cell>
          <cell r="F54">
            <v>2.5000000000000001E-2</v>
          </cell>
          <cell r="G54">
            <v>12.980872901678655</v>
          </cell>
          <cell r="P54">
            <v>4</v>
          </cell>
          <cell r="Q54">
            <v>7</v>
          </cell>
          <cell r="R54">
            <v>5</v>
          </cell>
          <cell r="S54">
            <v>5</v>
          </cell>
          <cell r="U54">
            <v>14.209187999999997</v>
          </cell>
        </row>
        <row r="55">
          <cell r="A55" t="str">
            <v>BEF ENTERTAINMENT PROG</v>
          </cell>
          <cell r="B55">
            <v>0.95833333333333337</v>
          </cell>
          <cell r="C55">
            <v>35</v>
          </cell>
          <cell r="D55">
            <v>583.29999999999995</v>
          </cell>
          <cell r="E55">
            <v>676.62799999999993</v>
          </cell>
          <cell r="F55">
            <v>2.5000000000000001E-2</v>
          </cell>
          <cell r="G55">
            <v>12.980872901678655</v>
          </cell>
          <cell r="I55" t="str">
            <v>DOC 30"</v>
          </cell>
          <cell r="P55">
            <v>3</v>
          </cell>
          <cell r="Q55">
            <v>5</v>
          </cell>
          <cell r="R55">
            <v>4</v>
          </cell>
          <cell r="S55">
            <v>4</v>
          </cell>
          <cell r="U55">
            <v>10.826047999999998</v>
          </cell>
        </row>
        <row r="56">
          <cell r="A56" t="str">
            <v>DURING FILM</v>
          </cell>
          <cell r="B56">
            <v>1.0208333333333333</v>
          </cell>
          <cell r="C56">
            <v>35</v>
          </cell>
          <cell r="D56">
            <v>583.29999999999995</v>
          </cell>
          <cell r="E56">
            <v>676.62799999999993</v>
          </cell>
          <cell r="F56">
            <v>4.7E-2</v>
          </cell>
          <cell r="G56">
            <v>6.9047196285524759</v>
          </cell>
          <cell r="I56" t="str">
            <v>AR</v>
          </cell>
          <cell r="P56">
            <v>5</v>
          </cell>
          <cell r="Q56">
            <v>10</v>
          </cell>
          <cell r="R56">
            <v>8</v>
          </cell>
          <cell r="S56">
            <v>8</v>
          </cell>
          <cell r="U56">
            <v>20.975467999999996</v>
          </cell>
        </row>
        <row r="57">
          <cell r="A57" t="str">
            <v>ESC</v>
          </cell>
          <cell r="B57" t="str">
            <v>WEEKS ON AIR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1234</v>
          </cell>
          <cell r="J57">
            <v>1234</v>
          </cell>
          <cell r="K57">
            <v>34</v>
          </cell>
          <cell r="L57">
            <v>1234</v>
          </cell>
          <cell r="M57">
            <v>1234</v>
          </cell>
          <cell r="N57">
            <v>1234</v>
          </cell>
          <cell r="O57">
            <v>0</v>
          </cell>
          <cell r="P57">
            <v>0</v>
          </cell>
          <cell r="U57">
            <v>0</v>
          </cell>
        </row>
        <row r="58">
          <cell r="A58" t="str">
            <v>BEF. ARABIC SEIAL</v>
          </cell>
          <cell r="B58">
            <v>0.46875</v>
          </cell>
          <cell r="C58">
            <v>30</v>
          </cell>
          <cell r="D58">
            <v>500</v>
          </cell>
          <cell r="E58">
            <v>580</v>
          </cell>
          <cell r="F58">
            <v>1.4999999999999999E-2</v>
          </cell>
          <cell r="G58">
            <v>18.545163868904876</v>
          </cell>
          <cell r="H58">
            <v>1</v>
          </cell>
          <cell r="I58">
            <v>2</v>
          </cell>
          <cell r="J58">
            <v>8</v>
          </cell>
          <cell r="K58">
            <v>8</v>
          </cell>
          <cell r="L58">
            <v>15</v>
          </cell>
          <cell r="M58">
            <v>11</v>
          </cell>
          <cell r="N58">
            <v>11</v>
          </cell>
          <cell r="O58">
            <v>0</v>
          </cell>
          <cell r="P58">
            <v>61</v>
          </cell>
          <cell r="R58" t="str">
            <v>CCS/qtr/7</v>
          </cell>
          <cell r="U58">
            <v>1.74</v>
          </cell>
        </row>
        <row r="59">
          <cell r="A59" t="str">
            <v>BEF. VARIETY</v>
          </cell>
          <cell r="B59">
            <v>0.51041666666666663</v>
          </cell>
          <cell r="C59">
            <v>30</v>
          </cell>
          <cell r="D59">
            <v>500</v>
          </cell>
          <cell r="E59">
            <v>580</v>
          </cell>
          <cell r="F59">
            <v>2.3E-2</v>
          </cell>
          <cell r="G59">
            <v>12.094672088416225</v>
          </cell>
          <cell r="H59">
            <v>1</v>
          </cell>
          <cell r="I59">
            <v>2</v>
          </cell>
          <cell r="J59">
            <v>6.4017006802721088</v>
          </cell>
          <cell r="K59">
            <v>6.4017006802721088</v>
          </cell>
          <cell r="L59">
            <v>11.718367346938775</v>
          </cell>
          <cell r="M59">
            <v>8.8972789115646265</v>
          </cell>
          <cell r="N59">
            <v>1</v>
          </cell>
          <cell r="O59">
            <v>1</v>
          </cell>
          <cell r="P59">
            <v>48.718027210884358</v>
          </cell>
          <cell r="Q59">
            <v>5.1171099566260814E-2</v>
          </cell>
          <cell r="R59" t="str">
            <v>9.6.1999</v>
          </cell>
          <cell r="U59">
            <v>2.9</v>
          </cell>
        </row>
        <row r="60">
          <cell r="A60" t="str">
            <v>BEF. VARIETY</v>
          </cell>
          <cell r="B60">
            <v>0.54166666666666663</v>
          </cell>
          <cell r="C60">
            <v>30</v>
          </cell>
          <cell r="D60">
            <v>500</v>
          </cell>
          <cell r="E60">
            <v>580</v>
          </cell>
          <cell r="F60">
            <v>1.6E-2</v>
          </cell>
          <cell r="G60">
            <v>17.386091127098322</v>
          </cell>
          <cell r="H60">
            <v>1</v>
          </cell>
          <cell r="I60">
            <v>2</v>
          </cell>
          <cell r="J60">
            <v>610</v>
          </cell>
          <cell r="K60">
            <v>618</v>
          </cell>
          <cell r="L60">
            <v>998</v>
          </cell>
          <cell r="M60">
            <v>782</v>
          </cell>
          <cell r="N60">
            <v>782</v>
          </cell>
          <cell r="O60">
            <v>0</v>
          </cell>
          <cell r="P60">
            <v>5279</v>
          </cell>
          <cell r="U60">
            <v>1.74</v>
          </cell>
        </row>
        <row r="61">
          <cell r="A61" t="str">
            <v>BEF. ARABIC FILM</v>
          </cell>
          <cell r="B61">
            <v>0.65625</v>
          </cell>
          <cell r="C61">
            <v>30</v>
          </cell>
          <cell r="D61">
            <v>500</v>
          </cell>
          <cell r="E61">
            <v>580</v>
          </cell>
          <cell r="F61">
            <v>3.5999999999999997E-2</v>
          </cell>
          <cell r="G61">
            <v>7.7271516120436994</v>
          </cell>
          <cell r="H61">
            <v>1</v>
          </cell>
          <cell r="I61">
            <v>2</v>
          </cell>
          <cell r="J61">
            <v>77.3</v>
          </cell>
          <cell r="K61">
            <v>77.3</v>
          </cell>
          <cell r="L61">
            <v>78.2</v>
          </cell>
          <cell r="M61">
            <v>77.3</v>
          </cell>
          <cell r="N61">
            <v>1</v>
          </cell>
          <cell r="O61">
            <v>1</v>
          </cell>
          <cell r="P61">
            <v>0</v>
          </cell>
          <cell r="U61">
            <v>2.9</v>
          </cell>
        </row>
        <row r="62">
          <cell r="A62" t="str">
            <v>BEF. VARIETY</v>
          </cell>
          <cell r="B62">
            <v>0.6875</v>
          </cell>
          <cell r="C62">
            <v>30</v>
          </cell>
          <cell r="D62">
            <v>500</v>
          </cell>
          <cell r="E62">
            <v>580</v>
          </cell>
          <cell r="F62">
            <v>4.1000000000000002E-2</v>
          </cell>
          <cell r="G62">
            <v>6.7848160495993453</v>
          </cell>
          <cell r="H62">
            <v>2</v>
          </cell>
          <cell r="I62">
            <v>3</v>
          </cell>
          <cell r="J62">
            <v>7.8913324708926265</v>
          </cell>
          <cell r="K62">
            <v>7.9948253557567917</v>
          </cell>
          <cell r="L62">
            <v>12.762148337595907</v>
          </cell>
          <cell r="M62">
            <v>10.116429495472186</v>
          </cell>
          <cell r="N62">
            <v>3</v>
          </cell>
          <cell r="O62">
            <v>3</v>
          </cell>
          <cell r="P62">
            <v>0</v>
          </cell>
          <cell r="U62">
            <v>6.38</v>
          </cell>
        </row>
        <row r="63">
          <cell r="A63" t="str">
            <v>BEF. ARABIC SEIAL</v>
          </cell>
          <cell r="B63">
            <v>0.76041666666666663</v>
          </cell>
          <cell r="C63">
            <v>30</v>
          </cell>
          <cell r="D63">
            <v>500</v>
          </cell>
          <cell r="E63">
            <v>580</v>
          </cell>
          <cell r="F63">
            <v>2.7E-2</v>
          </cell>
          <cell r="G63">
            <v>10.302868816058265</v>
          </cell>
          <cell r="H63">
            <v>2</v>
          </cell>
          <cell r="I63">
            <v>3</v>
          </cell>
          <cell r="N63">
            <v>3</v>
          </cell>
          <cell r="O63">
            <v>3</v>
          </cell>
          <cell r="U63">
            <v>6.38</v>
          </cell>
        </row>
        <row r="64">
          <cell r="A64" t="str">
            <v>BEF. VARIETY</v>
          </cell>
          <cell r="B64">
            <v>0.80208333333333337</v>
          </cell>
          <cell r="C64">
            <v>30</v>
          </cell>
          <cell r="D64">
            <v>500</v>
          </cell>
          <cell r="E64">
            <v>580</v>
          </cell>
          <cell r="F64">
            <v>3.4000000000000002E-2</v>
          </cell>
          <cell r="G64">
            <v>8.1816899421639153</v>
          </cell>
          <cell r="H64">
            <v>1</v>
          </cell>
          <cell r="I64">
            <v>4</v>
          </cell>
          <cell r="J64" t="str">
            <v>DOC 30"</v>
          </cell>
          <cell r="K64" t="str">
            <v>NTVC 35"</v>
          </cell>
          <cell r="L64" t="str">
            <v>NTVC 35"</v>
          </cell>
          <cell r="M64" t="str">
            <v>NTVC 35"</v>
          </cell>
          <cell r="N64">
            <v>3</v>
          </cell>
          <cell r="O64">
            <v>3</v>
          </cell>
          <cell r="U64">
            <v>6.38</v>
          </cell>
        </row>
        <row r="65">
          <cell r="A65" t="str">
            <v>BEF. ARABIC FILM</v>
          </cell>
          <cell r="B65">
            <v>0.875</v>
          </cell>
          <cell r="C65">
            <v>30</v>
          </cell>
          <cell r="D65">
            <v>500</v>
          </cell>
          <cell r="E65">
            <v>580</v>
          </cell>
          <cell r="F65">
            <v>2.4E-2</v>
          </cell>
          <cell r="G65">
            <v>11.590727418065548</v>
          </cell>
          <cell r="H65">
            <v>1</v>
          </cell>
          <cell r="I65">
            <v>4</v>
          </cell>
          <cell r="J65" t="str">
            <v>AR</v>
          </cell>
          <cell r="K65" t="str">
            <v>AR</v>
          </cell>
          <cell r="L65" t="str">
            <v>AR</v>
          </cell>
          <cell r="M65" t="str">
            <v>AR</v>
          </cell>
          <cell r="N65">
            <v>3</v>
          </cell>
          <cell r="O65">
            <v>3</v>
          </cell>
          <cell r="U65">
            <v>6.38</v>
          </cell>
        </row>
        <row r="66">
          <cell r="A66" t="str">
            <v>BEF. ARABIC SEIAL</v>
          </cell>
          <cell r="B66">
            <v>0.46875</v>
          </cell>
          <cell r="C66">
            <v>35</v>
          </cell>
          <cell r="D66">
            <v>583.29999999999995</v>
          </cell>
          <cell r="E66">
            <v>676.62799999999993</v>
          </cell>
          <cell r="F66">
            <v>1.4999999999999999E-2</v>
          </cell>
          <cell r="G66">
            <v>21.634788169464429</v>
          </cell>
          <cell r="H66">
            <v>0</v>
          </cell>
          <cell r="I66">
            <v>1234</v>
          </cell>
          <cell r="J66">
            <v>1234</v>
          </cell>
          <cell r="K66">
            <v>34</v>
          </cell>
          <cell r="L66">
            <v>1234</v>
          </cell>
          <cell r="M66">
            <v>1234</v>
          </cell>
          <cell r="N66">
            <v>1234</v>
          </cell>
          <cell r="O66">
            <v>0</v>
          </cell>
          <cell r="P66">
            <v>31</v>
          </cell>
          <cell r="U66">
            <v>0</v>
          </cell>
        </row>
        <row r="67">
          <cell r="A67" t="str">
            <v>BEF. VARIETY</v>
          </cell>
          <cell r="B67">
            <v>0.51041666666666663</v>
          </cell>
          <cell r="C67">
            <v>35</v>
          </cell>
          <cell r="D67">
            <v>583.29999999999995</v>
          </cell>
          <cell r="E67">
            <v>676.62799999999993</v>
          </cell>
          <cell r="F67">
            <v>2.3E-2</v>
          </cell>
          <cell r="G67">
            <v>14.109644458346365</v>
          </cell>
          <cell r="H67">
            <v>0</v>
          </cell>
          <cell r="I67">
            <v>8</v>
          </cell>
          <cell r="J67">
            <v>8</v>
          </cell>
          <cell r="K67">
            <v>8</v>
          </cell>
          <cell r="L67">
            <v>15</v>
          </cell>
          <cell r="M67">
            <v>12</v>
          </cell>
          <cell r="N67">
            <v>12</v>
          </cell>
          <cell r="O67">
            <v>0</v>
          </cell>
          <cell r="P67">
            <v>1</v>
          </cell>
          <cell r="Q67">
            <v>2</v>
          </cell>
          <cell r="R67">
            <v>2</v>
          </cell>
          <cell r="S67">
            <v>2</v>
          </cell>
          <cell r="U67">
            <v>4.7363960000000001</v>
          </cell>
        </row>
        <row r="68">
          <cell r="A68" t="str">
            <v>BEF. VARIETY</v>
          </cell>
          <cell r="B68">
            <v>0.54166666666666663</v>
          </cell>
          <cell r="C68">
            <v>35</v>
          </cell>
          <cell r="D68">
            <v>583.29999999999995</v>
          </cell>
          <cell r="E68">
            <v>676.62799999999993</v>
          </cell>
          <cell r="F68">
            <v>1.6E-2</v>
          </cell>
          <cell r="G68">
            <v>20.2826139088729</v>
          </cell>
          <cell r="H68">
            <v>0</v>
          </cell>
          <cell r="I68">
            <v>6.6436363636363627</v>
          </cell>
          <cell r="J68">
            <v>6.6436363636363627</v>
          </cell>
          <cell r="K68">
            <v>7.1859740259740246</v>
          </cell>
          <cell r="L68">
            <v>13.558441558441558</v>
          </cell>
          <cell r="M68">
            <v>10.846753246753247</v>
          </cell>
          <cell r="N68">
            <v>10.846753246753247</v>
          </cell>
          <cell r="O68">
            <v>0</v>
          </cell>
          <cell r="P68">
            <v>68.26675324675324</v>
          </cell>
          <cell r="Q68">
            <v>7.1704151983283004E-2</v>
          </cell>
          <cell r="R68" t="str">
            <v>9.6.1999</v>
          </cell>
          <cell r="U68">
            <v>0</v>
          </cell>
        </row>
        <row r="69">
          <cell r="A69" t="str">
            <v>BEF. ARABIC FILM</v>
          </cell>
          <cell r="B69">
            <v>0.65625</v>
          </cell>
          <cell r="C69">
            <v>35</v>
          </cell>
          <cell r="D69">
            <v>583.29999999999995</v>
          </cell>
          <cell r="E69">
            <v>676.62799999999993</v>
          </cell>
          <cell r="F69">
            <v>3.5999999999999997E-2</v>
          </cell>
          <cell r="G69">
            <v>9.0144950706101792</v>
          </cell>
          <cell r="H69">
            <v>0</v>
          </cell>
          <cell r="I69">
            <v>312</v>
          </cell>
          <cell r="J69">
            <v>312</v>
          </cell>
          <cell r="K69">
            <v>322</v>
          </cell>
          <cell r="L69">
            <v>605.4</v>
          </cell>
          <cell r="M69">
            <v>485.9</v>
          </cell>
          <cell r="N69">
            <v>485.9</v>
          </cell>
          <cell r="O69">
            <v>0</v>
          </cell>
          <cell r="P69">
            <v>1</v>
          </cell>
          <cell r="Q69">
            <v>3</v>
          </cell>
          <cell r="R69">
            <v>3</v>
          </cell>
          <cell r="S69">
            <v>3</v>
          </cell>
          <cell r="U69">
            <v>6.7662799999999992</v>
          </cell>
        </row>
        <row r="70">
          <cell r="A70" t="str">
            <v>BEF. VARIETY</v>
          </cell>
          <cell r="B70">
            <v>0.6875</v>
          </cell>
          <cell r="C70">
            <v>35</v>
          </cell>
          <cell r="D70">
            <v>583.29999999999995</v>
          </cell>
          <cell r="E70">
            <v>676.62799999999993</v>
          </cell>
          <cell r="F70">
            <v>4.1000000000000002E-2</v>
          </cell>
          <cell r="G70">
            <v>7.915166403462595</v>
          </cell>
          <cell r="H70">
            <v>0</v>
          </cell>
          <cell r="I70">
            <v>59.1</v>
          </cell>
          <cell r="J70">
            <v>59.1</v>
          </cell>
          <cell r="K70">
            <v>59.1</v>
          </cell>
          <cell r="L70">
            <v>61.8</v>
          </cell>
          <cell r="M70">
            <v>60.8</v>
          </cell>
          <cell r="N70">
            <v>60.8</v>
          </cell>
          <cell r="O70">
            <v>0</v>
          </cell>
          <cell r="P70">
            <v>4</v>
          </cell>
          <cell r="Q70">
            <v>8</v>
          </cell>
          <cell r="R70">
            <v>7</v>
          </cell>
          <cell r="S70">
            <v>7</v>
          </cell>
          <cell r="U70">
            <v>17.592327999999998</v>
          </cell>
        </row>
        <row r="71">
          <cell r="A71" t="str">
            <v>BEF. ARABIC SEIAL</v>
          </cell>
          <cell r="B71">
            <v>0.76041666666666663</v>
          </cell>
          <cell r="C71">
            <v>35</v>
          </cell>
          <cell r="D71">
            <v>583.29999999999995</v>
          </cell>
          <cell r="E71">
            <v>676.62799999999993</v>
          </cell>
          <cell r="F71">
            <v>2.7E-2</v>
          </cell>
          <cell r="G71">
            <v>12.01932676081357</v>
          </cell>
          <cell r="H71">
            <v>0</v>
          </cell>
          <cell r="I71">
            <v>5.2791878172588831</v>
          </cell>
          <cell r="J71">
            <v>5.2791878172588831</v>
          </cell>
          <cell r="K71">
            <v>5.44839255499154</v>
          </cell>
          <cell r="L71">
            <v>9.7961165048543695</v>
          </cell>
          <cell r="M71">
            <v>7.9917763157894735</v>
          </cell>
          <cell r="N71">
            <v>7.9917763157894735</v>
          </cell>
          <cell r="O71">
            <v>0</v>
          </cell>
          <cell r="P71">
            <v>2</v>
          </cell>
          <cell r="Q71">
            <v>4</v>
          </cell>
          <cell r="R71">
            <v>3</v>
          </cell>
          <cell r="S71">
            <v>3</v>
          </cell>
          <cell r="U71">
            <v>8.1195359999999983</v>
          </cell>
        </row>
        <row r="72">
          <cell r="A72" t="str">
            <v>BEF. VARIETY</v>
          </cell>
          <cell r="B72">
            <v>0.80208333333333337</v>
          </cell>
          <cell r="C72">
            <v>35</v>
          </cell>
          <cell r="D72">
            <v>583.29999999999995</v>
          </cell>
          <cell r="E72">
            <v>676.62799999999993</v>
          </cell>
          <cell r="F72">
            <v>3.4000000000000002E-2</v>
          </cell>
          <cell r="G72">
            <v>9.5447594865284238</v>
          </cell>
          <cell r="P72">
            <v>3</v>
          </cell>
          <cell r="Q72">
            <v>7</v>
          </cell>
          <cell r="R72">
            <v>5</v>
          </cell>
          <cell r="S72">
            <v>5</v>
          </cell>
          <cell r="U72">
            <v>13.532559999999998</v>
          </cell>
        </row>
        <row r="73">
          <cell r="A73" t="str">
            <v>BEF. ARABIC FILM</v>
          </cell>
          <cell r="B73">
            <v>0.875</v>
          </cell>
          <cell r="C73">
            <v>35</v>
          </cell>
          <cell r="D73">
            <v>583.29999999999995</v>
          </cell>
          <cell r="E73">
            <v>676.62799999999993</v>
          </cell>
          <cell r="F73">
            <v>2.4E-2</v>
          </cell>
          <cell r="G73">
            <v>13.521742605915266</v>
          </cell>
          <cell r="I73" t="str">
            <v>DOC 30"</v>
          </cell>
          <cell r="J73" t="str">
            <v>DOC 30"</v>
          </cell>
          <cell r="K73" t="str">
            <v>NTVC 35"</v>
          </cell>
          <cell r="L73" t="str">
            <v>NTVC 35"</v>
          </cell>
          <cell r="M73" t="str">
            <v>NTVC 35"</v>
          </cell>
          <cell r="N73" t="str">
            <v>NTVC 35"</v>
          </cell>
          <cell r="P73">
            <v>3</v>
          </cell>
          <cell r="Q73">
            <v>5</v>
          </cell>
          <cell r="R73">
            <v>4</v>
          </cell>
          <cell r="S73">
            <v>4</v>
          </cell>
          <cell r="U73">
            <v>10.826047999999998</v>
          </cell>
        </row>
        <row r="74">
          <cell r="A74" t="str">
            <v>TOTAL MONTHLY TV SPOTS</v>
          </cell>
          <cell r="B74" t="str">
            <v>COPY ON AIR</v>
          </cell>
          <cell r="C74" t="str">
            <v>AR</v>
          </cell>
          <cell r="D74" t="str">
            <v>AR</v>
          </cell>
          <cell r="H74">
            <v>40</v>
          </cell>
          <cell r="I74">
            <v>82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64</v>
          </cell>
          <cell r="O74">
            <v>64</v>
          </cell>
          <cell r="P74">
            <v>71</v>
          </cell>
          <cell r="Q74">
            <v>143</v>
          </cell>
          <cell r="R74">
            <v>120</v>
          </cell>
          <cell r="S74">
            <v>120</v>
          </cell>
          <cell r="T74">
            <v>0</v>
          </cell>
          <cell r="U74">
            <v>704</v>
          </cell>
        </row>
        <row r="75">
          <cell r="A75" t="str">
            <v>TOTAL MONTHLY EXPENDITURE (US$ M)</v>
          </cell>
          <cell r="H75">
            <v>22.33</v>
          </cell>
          <cell r="I75">
            <v>58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47.617739</v>
          </cell>
          <cell r="O75">
            <v>47.617739</v>
          </cell>
          <cell r="P75">
            <v>48.614149999999995</v>
          </cell>
          <cell r="Q75">
            <v>102.90470199999999</v>
          </cell>
          <cell r="R75">
            <v>83.395880000000005</v>
          </cell>
          <cell r="S75">
            <v>83.395880000000005</v>
          </cell>
          <cell r="T75">
            <v>0</v>
          </cell>
          <cell r="U75">
            <v>493.87608999999998</v>
          </cell>
        </row>
        <row r="76">
          <cell r="A76" t="str">
            <v>TOTAL MONTHLY EXPENDITURE SHARE (%)</v>
          </cell>
          <cell r="C76">
            <v>63.474784973643821</v>
          </cell>
          <cell r="D76">
            <v>117.63056646098909</v>
          </cell>
          <cell r="E76">
            <v>0</v>
          </cell>
          <cell r="F76">
            <v>0</v>
          </cell>
          <cell r="G76">
            <v>0</v>
          </cell>
          <cell r="H76">
            <v>4.5213770117925733</v>
          </cell>
          <cell r="I76">
            <v>11.743836394266424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9.6416368324289614</v>
          </cell>
          <cell r="O76">
            <v>9.6416368324289614</v>
          </cell>
          <cell r="P76">
            <v>9.8433900697642596</v>
          </cell>
          <cell r="Q76">
            <v>20.836137663598979</v>
          </cell>
          <cell r="R76">
            <v>16.885992597859921</v>
          </cell>
          <cell r="S76">
            <v>16.885992597859921</v>
          </cell>
          <cell r="T76">
            <v>0</v>
          </cell>
          <cell r="U76">
            <v>100.00000000000001</v>
          </cell>
        </row>
        <row r="77">
          <cell r="A77" t="str">
            <v>MBC MONTHLY EXPENDITURE (US$M)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12.237738999999999</v>
          </cell>
          <cell r="O77">
            <v>12.237738999999999</v>
          </cell>
          <cell r="P77">
            <v>13.544681999999998</v>
          </cell>
          <cell r="Q77">
            <v>32.765765999999999</v>
          </cell>
          <cell r="R77">
            <v>23.155223999999997</v>
          </cell>
          <cell r="S77">
            <v>23.155223999999997</v>
          </cell>
          <cell r="T77">
            <v>0</v>
          </cell>
          <cell r="U77">
            <v>117.096374</v>
          </cell>
        </row>
        <row r="78">
          <cell r="A78" t="str">
            <v>LBC MONTHLY EXPENDITURE (US$M)</v>
          </cell>
          <cell r="H78">
            <v>7.83</v>
          </cell>
          <cell r="I78">
            <v>27.84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18.559999999999999</v>
          </cell>
          <cell r="O78">
            <v>18.559999999999999</v>
          </cell>
          <cell r="P78">
            <v>14.093999999999999</v>
          </cell>
          <cell r="Q78">
            <v>28.187999999999999</v>
          </cell>
          <cell r="R78">
            <v>25.056000000000001</v>
          </cell>
          <cell r="S78">
            <v>25.056000000000001</v>
          </cell>
          <cell r="T78">
            <v>0</v>
          </cell>
          <cell r="U78">
            <v>165.18400000000003</v>
          </cell>
        </row>
        <row r="79">
          <cell r="A79" t="str">
            <v>FUTURE  MONTHLY EXPENDITURE (US$M)</v>
          </cell>
          <cell r="H79">
            <v>8.6999999999999993</v>
          </cell>
          <cell r="I79">
            <v>17.399999999999999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8.6999999999999993</v>
          </cell>
          <cell r="O79">
            <v>8.6999999999999993</v>
          </cell>
          <cell r="P79">
            <v>11.502675999999999</v>
          </cell>
          <cell r="Q79">
            <v>22.328723999999998</v>
          </cell>
          <cell r="R79">
            <v>18.945583999999997</v>
          </cell>
          <cell r="S79">
            <v>18.945583999999997</v>
          </cell>
          <cell r="T79">
            <v>0</v>
          </cell>
          <cell r="U79">
            <v>115.222568</v>
          </cell>
        </row>
        <row r="80">
          <cell r="A80" t="str">
            <v>ESC  MONTHLY EXPENDITURE (US$M)</v>
          </cell>
          <cell r="H80">
            <v>5.8</v>
          </cell>
          <cell r="I80">
            <v>12.76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8.1199999999999992</v>
          </cell>
          <cell r="O80">
            <v>8.1199999999999992</v>
          </cell>
          <cell r="P80">
            <v>9.4727920000000001</v>
          </cell>
          <cell r="Q80">
            <v>19.622212000000001</v>
          </cell>
          <cell r="R80">
            <v>16.239071999999997</v>
          </cell>
          <cell r="S80">
            <v>16.239071999999997</v>
          </cell>
          <cell r="T80">
            <v>0</v>
          </cell>
          <cell r="U80">
            <v>96.373147999999986</v>
          </cell>
        </row>
        <row r="81">
          <cell r="A81" t="str">
            <v>COPY :</v>
          </cell>
          <cell r="H81" t="str">
            <v>NET RATE STRUCTURE :</v>
          </cell>
        </row>
        <row r="82">
          <cell r="A82" t="str">
            <v/>
          </cell>
          <cell r="H82" t="str">
            <v>MBC NET RATE = GROSS RATE + 15 % POSITION SURCHARGE + 16 % AG FEE + FREE SPOTS DEAL</v>
          </cell>
        </row>
        <row r="83">
          <cell r="H83" t="str">
            <v>DUBAI SATELLITE NET RATE= GROSS RATE - 15 % AG.COMM - 5 % APD + 16 % AG.FEE</v>
          </cell>
        </row>
        <row r="84">
          <cell r="H84" t="str">
            <v>LBC ST NET RATE = DEAL - 15 % AG.COMM + 16 % AG.FEE</v>
          </cell>
        </row>
        <row r="85">
          <cell r="H85" t="str">
            <v>FUTURE SAT NET RATE = GROSS - 15 % AG.COMM + 16 % AG.FEE (+ DEAL)</v>
          </cell>
        </row>
        <row r="86">
          <cell r="H86" t="str">
            <v xml:space="preserve">ZEE TV NET RATE  = GROSS - 15% - 5% APD+ 16%  AG COMM </v>
          </cell>
        </row>
        <row r="87">
          <cell r="G87" t="str">
            <v xml:space="preserve">TARGET AUDIENCE : ARAB HOUSEWIVES  (20-44) MARRIED WITH KIDS </v>
          </cell>
        </row>
      </sheetData>
      <sheetData sheetId="4" refreshError="1">
        <row r="1">
          <cell r="A1" t="str">
            <v>1999 MEDIA PLAN</v>
          </cell>
        </row>
        <row r="3">
          <cell r="A3" t="str">
            <v>MARKET : SAUDI ARABIA</v>
          </cell>
          <cell r="I3" t="str">
            <v>BUDGET :</v>
          </cell>
          <cell r="J3" t="str">
            <v>US$</v>
          </cell>
          <cell r="K3">
            <v>108</v>
          </cell>
          <cell r="L3" t="str">
            <v>M</v>
          </cell>
          <cell r="R3" t="str">
            <v>NUMBER :</v>
          </cell>
          <cell r="T3" t="str">
            <v>CCS / SA / 7</v>
          </cell>
        </row>
        <row r="5">
          <cell r="A5" t="str">
            <v>PRODUCT : KRAFT CREAM CHEESE SPREAD</v>
          </cell>
          <cell r="I5" t="str">
            <v>ACTUAL :</v>
          </cell>
          <cell r="J5" t="str">
            <v>US$</v>
          </cell>
          <cell r="K5">
            <v>107.648</v>
          </cell>
          <cell r="L5" t="str">
            <v>M</v>
          </cell>
          <cell r="R5" t="str">
            <v>DATE :</v>
          </cell>
          <cell r="T5" t="str">
            <v>9.6.1999</v>
          </cell>
        </row>
        <row r="7">
          <cell r="B7" t="str">
            <v>TIME</v>
          </cell>
          <cell r="C7" t="str">
            <v>DUR</v>
          </cell>
          <cell r="D7" t="str">
            <v xml:space="preserve">GROSS </v>
          </cell>
          <cell r="E7" t="str">
            <v>NET</v>
          </cell>
          <cell r="F7" t="str">
            <v>RTNG</v>
          </cell>
          <cell r="G7" t="str">
            <v>CPM</v>
          </cell>
          <cell r="H7" t="str">
            <v>DEC</v>
          </cell>
          <cell r="I7" t="str">
            <v>JAN</v>
          </cell>
          <cell r="J7" t="str">
            <v>FEB</v>
          </cell>
          <cell r="K7" t="str">
            <v>MAR</v>
          </cell>
          <cell r="L7" t="str">
            <v>APR</v>
          </cell>
          <cell r="M7" t="str">
            <v>MAY</v>
          </cell>
          <cell r="N7" t="str">
            <v>JUN</v>
          </cell>
          <cell r="O7" t="str">
            <v>JUL</v>
          </cell>
          <cell r="P7" t="str">
            <v>AUG</v>
          </cell>
          <cell r="Q7" t="str">
            <v>SEP</v>
          </cell>
          <cell r="R7" t="str">
            <v>OCT</v>
          </cell>
          <cell r="S7" t="str">
            <v>NOV</v>
          </cell>
          <cell r="T7" t="str">
            <v>DEC</v>
          </cell>
          <cell r="U7" t="str">
            <v>FISCAL</v>
          </cell>
        </row>
        <row r="8">
          <cell r="A8" t="str">
            <v>TIME SEGMENT</v>
          </cell>
          <cell r="B8" t="str">
            <v>(HRS)</v>
          </cell>
          <cell r="C8" t="str">
            <v>(SEC)</v>
          </cell>
          <cell r="D8" t="str">
            <v>(SR)</v>
          </cell>
          <cell r="E8" t="str">
            <v>(SR)</v>
          </cell>
          <cell r="F8" t="str">
            <v>%</v>
          </cell>
          <cell r="G8" t="str">
            <v>(SR)</v>
          </cell>
          <cell r="H8">
            <v>98</v>
          </cell>
          <cell r="I8">
            <v>99</v>
          </cell>
          <cell r="J8">
            <v>99</v>
          </cell>
          <cell r="K8">
            <v>99</v>
          </cell>
          <cell r="L8">
            <v>99</v>
          </cell>
          <cell r="M8">
            <v>99</v>
          </cell>
          <cell r="N8">
            <v>99</v>
          </cell>
          <cell r="O8">
            <v>99</v>
          </cell>
          <cell r="P8">
            <v>99</v>
          </cell>
          <cell r="Q8">
            <v>99</v>
          </cell>
          <cell r="R8">
            <v>99</v>
          </cell>
          <cell r="S8">
            <v>99</v>
          </cell>
          <cell r="T8">
            <v>99</v>
          </cell>
          <cell r="U8" t="str">
            <v>TOTAL</v>
          </cell>
        </row>
        <row r="9">
          <cell r="A9" t="str">
            <v>WEEKS ON AIR</v>
          </cell>
          <cell r="H9">
            <v>34</v>
          </cell>
          <cell r="I9">
            <v>1234</v>
          </cell>
          <cell r="N9">
            <v>1234</v>
          </cell>
          <cell r="O9">
            <v>1234</v>
          </cell>
          <cell r="P9">
            <v>34</v>
          </cell>
          <cell r="Q9">
            <v>1234</v>
          </cell>
          <cell r="R9">
            <v>1234</v>
          </cell>
          <cell r="S9">
            <v>1234</v>
          </cell>
          <cell r="U9">
            <v>31</v>
          </cell>
        </row>
        <row r="11">
          <cell r="A11" t="str">
            <v>SA AR CH 1</v>
          </cell>
        </row>
        <row r="12">
          <cell r="A12" t="str">
            <v>BEF. WOMEN'S WORLD</v>
          </cell>
          <cell r="B12">
            <v>0.45833333333333331</v>
          </cell>
          <cell r="C12">
            <v>35</v>
          </cell>
          <cell r="D12">
            <v>4000</v>
          </cell>
          <cell r="E12">
            <v>4640</v>
          </cell>
          <cell r="F12">
            <v>5.6000000000000001E-2</v>
          </cell>
          <cell r="G12">
            <v>39.739636861939019</v>
          </cell>
          <cell r="H12">
            <v>1</v>
          </cell>
          <cell r="I12">
            <v>2</v>
          </cell>
          <cell r="N12">
            <v>1</v>
          </cell>
          <cell r="O12">
            <v>1</v>
          </cell>
          <cell r="P12">
            <v>1</v>
          </cell>
          <cell r="Q12">
            <v>3</v>
          </cell>
          <cell r="R12">
            <v>2</v>
          </cell>
          <cell r="S12">
            <v>2</v>
          </cell>
          <cell r="U12">
            <v>16.087343999999998</v>
          </cell>
        </row>
        <row r="13">
          <cell r="A13" t="str">
            <v>BEF. MORNING SERIAL</v>
          </cell>
          <cell r="B13">
            <v>0.51041666666666663</v>
          </cell>
          <cell r="C13">
            <v>35</v>
          </cell>
          <cell r="D13">
            <v>4000</v>
          </cell>
          <cell r="E13">
            <v>4640</v>
          </cell>
          <cell r="F13">
            <v>5.0999999999999997E-2</v>
          </cell>
          <cell r="G13">
            <v>43.635679691540886</v>
          </cell>
          <cell r="H13">
            <v>1</v>
          </cell>
          <cell r="I13">
            <v>2</v>
          </cell>
          <cell r="N13">
            <v>1</v>
          </cell>
          <cell r="O13">
            <v>1</v>
          </cell>
          <cell r="P13">
            <v>1</v>
          </cell>
          <cell r="Q13">
            <v>2</v>
          </cell>
          <cell r="R13">
            <v>2</v>
          </cell>
          <cell r="S13">
            <v>2</v>
          </cell>
          <cell r="U13">
            <v>14.849855999999999</v>
          </cell>
        </row>
        <row r="14">
          <cell r="A14" t="str">
            <v>BEF. VARIETY PROGRAM</v>
          </cell>
          <cell r="B14">
            <v>0.79166666666666663</v>
          </cell>
          <cell r="C14">
            <v>35</v>
          </cell>
          <cell r="D14">
            <v>8000</v>
          </cell>
          <cell r="E14">
            <v>9280</v>
          </cell>
          <cell r="F14">
            <v>6.5000000000000002E-2</v>
          </cell>
          <cell r="G14">
            <v>68.474451208264156</v>
          </cell>
          <cell r="I14">
            <v>1</v>
          </cell>
          <cell r="U14">
            <v>2.4749759999999998</v>
          </cell>
        </row>
        <row r="15">
          <cell r="A15" t="str">
            <v>BEF. MAIN NEWS</v>
          </cell>
          <cell r="B15">
            <v>0.89583333333333337</v>
          </cell>
          <cell r="C15">
            <v>35</v>
          </cell>
          <cell r="D15">
            <v>12000</v>
          </cell>
          <cell r="E15">
            <v>13919.999999999998</v>
          </cell>
          <cell r="F15">
            <v>0.109</v>
          </cell>
          <cell r="G15">
            <v>61.250082502805093</v>
          </cell>
          <cell r="I15">
            <v>1</v>
          </cell>
          <cell r="N15">
            <v>1</v>
          </cell>
          <cell r="O15">
            <v>1</v>
          </cell>
          <cell r="P15">
            <v>1</v>
          </cell>
          <cell r="Q15">
            <v>2</v>
          </cell>
          <cell r="R15">
            <v>2</v>
          </cell>
          <cell r="S15">
            <v>2</v>
          </cell>
          <cell r="U15">
            <v>37.124639999999985</v>
          </cell>
        </row>
        <row r="16">
          <cell r="A16" t="str">
            <v>BEF. ARABIC SERIAL</v>
          </cell>
          <cell r="B16">
            <v>0.92708333333333337</v>
          </cell>
          <cell r="C16">
            <v>35</v>
          </cell>
          <cell r="D16">
            <v>12000</v>
          </cell>
          <cell r="E16">
            <v>13919.999999999998</v>
          </cell>
          <cell r="F16">
            <v>0.121</v>
          </cell>
          <cell r="G16">
            <v>55.175694155419457</v>
          </cell>
          <cell r="H16">
            <v>1</v>
          </cell>
          <cell r="I16">
            <v>1</v>
          </cell>
          <cell r="N16">
            <v>1</v>
          </cell>
          <cell r="O16">
            <v>1</v>
          </cell>
          <cell r="P16">
            <v>1</v>
          </cell>
          <cell r="Q16">
            <v>1</v>
          </cell>
          <cell r="R16">
            <v>1</v>
          </cell>
          <cell r="S16">
            <v>1</v>
          </cell>
          <cell r="U16">
            <v>29.699711999999995</v>
          </cell>
        </row>
        <row r="17">
          <cell r="A17" t="str">
            <v>BEF. VARIETY PROGRAM</v>
          </cell>
          <cell r="B17">
            <v>0.98958333333333337</v>
          </cell>
          <cell r="C17">
            <v>35</v>
          </cell>
          <cell r="D17">
            <v>12000</v>
          </cell>
          <cell r="E17">
            <v>13919.999999999998</v>
          </cell>
          <cell r="F17">
            <v>9.0999999999999998E-2</v>
          </cell>
          <cell r="G17">
            <v>73.36548343742588</v>
          </cell>
          <cell r="H17">
            <v>1</v>
          </cell>
          <cell r="I17">
            <v>1</v>
          </cell>
          <cell r="U17">
            <v>7.4249279999999986</v>
          </cell>
        </row>
        <row r="19">
          <cell r="A19" t="str">
            <v>TOTAL MONTHLY SPOTS</v>
          </cell>
          <cell r="H19">
            <v>4</v>
          </cell>
          <cell r="I19">
            <v>8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4</v>
          </cell>
          <cell r="O19">
            <v>4</v>
          </cell>
          <cell r="P19">
            <v>4</v>
          </cell>
          <cell r="Q19">
            <v>8</v>
          </cell>
          <cell r="R19">
            <v>7</v>
          </cell>
          <cell r="S19">
            <v>7</v>
          </cell>
          <cell r="T19">
            <v>0</v>
          </cell>
          <cell r="U19">
            <v>46</v>
          </cell>
        </row>
        <row r="20">
          <cell r="A20" t="str">
            <v>TOTAL MONTHLY EXPENDITURE (SR M)</v>
          </cell>
          <cell r="H20">
            <v>37.119999999999997</v>
          </cell>
          <cell r="I20">
            <v>69.599999999999994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37.119999999999997</v>
          </cell>
          <cell r="O20">
            <v>37.119999999999997</v>
          </cell>
          <cell r="P20">
            <v>37.119999999999997</v>
          </cell>
          <cell r="Q20">
            <v>64.959999999999994</v>
          </cell>
          <cell r="R20">
            <v>60.32</v>
          </cell>
          <cell r="S20">
            <v>60.32</v>
          </cell>
          <cell r="T20">
            <v>0</v>
          </cell>
          <cell r="U20">
            <v>403.68</v>
          </cell>
        </row>
        <row r="21">
          <cell r="A21" t="str">
            <v>TOTAL MONTHLY EXPENDITURE (US$ M)</v>
          </cell>
          <cell r="H21">
            <v>9.8999039999999994</v>
          </cell>
          <cell r="I21">
            <v>18.56232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9.8999039999999994</v>
          </cell>
          <cell r="O21">
            <v>9.8999039999999994</v>
          </cell>
          <cell r="P21">
            <v>9.8999039999999994</v>
          </cell>
          <cell r="Q21">
            <v>17.324831999999997</v>
          </cell>
          <cell r="R21">
            <v>16.087343999999998</v>
          </cell>
          <cell r="S21">
            <v>16.087343999999998</v>
          </cell>
          <cell r="T21">
            <v>0</v>
          </cell>
          <cell r="U21">
            <v>107.648</v>
          </cell>
        </row>
        <row r="22">
          <cell r="A22" t="str">
            <v>TOTAL MONTHLY EXPENDITURE SHARE (%)</v>
          </cell>
          <cell r="H22">
            <v>9.1965517241379295</v>
          </cell>
          <cell r="I22">
            <v>17.243534482758623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9.1965517241379295</v>
          </cell>
          <cell r="O22">
            <v>9.1965517241379295</v>
          </cell>
          <cell r="P22">
            <v>9.1965517241379295</v>
          </cell>
          <cell r="Q22">
            <v>16.093965517241376</v>
          </cell>
          <cell r="R22">
            <v>14.944396551724138</v>
          </cell>
          <cell r="S22">
            <v>14.944396551724138</v>
          </cell>
          <cell r="T22">
            <v>0</v>
          </cell>
          <cell r="U22">
            <v>100.0125</v>
          </cell>
        </row>
        <row r="23">
          <cell r="A23" t="str">
            <v>PLAN PERFORMANCE APRIL 98 INDEX</v>
          </cell>
          <cell r="F23" t="str">
            <v>GRP</v>
          </cell>
          <cell r="H23">
            <v>235</v>
          </cell>
          <cell r="I23">
            <v>384</v>
          </cell>
          <cell r="N23">
            <v>450</v>
          </cell>
          <cell r="O23">
            <v>450</v>
          </cell>
          <cell r="P23">
            <v>475</v>
          </cell>
          <cell r="Q23">
            <v>853</v>
          </cell>
          <cell r="R23">
            <v>675</v>
          </cell>
          <cell r="S23">
            <v>675</v>
          </cell>
          <cell r="U23">
            <v>4197</v>
          </cell>
        </row>
        <row r="24">
          <cell r="F24" t="str">
            <v>REACH %</v>
          </cell>
          <cell r="H24">
            <v>68.5</v>
          </cell>
          <cell r="I24">
            <v>70.099999999999994</v>
          </cell>
          <cell r="N24">
            <v>73.900000000000006</v>
          </cell>
          <cell r="O24">
            <v>73.900000000000006</v>
          </cell>
          <cell r="P24">
            <v>73.900000000000006</v>
          </cell>
          <cell r="Q24">
            <v>74.900000000000006</v>
          </cell>
          <cell r="R24">
            <v>73.900000000000006</v>
          </cell>
          <cell r="S24">
            <v>73.900000000000006</v>
          </cell>
        </row>
        <row r="25">
          <cell r="F25" t="str">
            <v>FREQUENCY</v>
          </cell>
          <cell r="H25">
            <v>3.4306569343065694</v>
          </cell>
          <cell r="I25">
            <v>5.4778887303851649</v>
          </cell>
          <cell r="N25">
            <v>6.0893098782138022</v>
          </cell>
          <cell r="O25">
            <v>6.0893098782138022</v>
          </cell>
          <cell r="P25">
            <v>6.4276048714479019</v>
          </cell>
          <cell r="Q25">
            <v>11.388518024032042</v>
          </cell>
          <cell r="R25">
            <v>9.1339648173207024</v>
          </cell>
          <cell r="S25">
            <v>9.1339648173207024</v>
          </cell>
        </row>
        <row r="26">
          <cell r="A26" t="str">
            <v>COPY :</v>
          </cell>
          <cell r="I26" t="str">
            <v>RATE STRUCTURE :</v>
          </cell>
        </row>
        <row r="27">
          <cell r="I27" t="str">
            <v>SA TV NET = GROSS + 16 % AGENCY FEE</v>
          </cell>
        </row>
        <row r="31">
          <cell r="A31" t="str">
            <v>EXCHANGE RATE : US$ 1 = S.R. 3.75</v>
          </cell>
          <cell r="I31" t="str">
            <v xml:space="preserve">TARGET AUDIENCE : ARAB HOUSEWIVES  (20-44) MARRIED WITH KIDS 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cement"/>
      <sheetName val="Sites"/>
    </sheetNames>
    <sheetDataSet>
      <sheetData sheetId="0" refreshError="1"/>
      <sheetData sheetId="1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cro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PG"/>
      <sheetName val="SAD"/>
      <sheetName val="CCS"/>
      <sheetName val="ntv-fiyat"/>
      <sheetName val="SUPER"/>
      <sheetName val="New Prod"/>
      <sheetName val="TOPLAM KANAL KIRILIMI-GRP'S (2)"/>
      <sheetName val="Köprü"/>
      <sheetName val="TOPLAM_KANAL_KIRILIMI-GRP'S_(2)"/>
      <sheetName val="New_Prod"/>
      <sheetName val="Media Schedule"/>
      <sheetName val="Kur"/>
      <sheetName val="JUL"/>
      <sheetName val="rendelés melléklet"/>
      <sheetName val="Kategoriler"/>
      <sheetName val="SUPER.XLS"/>
    </sheetNames>
    <sheetDataSet>
      <sheetData sheetId="0">
        <row r="1">
          <cell r="A1" t="str">
            <v>Plansil</v>
          </cell>
        </row>
      </sheetData>
      <sheetData sheetId="1" refreshError="1">
        <row r="1">
          <cell r="A1" t="str">
            <v>Plansil</v>
          </cell>
        </row>
      </sheetData>
      <sheetData sheetId="2">
        <row r="1">
          <cell r="A1" t="str">
            <v>Plansil</v>
          </cell>
        </row>
      </sheetData>
      <sheetData sheetId="3">
        <row r="1">
          <cell r="A1" t="str">
            <v>Plansil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PG"/>
      <sheetName val="SAD"/>
      <sheetName val="CCS"/>
      <sheetName val="Macro1"/>
      <sheetName val="KAN7-REZ"/>
      <sheetName val="ntv-fiyat"/>
      <sheetName val="Köprü"/>
      <sheetName val="DIALOGHI"/>
      <sheetName val="Copies"/>
      <sheetName val="DIALOGHI.XLS"/>
      <sheetName val="JUL"/>
      <sheetName val="Cine 5"/>
      <sheetName val="rendelés melléklet"/>
      <sheetName val="Combined Model"/>
      <sheetName val="Placement"/>
      <sheetName val="Sites"/>
      <sheetName val="tanıml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"/>
      <sheetName val="PAE"/>
      <sheetName val="EUR"/>
      <sheetName val="CKD"/>
      <sheetName val="RAT.EU"/>
      <sheetName val="LYNOVA"/>
      <sheetName val="CAPA"/>
      <sheetName val="RESUMOPO"/>
      <sheetName val="VDIR.TOT"/>
      <sheetName val="VDIR.FRO"/>
      <sheetName val="VDIR.GOV"/>
      <sheetName val="VDIR.FUN"/>
      <sheetName val="VDIR.OUT"/>
      <sheetName val="POM"/>
      <sheetName val="POVT"/>
      <sheetName val="POE"/>
      <sheetName val="POF"/>
      <sheetName val="POG"/>
      <sheetName val="POI"/>
      <sheetName val="POO"/>
      <sheetName val="POV"/>
      <sheetName val="GRAFICO"/>
      <sheetName val="Base"/>
      <sheetName val="Foglio1"/>
      <sheetName val="Macro1"/>
      <sheetName val="3Q01 Unadjusted Fcst"/>
      <sheetName val="rendelés melléklet"/>
      <sheetName val="plan-gaz1"/>
      <sheetName val="PG"/>
      <sheetName val="SAD"/>
      <sheetName val="CCS"/>
      <sheetName val="JUL"/>
      <sheetName val="Köprü"/>
      <sheetName val="plan-der"/>
    </sheetNames>
    <sheetDataSet>
      <sheetData sheetId="0" refreshError="1"/>
      <sheetData sheetId="1" refreshError="1"/>
      <sheetData sheetId="2" refreshError="1"/>
      <sheetData sheetId="3" refreshError="1">
        <row r="1">
          <cell r="B1" t="str">
            <v>FIAT  AUTOMOVEIS  S.A.</v>
          </cell>
          <cell r="D1" t="str">
            <v>FORECAST 2 + 10 ANO 1999    -        C K D</v>
          </cell>
          <cell r="Y1">
            <v>36248.60455729167</v>
          </cell>
        </row>
        <row r="2">
          <cell r="B2" t="str">
            <v>PLANEJAMENTO  E  CONTROLE</v>
          </cell>
          <cell r="Y2">
            <v>36248.60455729167</v>
          </cell>
        </row>
        <row r="4">
          <cell r="D4" t="str">
            <v>ESTOQ</v>
          </cell>
          <cell r="F4" t="str">
            <v>JANEIRO</v>
          </cell>
          <cell r="I4" t="str">
            <v>FEVEREIRO</v>
          </cell>
          <cell r="L4" t="str">
            <v>MARÇO</v>
          </cell>
          <cell r="O4" t="str">
            <v>ABRIL</v>
          </cell>
          <cell r="R4" t="str">
            <v>MAIO</v>
          </cell>
          <cell r="U4" t="str">
            <v>JUNHO</v>
          </cell>
          <cell r="X4" t="str">
            <v>JULHO</v>
          </cell>
        </row>
        <row r="5">
          <cell r="B5" t="str">
            <v>DESCRIÇÃO</v>
          </cell>
          <cell r="C5" t="str">
            <v>LY</v>
          </cell>
          <cell r="D5">
            <v>36160</v>
          </cell>
          <cell r="E5" t="str">
            <v>MONT.</v>
          </cell>
          <cell r="F5" t="str">
            <v>FATUR</v>
          </cell>
          <cell r="G5" t="str">
            <v>ESTOQ</v>
          </cell>
          <cell r="H5" t="str">
            <v>MONT.</v>
          </cell>
          <cell r="I5" t="str">
            <v>FATUR</v>
          </cell>
          <cell r="J5" t="str">
            <v>ESTOQ</v>
          </cell>
          <cell r="K5" t="str">
            <v>MONT.</v>
          </cell>
          <cell r="L5" t="str">
            <v>FATUR</v>
          </cell>
          <cell r="M5" t="str">
            <v>ESTOQ</v>
          </cell>
          <cell r="N5" t="str">
            <v>MONT.</v>
          </cell>
          <cell r="O5" t="str">
            <v>FATUR</v>
          </cell>
          <cell r="P5" t="str">
            <v>ESTOQ</v>
          </cell>
          <cell r="Q5" t="str">
            <v>MONT.</v>
          </cell>
          <cell r="R5" t="str">
            <v>FATUR</v>
          </cell>
          <cell r="S5" t="str">
            <v>ESTOQ</v>
          </cell>
          <cell r="T5" t="str">
            <v>MONT.</v>
          </cell>
          <cell r="U5" t="str">
            <v>FATUR</v>
          </cell>
          <cell r="V5" t="str">
            <v>ESTOQ</v>
          </cell>
          <cell r="W5" t="str">
            <v>MONT.</v>
          </cell>
          <cell r="X5" t="str">
            <v>FATUR</v>
          </cell>
          <cell r="Y5" t="str">
            <v>ESTOQ</v>
          </cell>
        </row>
        <row r="6">
          <cell r="B6" t="str">
            <v>PEÇA A PEÇA ARGENTINA</v>
          </cell>
          <cell r="C6">
            <v>175</v>
          </cell>
          <cell r="D6">
            <v>0</v>
          </cell>
          <cell r="G6">
            <v>0</v>
          </cell>
          <cell r="J6">
            <v>0</v>
          </cell>
          <cell r="M6">
            <v>0</v>
          </cell>
          <cell r="P6">
            <v>0</v>
          </cell>
          <cell r="S6">
            <v>0</v>
          </cell>
          <cell r="V6">
            <v>0</v>
          </cell>
          <cell r="Y6">
            <v>0</v>
          </cell>
        </row>
        <row r="7">
          <cell r="B7" t="str">
            <v>PEÇA A PEÇA POLONIA</v>
          </cell>
          <cell r="C7">
            <v>176</v>
          </cell>
          <cell r="D7">
            <v>0</v>
          </cell>
          <cell r="G7">
            <v>0</v>
          </cell>
          <cell r="J7">
            <v>0</v>
          </cell>
          <cell r="M7">
            <v>0</v>
          </cell>
          <cell r="P7">
            <v>0</v>
          </cell>
          <cell r="S7">
            <v>0</v>
          </cell>
          <cell r="V7">
            <v>0</v>
          </cell>
          <cell r="Y7">
            <v>0</v>
          </cell>
        </row>
        <row r="8">
          <cell r="B8" t="str">
            <v>PEÇA A PEÇA TURQUIA</v>
          </cell>
          <cell r="C8">
            <v>177</v>
          </cell>
          <cell r="D8">
            <v>0</v>
          </cell>
          <cell r="G8">
            <v>0</v>
          </cell>
          <cell r="J8">
            <v>0</v>
          </cell>
          <cell r="M8">
            <v>0</v>
          </cell>
          <cell r="P8">
            <v>0</v>
          </cell>
          <cell r="S8">
            <v>0</v>
          </cell>
          <cell r="V8">
            <v>0</v>
          </cell>
          <cell r="Y8">
            <v>0</v>
          </cell>
        </row>
        <row r="9">
          <cell r="B9" t="str">
            <v>CKD INDIA</v>
          </cell>
          <cell r="C9">
            <v>178</v>
          </cell>
          <cell r="D9">
            <v>0</v>
          </cell>
          <cell r="E9">
            <v>336</v>
          </cell>
          <cell r="F9">
            <v>336</v>
          </cell>
          <cell r="G9">
            <v>0</v>
          </cell>
          <cell r="H9">
            <v>72</v>
          </cell>
          <cell r="I9">
            <v>72</v>
          </cell>
          <cell r="J9">
            <v>0</v>
          </cell>
          <cell r="M9">
            <v>0</v>
          </cell>
          <cell r="P9">
            <v>0</v>
          </cell>
          <cell r="S9">
            <v>0</v>
          </cell>
          <cell r="V9">
            <v>0</v>
          </cell>
          <cell r="Y9">
            <v>0</v>
          </cell>
        </row>
        <row r="10">
          <cell r="B10" t="str">
            <v>CKD  AFRICA</v>
          </cell>
          <cell r="C10">
            <v>179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M10">
            <v>0</v>
          </cell>
          <cell r="P10">
            <v>0</v>
          </cell>
          <cell r="S10">
            <v>0</v>
          </cell>
          <cell r="V10">
            <v>0</v>
          </cell>
          <cell r="Y10">
            <v>0</v>
          </cell>
        </row>
        <row r="11">
          <cell r="B11" t="str">
            <v>CKD PALIO PACK 5P 1.1</v>
          </cell>
          <cell r="C11">
            <v>185</v>
          </cell>
          <cell r="D11">
            <v>96</v>
          </cell>
          <cell r="E11">
            <v>192</v>
          </cell>
          <cell r="F11">
            <v>288</v>
          </cell>
          <cell r="G11">
            <v>0</v>
          </cell>
          <cell r="H11">
            <v>192</v>
          </cell>
          <cell r="I11">
            <v>192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Y11">
            <v>0</v>
          </cell>
        </row>
        <row r="12">
          <cell r="B12" t="str">
            <v>PALIO FIASA 1.1</v>
          </cell>
          <cell r="C12">
            <v>186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96</v>
          </cell>
          <cell r="I12">
            <v>0</v>
          </cell>
          <cell r="J12">
            <v>96</v>
          </cell>
          <cell r="M12">
            <v>96</v>
          </cell>
          <cell r="P12">
            <v>96</v>
          </cell>
          <cell r="S12">
            <v>96</v>
          </cell>
          <cell r="V12">
            <v>96</v>
          </cell>
          <cell r="Y12">
            <v>96</v>
          </cell>
        </row>
        <row r="13">
          <cell r="B13" t="str">
            <v>PALIO FIASA 1.7 DS</v>
          </cell>
          <cell r="C13">
            <v>187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B14" t="str">
            <v>PALIO PACK 1.7 5P</v>
          </cell>
          <cell r="C14">
            <v>188</v>
          </cell>
          <cell r="D14">
            <v>0</v>
          </cell>
          <cell r="E14">
            <v>96</v>
          </cell>
          <cell r="F14">
            <v>96</v>
          </cell>
          <cell r="G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B15" t="str">
            <v>PALIO PACK 5P 1.7 CD</v>
          </cell>
          <cell r="C15">
            <v>189</v>
          </cell>
          <cell r="D15">
            <v>0</v>
          </cell>
          <cell r="E15">
            <v>96</v>
          </cell>
          <cell r="F15">
            <v>96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</row>
        <row r="16">
          <cell r="B16" t="str">
            <v>SIENA PACK 1697</v>
          </cell>
          <cell r="C16">
            <v>190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B17" t="str">
            <v>PALIO BASE 5P 1.1</v>
          </cell>
          <cell r="C17">
            <v>191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B18" t="str">
            <v>SIENA BASE 1.7</v>
          </cell>
          <cell r="C18">
            <v>192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B19" t="str">
            <v>TOTAL  CKD  MARROCOS</v>
          </cell>
          <cell r="D19">
            <v>96</v>
          </cell>
          <cell r="E19">
            <v>384</v>
          </cell>
          <cell r="F19">
            <v>480</v>
          </cell>
          <cell r="G19">
            <v>0</v>
          </cell>
          <cell r="H19">
            <v>288</v>
          </cell>
          <cell r="I19">
            <v>192</v>
          </cell>
          <cell r="J19">
            <v>96</v>
          </cell>
          <cell r="K19">
            <v>0</v>
          </cell>
          <cell r="L19">
            <v>0</v>
          </cell>
          <cell r="M19">
            <v>96</v>
          </cell>
          <cell r="N19">
            <v>0</v>
          </cell>
          <cell r="O19">
            <v>0</v>
          </cell>
          <cell r="P19">
            <v>96</v>
          </cell>
          <cell r="Q19">
            <v>0</v>
          </cell>
          <cell r="R19">
            <v>0</v>
          </cell>
          <cell r="S19">
            <v>96</v>
          </cell>
          <cell r="T19">
            <v>0</v>
          </cell>
          <cell r="U19">
            <v>0</v>
          </cell>
          <cell r="V19">
            <v>96</v>
          </cell>
          <cell r="W19">
            <v>0</v>
          </cell>
          <cell r="X19">
            <v>0</v>
          </cell>
          <cell r="Y19">
            <v>96</v>
          </cell>
        </row>
        <row r="20">
          <cell r="B20" t="str">
            <v>UNO BASE 1.3 5P</v>
          </cell>
          <cell r="C20">
            <v>193</v>
          </cell>
          <cell r="D20">
            <v>0</v>
          </cell>
          <cell r="E20">
            <v>96</v>
          </cell>
          <cell r="F20">
            <v>96</v>
          </cell>
          <cell r="G20">
            <v>0</v>
          </cell>
          <cell r="H20">
            <v>96</v>
          </cell>
          <cell r="I20">
            <v>96</v>
          </cell>
          <cell r="J20">
            <v>0</v>
          </cell>
          <cell r="K20">
            <v>24</v>
          </cell>
          <cell r="L20">
            <v>24</v>
          </cell>
          <cell r="M20">
            <v>0</v>
          </cell>
          <cell r="N20">
            <v>120</v>
          </cell>
          <cell r="O20">
            <v>120</v>
          </cell>
          <cell r="P20">
            <v>0</v>
          </cell>
          <cell r="Q20">
            <v>144</v>
          </cell>
          <cell r="R20">
            <v>96</v>
          </cell>
          <cell r="S20">
            <v>48</v>
          </cell>
          <cell r="T20">
            <v>96</v>
          </cell>
          <cell r="U20">
            <v>96</v>
          </cell>
          <cell r="V20">
            <v>48</v>
          </cell>
          <cell r="W20">
            <v>168</v>
          </cell>
          <cell r="X20">
            <v>168</v>
          </cell>
          <cell r="Y20">
            <v>48</v>
          </cell>
        </row>
        <row r="21">
          <cell r="B21" t="str">
            <v>UNO SX 1.3 3P A/C</v>
          </cell>
          <cell r="C21">
            <v>194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  <cell r="I21">
            <v>24</v>
          </cell>
          <cell r="J21">
            <v>0</v>
          </cell>
          <cell r="K21">
            <v>48</v>
          </cell>
          <cell r="L21">
            <v>48</v>
          </cell>
          <cell r="M21">
            <v>0</v>
          </cell>
          <cell r="N21">
            <v>48</v>
          </cell>
          <cell r="O21">
            <v>48</v>
          </cell>
          <cell r="P21">
            <v>0</v>
          </cell>
          <cell r="Q21">
            <v>24</v>
          </cell>
          <cell r="R21">
            <v>24</v>
          </cell>
          <cell r="S21">
            <v>0</v>
          </cell>
          <cell r="T21">
            <v>48</v>
          </cell>
          <cell r="U21">
            <v>24</v>
          </cell>
          <cell r="V21">
            <v>24</v>
          </cell>
          <cell r="W21">
            <v>24</v>
          </cell>
          <cell r="X21">
            <v>48</v>
          </cell>
          <cell r="Y21">
            <v>0</v>
          </cell>
        </row>
        <row r="22">
          <cell r="B22" t="str">
            <v>SIENA LUX 1.6 SPI</v>
          </cell>
          <cell r="C22">
            <v>195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96</v>
          </cell>
          <cell r="I22">
            <v>96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B23" t="str">
            <v>TOTAL  CKD  VENEZUELA</v>
          </cell>
          <cell r="D23">
            <v>0</v>
          </cell>
          <cell r="E23">
            <v>96</v>
          </cell>
          <cell r="F23">
            <v>96</v>
          </cell>
          <cell r="G23">
            <v>0</v>
          </cell>
          <cell r="H23">
            <v>216</v>
          </cell>
          <cell r="I23">
            <v>216</v>
          </cell>
          <cell r="J23">
            <v>0</v>
          </cell>
          <cell r="K23">
            <v>72</v>
          </cell>
          <cell r="L23">
            <v>72</v>
          </cell>
          <cell r="M23">
            <v>0</v>
          </cell>
          <cell r="N23">
            <v>168</v>
          </cell>
          <cell r="O23">
            <v>168</v>
          </cell>
          <cell r="P23">
            <v>0</v>
          </cell>
          <cell r="Q23">
            <v>168</v>
          </cell>
          <cell r="R23">
            <v>120</v>
          </cell>
          <cell r="S23">
            <v>48</v>
          </cell>
          <cell r="T23">
            <v>144</v>
          </cell>
          <cell r="U23">
            <v>120</v>
          </cell>
          <cell r="V23">
            <v>72</v>
          </cell>
          <cell r="W23">
            <v>192</v>
          </cell>
          <cell r="X23">
            <v>216</v>
          </cell>
          <cell r="Y23">
            <v>48</v>
          </cell>
        </row>
        <row r="24">
          <cell r="B24" t="str">
            <v xml:space="preserve">TOTAL GERAL CKD </v>
          </cell>
          <cell r="C24" t="str">
            <v>-</v>
          </cell>
          <cell r="D24">
            <v>96</v>
          </cell>
          <cell r="E24">
            <v>816</v>
          </cell>
          <cell r="F24">
            <v>912</v>
          </cell>
          <cell r="G24">
            <v>0</v>
          </cell>
          <cell r="H24">
            <v>576</v>
          </cell>
          <cell r="I24">
            <v>480</v>
          </cell>
          <cell r="J24">
            <v>96</v>
          </cell>
          <cell r="K24">
            <v>72</v>
          </cell>
          <cell r="L24">
            <v>72</v>
          </cell>
          <cell r="M24">
            <v>96</v>
          </cell>
          <cell r="N24">
            <v>168</v>
          </cell>
          <cell r="O24">
            <v>168</v>
          </cell>
          <cell r="P24">
            <v>96</v>
          </cell>
          <cell r="Q24">
            <v>168</v>
          </cell>
          <cell r="R24">
            <v>120</v>
          </cell>
          <cell r="S24">
            <v>144</v>
          </cell>
          <cell r="T24">
            <v>144</v>
          </cell>
          <cell r="U24">
            <v>120</v>
          </cell>
          <cell r="V24">
            <v>168</v>
          </cell>
          <cell r="W24">
            <v>192</v>
          </cell>
          <cell r="X24">
            <v>216</v>
          </cell>
          <cell r="Y24">
            <v>144</v>
          </cell>
        </row>
        <row r="25">
          <cell r="B25" t="str">
            <v>MOTOR 1.0 MPI ARGENTINA</v>
          </cell>
          <cell r="C25">
            <v>209</v>
          </cell>
          <cell r="D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694</v>
          </cell>
          <cell r="U25">
            <v>694</v>
          </cell>
          <cell r="V25">
            <v>0</v>
          </cell>
          <cell r="W25">
            <v>721</v>
          </cell>
          <cell r="X25">
            <v>721</v>
          </cell>
          <cell r="Y25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uMe"/>
    </sheetNames>
    <sheetDataSet>
      <sheetData sheetId="0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zzi volumi Agosto"/>
      <sheetName val="sintesi"/>
      <sheetName val="Sintesi a+1"/>
      <sheetName val="dati"/>
      <sheetName val="dati a+1"/>
      <sheetName val="Competitività"/>
      <sheetName val="H.1 ing"/>
      <sheetName val="Basket"/>
      <sheetName val="Evo_Vendite"/>
      <sheetName val="Volumi tot"/>
      <sheetName val="Köprü"/>
      <sheetName val="CKD"/>
      <sheetName val="Base"/>
      <sheetName val="Macro1"/>
      <sheetName val="TRT FM"/>
    </sheetNames>
    <sheetDataSet>
      <sheetData sheetId="0" refreshError="1">
        <row r="1">
          <cell r="A1" t="str">
            <v>modello</v>
          </cell>
          <cell r="B1" t="str">
            <v>Segment</v>
          </cell>
          <cell r="C1" t="str">
            <v>import</v>
          </cell>
          <cell r="D1" t="str">
            <v>volume</v>
          </cell>
          <cell r="E1" t="str">
            <v>prezzo</v>
          </cell>
          <cell r="F1" t="str">
            <v>Segment %</v>
          </cell>
          <cell r="G1" t="str">
            <v>totale %</v>
          </cell>
        </row>
        <row r="2">
          <cell r="A2" t="str">
            <v>SZK ALTO GL MARUTI</v>
          </cell>
          <cell r="B2" t="str">
            <v>A</v>
          </cell>
          <cell r="C2" t="str">
            <v>Evet</v>
          </cell>
          <cell r="D2">
            <v>37</v>
          </cell>
          <cell r="E2">
            <v>7950000000</v>
          </cell>
          <cell r="F2">
            <v>80.434782608695656</v>
          </cell>
          <cell r="G2">
            <v>0.50971208155393299</v>
          </cell>
        </row>
        <row r="3">
          <cell r="A3" t="str">
            <v>SAMARA HB</v>
          </cell>
          <cell r="B3" t="str">
            <v>C lower</v>
          </cell>
          <cell r="C3" t="str">
            <v>Evet</v>
          </cell>
          <cell r="D3">
            <v>3</v>
          </cell>
          <cell r="E3">
            <v>10244000000</v>
          </cell>
          <cell r="F3">
            <v>7.5</v>
          </cell>
          <cell r="G3">
            <v>4.1328006612481059E-2</v>
          </cell>
        </row>
        <row r="4">
          <cell r="A4" t="str">
            <v>LADA VEGA SW</v>
          </cell>
          <cell r="B4" t="str">
            <v>C lower</v>
          </cell>
          <cell r="C4" t="str">
            <v>Evet</v>
          </cell>
          <cell r="D4">
            <v>1</v>
          </cell>
          <cell r="E4">
            <v>12643000000</v>
          </cell>
          <cell r="F4">
            <v>2.5</v>
          </cell>
          <cell r="G4">
            <v>1.3776002204160353E-2</v>
          </cell>
        </row>
        <row r="5">
          <cell r="A5" t="str">
            <v>DAE MATIZ</v>
          </cell>
          <cell r="B5" t="str">
            <v>A</v>
          </cell>
          <cell r="C5" t="str">
            <v>Evet</v>
          </cell>
          <cell r="D5">
            <v>3</v>
          </cell>
          <cell r="E5">
            <v>13295000000</v>
          </cell>
          <cell r="F5">
            <v>6.5217391304347823</v>
          </cell>
          <cell r="G5">
            <v>4.1328006612481059E-2</v>
          </cell>
        </row>
        <row r="6">
          <cell r="A6" t="str">
            <v>KARTAL HD</v>
          </cell>
          <cell r="B6" t="str">
            <v>C lower</v>
          </cell>
          <cell r="C6" t="str">
            <v>Hayır</v>
          </cell>
          <cell r="D6">
            <v>6</v>
          </cell>
          <cell r="E6">
            <v>15274000000</v>
          </cell>
          <cell r="F6">
            <v>15</v>
          </cell>
          <cell r="G6">
            <v>8.2656013224962119E-2</v>
          </cell>
        </row>
        <row r="7">
          <cell r="A7" t="str">
            <v>PALIO 1.2 S HB</v>
          </cell>
          <cell r="B7" t="str">
            <v>B</v>
          </cell>
          <cell r="C7" t="str">
            <v>Hayır</v>
          </cell>
          <cell r="D7">
            <v>2</v>
          </cell>
          <cell r="E7">
            <v>15640000000</v>
          </cell>
          <cell r="F7">
            <v>0.16625103906899419</v>
          </cell>
          <cell r="G7">
            <v>2.7552004408320705E-2</v>
          </cell>
        </row>
        <row r="8">
          <cell r="A8" t="str">
            <v>SIENA 1.4 i.e.</v>
          </cell>
          <cell r="B8" t="str">
            <v>C medium</v>
          </cell>
          <cell r="C8" t="str">
            <v>Hayır</v>
          </cell>
          <cell r="D8">
            <v>2</v>
          </cell>
          <cell r="E8">
            <v>15985000000</v>
          </cell>
          <cell r="F8">
            <v>0.27397260273972601</v>
          </cell>
          <cell r="G8">
            <v>2.7552004408320705E-2</v>
          </cell>
        </row>
        <row r="9">
          <cell r="A9" t="str">
            <v>KIA RIO</v>
          </cell>
          <cell r="B9" t="str">
            <v>C medium</v>
          </cell>
          <cell r="C9" t="str">
            <v>Evet</v>
          </cell>
          <cell r="D9">
            <v>3</v>
          </cell>
          <cell r="E9">
            <v>16003000000</v>
          </cell>
          <cell r="F9">
            <v>0.41095890410958902</v>
          </cell>
          <cell r="G9">
            <v>4.1328006612481059E-2</v>
          </cell>
        </row>
        <row r="10">
          <cell r="A10" t="str">
            <v>HYND YENI ACCENT 1.3 LS</v>
          </cell>
          <cell r="B10" t="str">
            <v>C medium</v>
          </cell>
          <cell r="C10" t="str">
            <v>Hayır</v>
          </cell>
          <cell r="D10">
            <v>1</v>
          </cell>
          <cell r="E10">
            <v>16257000000</v>
          </cell>
          <cell r="F10">
            <v>0.13698630136986301</v>
          </cell>
          <cell r="G10">
            <v>1.3776002204160353E-2</v>
          </cell>
        </row>
        <row r="11">
          <cell r="A11" t="str">
            <v>RENAULT KANGOO RNA</v>
          </cell>
          <cell r="B11" t="str">
            <v>P</v>
          </cell>
          <cell r="C11" t="str">
            <v>Evet</v>
          </cell>
          <cell r="D11">
            <v>1</v>
          </cell>
          <cell r="E11">
            <v>16608000000</v>
          </cell>
          <cell r="F11">
            <v>5.882352941176471</v>
          </cell>
          <cell r="G11">
            <v>1.3776002204160353E-2</v>
          </cell>
        </row>
        <row r="12">
          <cell r="A12" t="str">
            <v>DAE LANOS</v>
          </cell>
          <cell r="B12" t="str">
            <v>C medium</v>
          </cell>
          <cell r="C12" t="str">
            <v>Evet</v>
          </cell>
          <cell r="D12">
            <v>6</v>
          </cell>
          <cell r="E12">
            <v>16633000000</v>
          </cell>
          <cell r="F12">
            <v>0.82191780821917804</v>
          </cell>
          <cell r="G12">
            <v>8.2656013224962119E-2</v>
          </cell>
        </row>
        <row r="13">
          <cell r="A13" t="str">
            <v>ŞAHİN 1.6 i.e.</v>
          </cell>
          <cell r="B13" t="str">
            <v>C lower</v>
          </cell>
          <cell r="C13" t="str">
            <v>Hayır</v>
          </cell>
          <cell r="D13">
            <v>19</v>
          </cell>
          <cell r="E13">
            <v>16769000000</v>
          </cell>
          <cell r="F13">
            <v>47.5</v>
          </cell>
          <cell r="G13">
            <v>0.26174404187904671</v>
          </cell>
        </row>
        <row r="14">
          <cell r="A14" t="str">
            <v>KARTAL 1.6 i.e.</v>
          </cell>
          <cell r="B14" t="str">
            <v>C lower</v>
          </cell>
          <cell r="C14" t="str">
            <v>Hayır</v>
          </cell>
          <cell r="D14">
            <v>13</v>
          </cell>
          <cell r="E14">
            <v>16904000000</v>
          </cell>
          <cell r="F14">
            <v>32.5</v>
          </cell>
          <cell r="G14">
            <v>0.17908802865408457</v>
          </cell>
        </row>
        <row r="15">
          <cell r="A15" t="str">
            <v>PALIO 1.2 EL HB</v>
          </cell>
          <cell r="B15" t="str">
            <v>B</v>
          </cell>
          <cell r="C15" t="str">
            <v>Hayır</v>
          </cell>
          <cell r="D15">
            <v>4</v>
          </cell>
          <cell r="E15">
            <v>17013000000</v>
          </cell>
          <cell r="F15">
            <v>0.33250207813798838</v>
          </cell>
          <cell r="G15">
            <v>5.510400881664141E-2</v>
          </cell>
        </row>
        <row r="16">
          <cell r="A16" t="str">
            <v>SIENA 1.2 EL</v>
          </cell>
          <cell r="B16" t="str">
            <v>C medium</v>
          </cell>
          <cell r="C16" t="str">
            <v>Hayır</v>
          </cell>
          <cell r="D16">
            <v>2</v>
          </cell>
          <cell r="E16">
            <v>17102000000</v>
          </cell>
          <cell r="F16">
            <v>0.27397260273972601</v>
          </cell>
          <cell r="G16">
            <v>2.7552004408320705E-2</v>
          </cell>
        </row>
        <row r="17">
          <cell r="A17" t="str">
            <v>PALIO 1.2 SL</v>
          </cell>
          <cell r="B17" t="str">
            <v>B</v>
          </cell>
          <cell r="C17" t="str">
            <v>Hayır</v>
          </cell>
          <cell r="D17">
            <v>71</v>
          </cell>
          <cell r="E17">
            <v>17138000000</v>
          </cell>
          <cell r="F17">
            <v>5.9019118869492937</v>
          </cell>
          <cell r="G17">
            <v>0.97809615649538506</v>
          </cell>
        </row>
        <row r="18">
          <cell r="A18" t="str">
            <v>ŞAHİN 1.6 i.e. LPG</v>
          </cell>
          <cell r="B18" t="str">
            <v>C lower</v>
          </cell>
          <cell r="C18" t="str">
            <v>Hayır</v>
          </cell>
          <cell r="D18">
            <v>1</v>
          </cell>
          <cell r="E18">
            <v>17148000000</v>
          </cell>
          <cell r="F18">
            <v>2.5</v>
          </cell>
          <cell r="G18">
            <v>1.3776002204160353E-2</v>
          </cell>
        </row>
        <row r="19">
          <cell r="A19" t="str">
            <v>HYND ATOS PRIME</v>
          </cell>
          <cell r="B19" t="str">
            <v>A</v>
          </cell>
          <cell r="C19" t="str">
            <v>Evet</v>
          </cell>
          <cell r="D19">
            <v>6</v>
          </cell>
          <cell r="E19">
            <v>17197000000</v>
          </cell>
          <cell r="F19">
            <v>13.043478260869565</v>
          </cell>
          <cell r="G19">
            <v>8.2656013224962119E-2</v>
          </cell>
        </row>
        <row r="20">
          <cell r="A20" t="str">
            <v>HYND YENI ACCENT 1.3 LX</v>
          </cell>
          <cell r="B20" t="str">
            <v>C medium</v>
          </cell>
          <cell r="C20" t="str">
            <v>Hayır</v>
          </cell>
          <cell r="D20">
            <v>140</v>
          </cell>
          <cell r="E20">
            <v>17228000000</v>
          </cell>
          <cell r="F20">
            <v>19.17808219178082</v>
          </cell>
          <cell r="G20">
            <v>1.9286403085824493</v>
          </cell>
        </row>
        <row r="21">
          <cell r="A21" t="str">
            <v>RNLT CLIO SYMBOL AUTHENTIQUE 1.4</v>
          </cell>
          <cell r="B21" t="str">
            <v>C medium</v>
          </cell>
          <cell r="C21" t="str">
            <v>Hayır</v>
          </cell>
          <cell r="D21">
            <v>50</v>
          </cell>
          <cell r="E21">
            <v>17539000000</v>
          </cell>
          <cell r="F21">
            <v>6.8493150684931505</v>
          </cell>
          <cell r="G21">
            <v>0.68880011020801768</v>
          </cell>
        </row>
        <row r="22">
          <cell r="A22" t="str">
            <v>KARTAL 1.6 i.e. LPG</v>
          </cell>
          <cell r="B22" t="str">
            <v>C lower</v>
          </cell>
          <cell r="C22" t="str">
            <v>Hayır</v>
          </cell>
          <cell r="D22">
            <v>1</v>
          </cell>
          <cell r="E22">
            <v>17641000000</v>
          </cell>
          <cell r="F22">
            <v>2.5</v>
          </cell>
          <cell r="G22">
            <v>1.3776002204160353E-2</v>
          </cell>
        </row>
        <row r="23">
          <cell r="A23" t="str">
            <v>RENAULT KANGOO  RTE</v>
          </cell>
          <cell r="B23" t="str">
            <v>P</v>
          </cell>
          <cell r="C23" t="str">
            <v>Evet</v>
          </cell>
          <cell r="D23">
            <v>4</v>
          </cell>
          <cell r="E23">
            <v>17855000000</v>
          </cell>
          <cell r="F23">
            <v>23.529411764705884</v>
          </cell>
          <cell r="G23">
            <v>5.510400881664141E-2</v>
          </cell>
        </row>
        <row r="24">
          <cell r="A24" t="str">
            <v>SZK SWIFT 1.3 GLX HB</v>
          </cell>
          <cell r="B24" t="str">
            <v>B</v>
          </cell>
          <cell r="C24" t="str">
            <v>Evet</v>
          </cell>
          <cell r="D24">
            <v>5</v>
          </cell>
          <cell r="E24">
            <v>18125000000</v>
          </cell>
          <cell r="F24">
            <v>0.41562759767248547</v>
          </cell>
          <cell r="G24">
            <v>6.8880011020801768E-2</v>
          </cell>
        </row>
        <row r="25">
          <cell r="A25" t="str">
            <v>OPEL CORSA 1.2 CLUB</v>
          </cell>
          <cell r="B25" t="str">
            <v>B</v>
          </cell>
          <cell r="C25" t="str">
            <v>Evet</v>
          </cell>
          <cell r="D25">
            <v>27</v>
          </cell>
          <cell r="E25">
            <v>18305000000</v>
          </cell>
          <cell r="F25">
            <v>2.2443890274314215</v>
          </cell>
          <cell r="G25">
            <v>0.37195205951232951</v>
          </cell>
        </row>
        <row r="26">
          <cell r="A26" t="str">
            <v>PALIO 1.2 16V EL</v>
          </cell>
          <cell r="B26" t="str">
            <v>B</v>
          </cell>
          <cell r="C26" t="str">
            <v>Hayır</v>
          </cell>
          <cell r="D26">
            <v>90</v>
          </cell>
          <cell r="E26">
            <v>18392000000</v>
          </cell>
          <cell r="F26">
            <v>7.4812967581047385</v>
          </cell>
          <cell r="G26">
            <v>1.2398401983744318</v>
          </cell>
        </row>
        <row r="27">
          <cell r="A27" t="str">
            <v>ALBEA 1.2 SL</v>
          </cell>
          <cell r="B27" t="str">
            <v>C medium</v>
          </cell>
          <cell r="C27" t="str">
            <v>Hayır</v>
          </cell>
          <cell r="D27">
            <v>88</v>
          </cell>
          <cell r="E27">
            <v>18397000000</v>
          </cell>
          <cell r="F27">
            <v>12.054794520547945</v>
          </cell>
          <cell r="G27">
            <v>1.212288193966111</v>
          </cell>
        </row>
        <row r="28">
          <cell r="A28" t="str">
            <v>SIENA 1.6 i.e.</v>
          </cell>
          <cell r="B28" t="str">
            <v>C medium</v>
          </cell>
          <cell r="C28" t="str">
            <v>Hayır</v>
          </cell>
          <cell r="D28">
            <v>1</v>
          </cell>
          <cell r="E28">
            <v>18527000000</v>
          </cell>
          <cell r="F28">
            <v>0.13698630136986301</v>
          </cell>
          <cell r="G28">
            <v>1.3776002204160353E-2</v>
          </cell>
        </row>
        <row r="29">
          <cell r="A29" t="str">
            <v>DOBLO SX</v>
          </cell>
          <cell r="B29" t="str">
            <v>P</v>
          </cell>
          <cell r="C29" t="str">
            <v>Hayır</v>
          </cell>
          <cell r="D29">
            <v>4</v>
          </cell>
          <cell r="E29">
            <v>18547000000</v>
          </cell>
          <cell r="F29">
            <v>23.529411764705884</v>
          </cell>
          <cell r="G29">
            <v>5.510400881664141E-2</v>
          </cell>
        </row>
        <row r="30">
          <cell r="A30" t="str">
            <v>DOĞAN 1.6 I.e.</v>
          </cell>
          <cell r="B30" t="str">
            <v>C lower</v>
          </cell>
          <cell r="C30" t="str">
            <v>Hayır</v>
          </cell>
          <cell r="D30">
            <v>2</v>
          </cell>
          <cell r="E30">
            <v>18801000000</v>
          </cell>
          <cell r="F30">
            <v>5</v>
          </cell>
          <cell r="G30">
            <v>2.7552004408320705E-2</v>
          </cell>
        </row>
        <row r="31">
          <cell r="A31" t="str">
            <v>OPEL CORSA 1.0 ECO</v>
          </cell>
          <cell r="B31" t="str">
            <v>B</v>
          </cell>
          <cell r="C31" t="str">
            <v>Evet</v>
          </cell>
          <cell r="D31">
            <v>117</v>
          </cell>
          <cell r="E31">
            <v>19041000000</v>
          </cell>
          <cell r="F31">
            <v>9.7256857855361591</v>
          </cell>
          <cell r="G31">
            <v>1.6117922578867612</v>
          </cell>
        </row>
        <row r="32">
          <cell r="A32" t="str">
            <v>RNLT CLIO SYMBOL EXPRESSION 1.4</v>
          </cell>
          <cell r="B32" t="str">
            <v>C medium</v>
          </cell>
          <cell r="C32" t="str">
            <v>Hayır</v>
          </cell>
          <cell r="D32">
            <v>104</v>
          </cell>
          <cell r="E32">
            <v>19084000000</v>
          </cell>
          <cell r="F32">
            <v>14.246575342465754</v>
          </cell>
          <cell r="G32">
            <v>1.4327042292326766</v>
          </cell>
        </row>
        <row r="33">
          <cell r="A33" t="str">
            <v>SEAT İBİZA</v>
          </cell>
          <cell r="B33" t="str">
            <v>B</v>
          </cell>
          <cell r="C33" t="str">
            <v>Evet</v>
          </cell>
          <cell r="D33">
            <v>26</v>
          </cell>
          <cell r="E33">
            <v>19270000000</v>
          </cell>
          <cell r="F33">
            <v>2.1612635078969245</v>
          </cell>
          <cell r="G33">
            <v>0.35817605730816915</v>
          </cell>
        </row>
        <row r="34">
          <cell r="A34" t="str">
            <v>PALIO 1.6 SW</v>
          </cell>
          <cell r="B34" t="str">
            <v>C medium</v>
          </cell>
          <cell r="C34" t="str">
            <v>Hayır</v>
          </cell>
          <cell r="D34">
            <v>1</v>
          </cell>
          <cell r="E34">
            <v>19281000000</v>
          </cell>
          <cell r="F34">
            <v>0.13698630136986301</v>
          </cell>
          <cell r="G34">
            <v>1.3776002204160353E-2</v>
          </cell>
        </row>
        <row r="35">
          <cell r="A35" t="str">
            <v>DOĞAN 1.6  i.e. LPG</v>
          </cell>
          <cell r="B35" t="str">
            <v>C lower</v>
          </cell>
          <cell r="C35" t="str">
            <v>Hayır</v>
          </cell>
          <cell r="D35">
            <v>18</v>
          </cell>
          <cell r="E35">
            <v>19416000000</v>
          </cell>
          <cell r="F35">
            <v>45</v>
          </cell>
          <cell r="G35">
            <v>0.24796803967488634</v>
          </cell>
        </row>
        <row r="36">
          <cell r="A36" t="str">
            <v>RNLT CLIO SYMBOL 1.5DCI</v>
          </cell>
          <cell r="B36" t="str">
            <v>C medium</v>
          </cell>
          <cell r="C36" t="str">
            <v>Hayır</v>
          </cell>
          <cell r="D36">
            <v>286</v>
          </cell>
          <cell r="E36">
            <v>19619000000</v>
          </cell>
          <cell r="F36">
            <v>39.178082191780824</v>
          </cell>
          <cell r="G36">
            <v>3.9399366303898611</v>
          </cell>
        </row>
        <row r="37">
          <cell r="A37" t="str">
            <v>PALIO 1.2 16V HL</v>
          </cell>
          <cell r="B37" t="str">
            <v>B</v>
          </cell>
          <cell r="C37" t="str">
            <v>Hayır</v>
          </cell>
          <cell r="D37">
            <v>13</v>
          </cell>
          <cell r="E37">
            <v>19645000000</v>
          </cell>
          <cell r="F37">
            <v>1.0806317539484622</v>
          </cell>
          <cell r="G37">
            <v>0.17908802865408457</v>
          </cell>
        </row>
        <row r="38">
          <cell r="A38" t="str">
            <v>ALBEA 1.2 16V EL</v>
          </cell>
          <cell r="B38" t="str">
            <v>C medium</v>
          </cell>
          <cell r="C38" t="str">
            <v>Hayır</v>
          </cell>
          <cell r="D38">
            <v>115</v>
          </cell>
          <cell r="E38">
            <v>19793000000</v>
          </cell>
          <cell r="F38">
            <v>15.753424657534246</v>
          </cell>
          <cell r="G38">
            <v>1.5842402534784406</v>
          </cell>
        </row>
        <row r="39">
          <cell r="A39" t="str">
            <v>HYND YENI ACCENT GL</v>
          </cell>
          <cell r="B39" t="str">
            <v>C medium</v>
          </cell>
          <cell r="C39" t="str">
            <v>Hayır</v>
          </cell>
          <cell r="D39">
            <v>10</v>
          </cell>
          <cell r="E39">
            <v>19794000000</v>
          </cell>
          <cell r="F39">
            <v>1.3698630136986301</v>
          </cell>
          <cell r="G39">
            <v>0.13776002204160354</v>
          </cell>
        </row>
        <row r="40">
          <cell r="A40" t="str">
            <v>HYND YENI ACCENT 1.5 GLS DIZEL</v>
          </cell>
          <cell r="B40" t="str">
            <v>C medium</v>
          </cell>
          <cell r="C40" t="str">
            <v>Evet</v>
          </cell>
          <cell r="D40">
            <v>115</v>
          </cell>
          <cell r="E40">
            <v>19920000000</v>
          </cell>
          <cell r="F40">
            <v>15.753424657534246</v>
          </cell>
          <cell r="G40">
            <v>1.5842402534784406</v>
          </cell>
        </row>
        <row r="41">
          <cell r="A41" t="str">
            <v>FORD FIESTA 1.25 FLAIR</v>
          </cell>
          <cell r="B41" t="str">
            <v>B</v>
          </cell>
          <cell r="C41" t="str">
            <v>Evet</v>
          </cell>
          <cell r="D41">
            <v>1</v>
          </cell>
          <cell r="E41">
            <v>19945000000</v>
          </cell>
          <cell r="F41">
            <v>8.3125519534497094E-2</v>
          </cell>
          <cell r="G41">
            <v>1.3776002204160353E-2</v>
          </cell>
        </row>
        <row r="42">
          <cell r="A42" t="str">
            <v>OPEL COMBO TOUR</v>
          </cell>
          <cell r="B42" t="str">
            <v>P</v>
          </cell>
          <cell r="C42" t="str">
            <v>Evet</v>
          </cell>
          <cell r="D42">
            <v>4</v>
          </cell>
          <cell r="E42">
            <v>20123000000</v>
          </cell>
          <cell r="F42">
            <v>23.529411764705884</v>
          </cell>
          <cell r="G42">
            <v>5.510400881664141E-2</v>
          </cell>
        </row>
        <row r="43">
          <cell r="A43" t="str">
            <v>SKD FABIA COMF. 50</v>
          </cell>
          <cell r="B43" t="str">
            <v>C medium</v>
          </cell>
          <cell r="C43" t="str">
            <v>Evet</v>
          </cell>
          <cell r="D43">
            <v>13</v>
          </cell>
          <cell r="E43">
            <v>20230000000</v>
          </cell>
          <cell r="F43">
            <v>1.7808219178082192</v>
          </cell>
          <cell r="G43">
            <v>0.17908802865408457</v>
          </cell>
        </row>
        <row r="44">
          <cell r="A44" t="str">
            <v>MAREA 1.6 SX LOC.</v>
          </cell>
          <cell r="B44" t="str">
            <v>D lower</v>
          </cell>
          <cell r="C44" t="str">
            <v>Hayır</v>
          </cell>
          <cell r="D44">
            <v>1</v>
          </cell>
          <cell r="E44">
            <v>20288000000</v>
          </cell>
          <cell r="F44">
            <v>0.13679890560875513</v>
          </cell>
          <cell r="G44">
            <v>1.3776002204160353E-2</v>
          </cell>
        </row>
        <row r="45">
          <cell r="A45" t="str">
            <v>PALIO 1.6 16V HL</v>
          </cell>
          <cell r="B45" t="str">
            <v>B</v>
          </cell>
          <cell r="C45" t="str">
            <v>Hayır</v>
          </cell>
          <cell r="D45">
            <v>5</v>
          </cell>
          <cell r="E45">
            <v>20290000000</v>
          </cell>
          <cell r="F45">
            <v>0.41562759767248547</v>
          </cell>
          <cell r="G45">
            <v>6.8880011020801768E-2</v>
          </cell>
        </row>
        <row r="46">
          <cell r="A46" t="str">
            <v>DOBLO ELX</v>
          </cell>
          <cell r="B46" t="str">
            <v>P</v>
          </cell>
          <cell r="C46" t="str">
            <v>Hayır</v>
          </cell>
          <cell r="D46">
            <v>4</v>
          </cell>
          <cell r="E46">
            <v>20300000000</v>
          </cell>
          <cell r="F46">
            <v>23.529411764705884</v>
          </cell>
          <cell r="G46">
            <v>5.510400881664141E-2</v>
          </cell>
        </row>
        <row r="47">
          <cell r="A47" t="str">
            <v>SEAT CORDOBA</v>
          </cell>
          <cell r="B47" t="str">
            <v>C upper</v>
          </cell>
          <cell r="C47" t="str">
            <v>Evet</v>
          </cell>
          <cell r="D47">
            <v>6</v>
          </cell>
          <cell r="E47">
            <v>20370000000</v>
          </cell>
          <cell r="F47">
            <v>0.16611295681063123</v>
          </cell>
          <cell r="G47">
            <v>8.2656013224962119E-2</v>
          </cell>
        </row>
        <row r="48">
          <cell r="A48" t="str">
            <v>CTRN SAXO 1.6i 16V VTS 3K</v>
          </cell>
          <cell r="B48" t="str">
            <v>B</v>
          </cell>
          <cell r="C48" t="str">
            <v>Evet</v>
          </cell>
          <cell r="D48">
            <v>15</v>
          </cell>
          <cell r="E48">
            <v>20831000000</v>
          </cell>
          <cell r="F48">
            <v>1.2468827930174564</v>
          </cell>
          <cell r="G48">
            <v>0.20664003306240528</v>
          </cell>
        </row>
        <row r="49">
          <cell r="A49" t="str">
            <v>FORD FIESTA COMFORT 1.4</v>
          </cell>
          <cell r="B49" t="str">
            <v>B</v>
          </cell>
          <cell r="C49" t="str">
            <v>Evet</v>
          </cell>
          <cell r="D49">
            <v>43</v>
          </cell>
          <cell r="E49">
            <v>21000000000</v>
          </cell>
          <cell r="F49">
            <v>3.5743973399833751</v>
          </cell>
          <cell r="G49">
            <v>0.59236809477889518</v>
          </cell>
        </row>
        <row r="50">
          <cell r="A50" t="str">
            <v>BRAVA 1.6 SX LOC.</v>
          </cell>
          <cell r="B50" t="str">
            <v>C upper</v>
          </cell>
          <cell r="C50" t="str">
            <v>Hayır</v>
          </cell>
          <cell r="D50">
            <v>31</v>
          </cell>
          <cell r="E50">
            <v>21033000000</v>
          </cell>
          <cell r="F50">
            <v>0.85825027685492805</v>
          </cell>
          <cell r="G50">
            <v>0.42705606832897092</v>
          </cell>
        </row>
        <row r="51">
          <cell r="A51" t="str">
            <v>ALBEA 1.2 16V HL</v>
          </cell>
          <cell r="B51" t="str">
            <v>C medium</v>
          </cell>
          <cell r="C51" t="str">
            <v>Hayır</v>
          </cell>
          <cell r="D51">
            <v>32</v>
          </cell>
          <cell r="E51">
            <v>21094000000</v>
          </cell>
          <cell r="F51">
            <v>4.3835616438356162</v>
          </cell>
          <cell r="G51">
            <v>0.44083207053313128</v>
          </cell>
        </row>
        <row r="52">
          <cell r="A52" t="str">
            <v>SKD FABIA SEDAN COMFORT</v>
          </cell>
          <cell r="B52" t="str">
            <v>C medium</v>
          </cell>
          <cell r="C52" t="str">
            <v>Evet</v>
          </cell>
          <cell r="D52">
            <v>11</v>
          </cell>
          <cell r="E52">
            <v>21150000000</v>
          </cell>
          <cell r="F52">
            <v>1.5068493150684932</v>
          </cell>
          <cell r="G52">
            <v>0.15153602424576387</v>
          </cell>
        </row>
        <row r="53">
          <cell r="A53" t="str">
            <v>HYND YENI ACCENT GLS</v>
          </cell>
          <cell r="B53" t="str">
            <v>C medium</v>
          </cell>
          <cell r="C53" t="str">
            <v>Hayır</v>
          </cell>
          <cell r="D53">
            <v>47</v>
          </cell>
          <cell r="E53">
            <v>21202000000</v>
          </cell>
          <cell r="F53">
            <v>6.4383561643835616</v>
          </cell>
          <cell r="G53">
            <v>0.64747210359553653</v>
          </cell>
        </row>
        <row r="54">
          <cell r="A54" t="str">
            <v>PGT 206 X-Line 1.4</v>
          </cell>
          <cell r="B54" t="str">
            <v>B</v>
          </cell>
          <cell r="C54" t="str">
            <v>Evet</v>
          </cell>
          <cell r="D54">
            <v>63</v>
          </cell>
          <cell r="E54">
            <v>21400000000</v>
          </cell>
          <cell r="F54">
            <v>5.2369077306733169</v>
          </cell>
          <cell r="G54">
            <v>0.86788813886210225</v>
          </cell>
        </row>
        <row r="55">
          <cell r="A55" t="str">
            <v>RENAULT KANGOO PAMPA</v>
          </cell>
          <cell r="B55" t="str">
            <v>P</v>
          </cell>
          <cell r="C55" t="str">
            <v>Evet</v>
          </cell>
          <cell r="D55">
            <v>1</v>
          </cell>
          <cell r="E55">
            <v>21448000000</v>
          </cell>
          <cell r="F55">
            <v>5.882352941176471</v>
          </cell>
          <cell r="G55">
            <v>1.3776002204160353E-2</v>
          </cell>
        </row>
        <row r="56">
          <cell r="A56" t="str">
            <v>FORD KA COLLECTION</v>
          </cell>
          <cell r="B56" t="str">
            <v>B</v>
          </cell>
          <cell r="C56" t="str">
            <v>Evet</v>
          </cell>
          <cell r="D56">
            <v>1</v>
          </cell>
          <cell r="E56">
            <v>21481000000</v>
          </cell>
          <cell r="F56">
            <v>8.3125519534497094E-2</v>
          </cell>
          <cell r="G56">
            <v>1.3776002204160353E-2</v>
          </cell>
        </row>
        <row r="57">
          <cell r="A57" t="str">
            <v>PALIO 1.2 16V EL SPEEDGEAR</v>
          </cell>
          <cell r="B57" t="str">
            <v>B</v>
          </cell>
          <cell r="C57" t="str">
            <v>Hayır</v>
          </cell>
          <cell r="D57">
            <v>70</v>
          </cell>
          <cell r="E57">
            <v>21494000000</v>
          </cell>
          <cell r="F57">
            <v>5.8187863674147966</v>
          </cell>
          <cell r="G57">
            <v>0.96432015429122464</v>
          </cell>
        </row>
        <row r="58">
          <cell r="A58" t="str">
            <v>ALBEA 1.6 16V HL</v>
          </cell>
          <cell r="B58" t="str">
            <v>C medium</v>
          </cell>
          <cell r="C58" t="str">
            <v>Hayır</v>
          </cell>
          <cell r="D58">
            <v>12</v>
          </cell>
          <cell r="E58">
            <v>21581000000</v>
          </cell>
          <cell r="F58">
            <v>1.6438356164383561</v>
          </cell>
          <cell r="G58">
            <v>0.16531202644992424</v>
          </cell>
        </row>
        <row r="59">
          <cell r="A59" t="str">
            <v>MINI ONE</v>
          </cell>
          <cell r="B59" t="str">
            <v>B</v>
          </cell>
          <cell r="C59" t="str">
            <v>Evet</v>
          </cell>
          <cell r="D59">
            <v>2</v>
          </cell>
          <cell r="E59">
            <v>21638000000</v>
          </cell>
          <cell r="F59">
            <v>0.16625103906899419</v>
          </cell>
          <cell r="G59">
            <v>2.7552004408320705E-2</v>
          </cell>
        </row>
        <row r="60">
          <cell r="A60" t="str">
            <v>PALIO SW 1.2 16V EL</v>
          </cell>
          <cell r="B60" t="str">
            <v>C medium</v>
          </cell>
          <cell r="C60" t="str">
            <v>Evet</v>
          </cell>
          <cell r="D60">
            <v>6</v>
          </cell>
          <cell r="E60">
            <v>21820000000</v>
          </cell>
          <cell r="F60">
            <v>0.82191780821917804</v>
          </cell>
          <cell r="G60">
            <v>8.2656013224962119E-2</v>
          </cell>
        </row>
        <row r="61">
          <cell r="A61" t="str">
            <v>SKD FABIA COMBI COMFORT</v>
          </cell>
          <cell r="B61" t="str">
            <v>C medium</v>
          </cell>
          <cell r="C61" t="str">
            <v>Evet</v>
          </cell>
          <cell r="D61">
            <v>6</v>
          </cell>
          <cell r="E61">
            <v>21850000000</v>
          </cell>
          <cell r="F61">
            <v>0.82191780821917804</v>
          </cell>
          <cell r="G61">
            <v>8.2656013224962119E-2</v>
          </cell>
        </row>
        <row r="62">
          <cell r="A62" t="str">
            <v>OPEL CORSA 1.2 COMFORT EASYTRONIC</v>
          </cell>
          <cell r="B62" t="str">
            <v>B</v>
          </cell>
          <cell r="C62" t="str">
            <v>Evet</v>
          </cell>
          <cell r="D62">
            <v>82</v>
          </cell>
          <cell r="E62">
            <v>21890000000</v>
          </cell>
          <cell r="F62">
            <v>6.8162926018287617</v>
          </cell>
          <cell r="G62">
            <v>1.1296321807411489</v>
          </cell>
        </row>
        <row r="63">
          <cell r="A63" t="str">
            <v>TYT YARIS</v>
          </cell>
          <cell r="B63" t="str">
            <v>B</v>
          </cell>
          <cell r="C63" t="str">
            <v>Evet</v>
          </cell>
          <cell r="D63">
            <v>4</v>
          </cell>
          <cell r="E63">
            <v>21942000000</v>
          </cell>
          <cell r="F63">
            <v>0.33250207813798838</v>
          </cell>
          <cell r="G63">
            <v>5.510400881664141E-2</v>
          </cell>
        </row>
        <row r="64">
          <cell r="A64" t="str">
            <v>OPEL CORSA 1.4 COMFORT</v>
          </cell>
          <cell r="B64" t="str">
            <v>B</v>
          </cell>
          <cell r="C64" t="str">
            <v>Evet</v>
          </cell>
          <cell r="D64">
            <v>64</v>
          </cell>
          <cell r="E64">
            <v>22186000000</v>
          </cell>
          <cell r="F64">
            <v>5.320033250207814</v>
          </cell>
          <cell r="G64">
            <v>0.88166414106626256</v>
          </cell>
        </row>
        <row r="65">
          <cell r="A65" t="str">
            <v>DAE NUBIRA</v>
          </cell>
          <cell r="B65" t="str">
            <v>D lower</v>
          </cell>
          <cell r="C65" t="str">
            <v>Evet</v>
          </cell>
          <cell r="D65">
            <v>3</v>
          </cell>
          <cell r="E65">
            <v>22285000000</v>
          </cell>
          <cell r="F65">
            <v>0.41039671682626538</v>
          </cell>
          <cell r="G65">
            <v>4.1328006612481059E-2</v>
          </cell>
        </row>
        <row r="66">
          <cell r="A66" t="str">
            <v>PALIO SW 1.2 16V HL</v>
          </cell>
          <cell r="B66" t="str">
            <v>C medium</v>
          </cell>
          <cell r="C66" t="str">
            <v>Evet</v>
          </cell>
          <cell r="D66">
            <v>6</v>
          </cell>
          <cell r="E66">
            <v>22779000000</v>
          </cell>
          <cell r="F66">
            <v>0.82191780821917804</v>
          </cell>
          <cell r="G66">
            <v>8.2656013224962119E-2</v>
          </cell>
        </row>
        <row r="67">
          <cell r="A67" t="str">
            <v>MEGANE WAGON 1.4 16V</v>
          </cell>
          <cell r="B67" t="str">
            <v>C upper</v>
          </cell>
          <cell r="C67" t="str">
            <v>Hayır</v>
          </cell>
          <cell r="D67">
            <v>6</v>
          </cell>
          <cell r="E67">
            <v>22796000000</v>
          </cell>
          <cell r="F67">
            <v>0.16611295681063123</v>
          </cell>
          <cell r="G67">
            <v>8.2656013224962119E-2</v>
          </cell>
        </row>
        <row r="68">
          <cell r="A68" t="str">
            <v>RNLT CLIO 1.2 16V AUTHENTIQUE</v>
          </cell>
          <cell r="B68" t="str">
            <v>B</v>
          </cell>
          <cell r="C68" t="str">
            <v>Evet</v>
          </cell>
          <cell r="D68">
            <v>16</v>
          </cell>
          <cell r="E68">
            <v>22806000000</v>
          </cell>
          <cell r="F68">
            <v>1.3300083125519535</v>
          </cell>
          <cell r="G68">
            <v>0.22041603526656564</v>
          </cell>
        </row>
        <row r="69">
          <cell r="A69" t="str">
            <v>VW NEW POLO 75 hp PRIMELINE</v>
          </cell>
          <cell r="B69" t="str">
            <v>B</v>
          </cell>
          <cell r="C69" t="str">
            <v>Evet</v>
          </cell>
          <cell r="D69">
            <v>30</v>
          </cell>
          <cell r="E69">
            <v>23300000000</v>
          </cell>
          <cell r="F69">
            <v>2.4937655860349128</v>
          </cell>
          <cell r="G69">
            <v>0.41328006612481055</v>
          </cell>
        </row>
        <row r="70">
          <cell r="A70" t="str">
            <v>KIA SHUMA</v>
          </cell>
          <cell r="B70" t="str">
            <v>D lower</v>
          </cell>
          <cell r="C70" t="str">
            <v>Evet</v>
          </cell>
          <cell r="D70">
            <v>4</v>
          </cell>
          <cell r="E70">
            <v>23349000000</v>
          </cell>
          <cell r="F70">
            <v>0.54719562243502051</v>
          </cell>
          <cell r="G70">
            <v>5.510400881664141E-2</v>
          </cell>
        </row>
        <row r="71">
          <cell r="A71" t="str">
            <v>PGT 206 X-Line 1.4 HDI</v>
          </cell>
          <cell r="B71" t="str">
            <v>B</v>
          </cell>
          <cell r="C71" t="str">
            <v>Evet</v>
          </cell>
          <cell r="D71">
            <v>145</v>
          </cell>
          <cell r="E71">
            <v>23400000000</v>
          </cell>
          <cell r="F71">
            <v>12.053200332502078</v>
          </cell>
          <cell r="G71">
            <v>1.9975203196032512</v>
          </cell>
        </row>
        <row r="72">
          <cell r="A72" t="str">
            <v>PGT 206 XR HDI</v>
          </cell>
          <cell r="B72" t="str">
            <v>B</v>
          </cell>
          <cell r="C72" t="str">
            <v>Evet</v>
          </cell>
          <cell r="D72">
            <v>32</v>
          </cell>
          <cell r="E72">
            <v>23400000000</v>
          </cell>
          <cell r="F72">
            <v>2.660016625103907</v>
          </cell>
          <cell r="G72">
            <v>0.44083207053313128</v>
          </cell>
        </row>
        <row r="73">
          <cell r="A73" t="str">
            <v>PGT 206 XT 1.4 5D</v>
          </cell>
          <cell r="B73" t="str">
            <v>B</v>
          </cell>
          <cell r="C73" t="str">
            <v>Evet</v>
          </cell>
          <cell r="D73">
            <v>37</v>
          </cell>
          <cell r="E73">
            <v>23500000000</v>
          </cell>
          <cell r="F73">
            <v>3.0756442227763925</v>
          </cell>
          <cell r="G73">
            <v>0.50971208155393299</v>
          </cell>
        </row>
        <row r="74">
          <cell r="A74" t="str">
            <v>FORD FIESTA COMFORT DIESEL 1.4</v>
          </cell>
          <cell r="B74" t="str">
            <v>B</v>
          </cell>
          <cell r="C74" t="str">
            <v>Evet</v>
          </cell>
          <cell r="D74">
            <v>16</v>
          </cell>
          <cell r="E74">
            <v>23500000000</v>
          </cell>
          <cell r="F74">
            <v>1.3300083125519535</v>
          </cell>
          <cell r="G74">
            <v>0.22041603526656564</v>
          </cell>
        </row>
        <row r="75">
          <cell r="A75" t="str">
            <v>SEAT LEON</v>
          </cell>
          <cell r="B75" t="str">
            <v>C upper</v>
          </cell>
          <cell r="C75" t="str">
            <v>Evet</v>
          </cell>
          <cell r="D75">
            <v>27</v>
          </cell>
          <cell r="E75">
            <v>23550000000</v>
          </cell>
          <cell r="F75">
            <v>0.74750830564784054</v>
          </cell>
          <cell r="G75">
            <v>0.37195205951232951</v>
          </cell>
        </row>
        <row r="76">
          <cell r="A76" t="str">
            <v>RNLT CLIO SYMBOL DYNAMIQUE 1.6</v>
          </cell>
          <cell r="B76" t="str">
            <v>C medium</v>
          </cell>
          <cell r="C76" t="str">
            <v>Hayır</v>
          </cell>
          <cell r="D76">
            <v>11</v>
          </cell>
          <cell r="E76">
            <v>23711000000</v>
          </cell>
          <cell r="F76">
            <v>1.5068493150684932</v>
          </cell>
          <cell r="G76">
            <v>0.15153602424576387</v>
          </cell>
        </row>
        <row r="77">
          <cell r="A77" t="str">
            <v>SKD OCTAVIA</v>
          </cell>
          <cell r="B77" t="str">
            <v>D lower</v>
          </cell>
          <cell r="C77" t="str">
            <v>Evet</v>
          </cell>
          <cell r="D77">
            <v>74</v>
          </cell>
          <cell r="E77">
            <v>23880000000</v>
          </cell>
          <cell r="F77">
            <v>10.12311901504788</v>
          </cell>
          <cell r="G77">
            <v>1.019424163107866</v>
          </cell>
        </row>
        <row r="78">
          <cell r="A78" t="str">
            <v>OPEL CORSA 1.4 ELEGANCE</v>
          </cell>
          <cell r="B78" t="str">
            <v>B</v>
          </cell>
          <cell r="C78" t="str">
            <v>Evet</v>
          </cell>
          <cell r="D78">
            <v>12</v>
          </cell>
          <cell r="E78">
            <v>24039000000</v>
          </cell>
          <cell r="F78">
            <v>0.99750623441396513</v>
          </cell>
          <cell r="G78">
            <v>0.16531202644992424</v>
          </cell>
        </row>
        <row r="79">
          <cell r="A79" t="str">
            <v>ALBEA 1.2 16V HL SPEEDGEAR</v>
          </cell>
          <cell r="B79" t="str">
            <v>C medium</v>
          </cell>
          <cell r="C79" t="str">
            <v>Hayır</v>
          </cell>
          <cell r="D79">
            <v>30</v>
          </cell>
          <cell r="E79">
            <v>24222000000</v>
          </cell>
          <cell r="F79">
            <v>4.1095890410958908</v>
          </cell>
          <cell r="G79">
            <v>0.41328006612481055</v>
          </cell>
        </row>
        <row r="80">
          <cell r="A80" t="str">
            <v>HON JAZZ</v>
          </cell>
          <cell r="B80" t="str">
            <v>B</v>
          </cell>
          <cell r="C80" t="str">
            <v>Evet</v>
          </cell>
          <cell r="D80">
            <v>108</v>
          </cell>
          <cell r="E80">
            <v>24285000000</v>
          </cell>
          <cell r="F80">
            <v>8.9775561097256862</v>
          </cell>
          <cell r="G80">
            <v>1.4878082380493181</v>
          </cell>
        </row>
        <row r="81">
          <cell r="A81" t="str">
            <v>MEGANE 1.4 16V</v>
          </cell>
          <cell r="B81" t="str">
            <v>C upper</v>
          </cell>
          <cell r="C81" t="str">
            <v>Hayır</v>
          </cell>
          <cell r="D81">
            <v>161</v>
          </cell>
          <cell r="E81">
            <v>24372000000</v>
          </cell>
          <cell r="F81">
            <v>4.4573643410852712</v>
          </cell>
          <cell r="G81">
            <v>2.217936354869817</v>
          </cell>
        </row>
        <row r="82">
          <cell r="A82" t="str">
            <v>PALIO SW 1.6 16V HL</v>
          </cell>
          <cell r="B82" t="str">
            <v>C medium</v>
          </cell>
          <cell r="C82" t="str">
            <v>Evet</v>
          </cell>
          <cell r="D82">
            <v>2</v>
          </cell>
          <cell r="E82">
            <v>24439000000</v>
          </cell>
          <cell r="F82">
            <v>0.27397260273972601</v>
          </cell>
          <cell r="G82">
            <v>2.7552004408320705E-2</v>
          </cell>
        </row>
        <row r="83">
          <cell r="A83" t="str">
            <v>OPEL ASTRA 1.4 HB GL AC</v>
          </cell>
          <cell r="B83" t="str">
            <v>C upper</v>
          </cell>
          <cell r="C83" t="str">
            <v>Evet</v>
          </cell>
          <cell r="D83">
            <v>102</v>
          </cell>
          <cell r="E83">
            <v>24460000000</v>
          </cell>
          <cell r="F83">
            <v>2.823920265780731</v>
          </cell>
          <cell r="G83">
            <v>1.405152224824356</v>
          </cell>
        </row>
        <row r="84">
          <cell r="A84" t="str">
            <v>MAREA 1.6 ELX LOC.</v>
          </cell>
          <cell r="B84" t="str">
            <v>D lower</v>
          </cell>
          <cell r="C84" t="str">
            <v>Hayır</v>
          </cell>
          <cell r="D84">
            <v>7</v>
          </cell>
          <cell r="E84">
            <v>24622000000</v>
          </cell>
          <cell r="F84">
            <v>0.95759233926128595</v>
          </cell>
          <cell r="G84">
            <v>9.643201542912247E-2</v>
          </cell>
        </row>
        <row r="85">
          <cell r="A85" t="str">
            <v>BRAVA 1.6 ELX LOC.</v>
          </cell>
          <cell r="B85" t="str">
            <v>C upper</v>
          </cell>
          <cell r="C85" t="str">
            <v>Hayır</v>
          </cell>
          <cell r="D85">
            <v>9</v>
          </cell>
          <cell r="E85">
            <v>24830000000</v>
          </cell>
          <cell r="F85">
            <v>0.24916943521594684</v>
          </cell>
          <cell r="G85">
            <v>0.12398401983744317</v>
          </cell>
        </row>
        <row r="86">
          <cell r="A86" t="str">
            <v>PGT 206 XS 1.6 3D</v>
          </cell>
          <cell r="B86" t="str">
            <v>B</v>
          </cell>
          <cell r="C86" t="str">
            <v>Evet</v>
          </cell>
          <cell r="D86">
            <v>6</v>
          </cell>
          <cell r="E86">
            <v>24900000000</v>
          </cell>
          <cell r="F86">
            <v>0.49875311720698257</v>
          </cell>
          <cell r="G86">
            <v>8.2656013224962119E-2</v>
          </cell>
        </row>
        <row r="87">
          <cell r="A87" t="str">
            <v>RNLT CLIO 1.4 16V PRIVILEGE</v>
          </cell>
          <cell r="B87" t="str">
            <v>B</v>
          </cell>
          <cell r="C87" t="str">
            <v>Evet</v>
          </cell>
          <cell r="D87">
            <v>34</v>
          </cell>
          <cell r="E87">
            <v>25056000000</v>
          </cell>
          <cell r="F87">
            <v>2.8262676641729012</v>
          </cell>
          <cell r="G87">
            <v>0.46838407494145201</v>
          </cell>
        </row>
        <row r="88">
          <cell r="A88" t="str">
            <v>MAREA LIBERTY</v>
          </cell>
          <cell r="B88" t="str">
            <v>D lower</v>
          </cell>
          <cell r="C88" t="str">
            <v>Hayır</v>
          </cell>
          <cell r="D88">
            <v>34</v>
          </cell>
          <cell r="E88">
            <v>25062000000</v>
          </cell>
          <cell r="F88">
            <v>4.6511627906976747</v>
          </cell>
          <cell r="G88">
            <v>0.46838407494145201</v>
          </cell>
        </row>
        <row r="89">
          <cell r="A89" t="str">
            <v>OPEL ASTRA 1.4 NB</v>
          </cell>
          <cell r="B89" t="str">
            <v>C upper</v>
          </cell>
          <cell r="C89" t="str">
            <v>Evet</v>
          </cell>
          <cell r="D89">
            <v>102</v>
          </cell>
          <cell r="E89">
            <v>25132000000</v>
          </cell>
          <cell r="F89">
            <v>2.823920265780731</v>
          </cell>
          <cell r="G89">
            <v>1.405152224824356</v>
          </cell>
        </row>
        <row r="90">
          <cell r="A90" t="str">
            <v>DHTS YRV</v>
          </cell>
          <cell r="B90" t="str">
            <v>B</v>
          </cell>
          <cell r="C90" t="str">
            <v>Evet</v>
          </cell>
          <cell r="D90">
            <v>1</v>
          </cell>
          <cell r="E90">
            <v>25326000000</v>
          </cell>
          <cell r="F90">
            <v>8.3125519534497094E-2</v>
          </cell>
          <cell r="G90">
            <v>1.3776002204160353E-2</v>
          </cell>
        </row>
        <row r="91">
          <cell r="A91" t="str">
            <v>SEAT TOLEDO</v>
          </cell>
          <cell r="B91" t="str">
            <v>D lower</v>
          </cell>
          <cell r="C91" t="str">
            <v>Evet</v>
          </cell>
          <cell r="D91">
            <v>72</v>
          </cell>
          <cell r="E91">
            <v>25360000000</v>
          </cell>
          <cell r="F91">
            <v>9.8495212038303688</v>
          </cell>
          <cell r="G91">
            <v>0.99187215869954537</v>
          </cell>
        </row>
        <row r="92">
          <cell r="A92" t="str">
            <v>PGT 206 XT 1.6 5D</v>
          </cell>
          <cell r="B92" t="str">
            <v>B</v>
          </cell>
          <cell r="C92" t="str">
            <v>Evet</v>
          </cell>
          <cell r="D92">
            <v>25</v>
          </cell>
          <cell r="E92">
            <v>25500000000</v>
          </cell>
          <cell r="F92">
            <v>2.0781379883624274</v>
          </cell>
          <cell r="G92">
            <v>0.34440005510400884</v>
          </cell>
        </row>
        <row r="93">
          <cell r="A93" t="str">
            <v>PALIO 1.6 16V SPORTING</v>
          </cell>
          <cell r="B93" t="str">
            <v>B</v>
          </cell>
          <cell r="C93" t="str">
            <v>Hayır</v>
          </cell>
          <cell r="D93">
            <v>15</v>
          </cell>
          <cell r="E93">
            <v>25602000000</v>
          </cell>
          <cell r="F93">
            <v>1.2468827930174564</v>
          </cell>
          <cell r="G93">
            <v>0.20664003306240528</v>
          </cell>
        </row>
        <row r="94">
          <cell r="A94" t="str">
            <v>COROLLA RST. 1.4 TERRA</v>
          </cell>
          <cell r="B94" t="str">
            <v>C upper</v>
          </cell>
          <cell r="C94" t="str">
            <v>Hayır</v>
          </cell>
          <cell r="D94">
            <v>93</v>
          </cell>
          <cell r="E94">
            <v>25653000000</v>
          </cell>
          <cell r="F94">
            <v>2.5747508305647839</v>
          </cell>
          <cell r="G94">
            <v>1.2811682049869129</v>
          </cell>
        </row>
        <row r="95">
          <cell r="A95" t="str">
            <v>FORD FOCUS COMF 1.6 HB</v>
          </cell>
          <cell r="B95" t="str">
            <v>C upper</v>
          </cell>
          <cell r="C95" t="str">
            <v>Evet</v>
          </cell>
          <cell r="D95">
            <v>55</v>
          </cell>
          <cell r="E95">
            <v>26138000000</v>
          </cell>
          <cell r="F95">
            <v>1.5227021040974529</v>
          </cell>
          <cell r="G95">
            <v>0.75768012122881945</v>
          </cell>
        </row>
        <row r="96">
          <cell r="A96" t="str">
            <v>VW NEW POLO 75 hp TRENDLINE</v>
          </cell>
          <cell r="B96" t="str">
            <v>B</v>
          </cell>
          <cell r="C96" t="str">
            <v>Evet</v>
          </cell>
          <cell r="D96">
            <v>10</v>
          </cell>
          <cell r="E96">
            <v>26200000000</v>
          </cell>
          <cell r="F96">
            <v>0.83125519534497094</v>
          </cell>
          <cell r="G96">
            <v>0.13776002204160354</v>
          </cell>
        </row>
        <row r="97">
          <cell r="A97" t="str">
            <v>MINI COOPER</v>
          </cell>
          <cell r="B97" t="str">
            <v>B</v>
          </cell>
          <cell r="C97" t="str">
            <v>Evet</v>
          </cell>
          <cell r="D97">
            <v>9</v>
          </cell>
          <cell r="E97">
            <v>26207000000</v>
          </cell>
          <cell r="F97">
            <v>0.74812967581047385</v>
          </cell>
          <cell r="G97">
            <v>0.12398401983744317</v>
          </cell>
        </row>
        <row r="98">
          <cell r="A98" t="str">
            <v>MEGANE WAGON 1.6 16V</v>
          </cell>
          <cell r="B98" t="str">
            <v>C upper</v>
          </cell>
          <cell r="C98" t="str">
            <v>Hayır</v>
          </cell>
          <cell r="D98">
            <v>32</v>
          </cell>
          <cell r="E98">
            <v>26419000000</v>
          </cell>
          <cell r="F98">
            <v>0.88593576965669985</v>
          </cell>
          <cell r="G98">
            <v>0.44083207053313128</v>
          </cell>
        </row>
        <row r="99">
          <cell r="A99" t="str">
            <v>MEGANE 1.6e RTE 16V</v>
          </cell>
          <cell r="B99" t="str">
            <v>C upper</v>
          </cell>
          <cell r="C99" t="str">
            <v>Hayır</v>
          </cell>
          <cell r="D99">
            <v>250</v>
          </cell>
          <cell r="E99">
            <v>26419000000</v>
          </cell>
          <cell r="F99">
            <v>6.921373200442968</v>
          </cell>
          <cell r="G99">
            <v>3.4440005510400882</v>
          </cell>
        </row>
        <row r="100">
          <cell r="A100" t="str">
            <v>NSSN ALMERA SEDAN</v>
          </cell>
          <cell r="B100" t="str">
            <v>C upper</v>
          </cell>
          <cell r="C100" t="str">
            <v>Evet</v>
          </cell>
          <cell r="D100">
            <v>33</v>
          </cell>
          <cell r="E100">
            <v>26890000000</v>
          </cell>
          <cell r="F100">
            <v>0.91362126245847175</v>
          </cell>
          <cell r="G100">
            <v>0.45460807273729165</v>
          </cell>
        </row>
        <row r="101">
          <cell r="A101" t="str">
            <v>OPEL ASTRA 1.6 HB COMFORT</v>
          </cell>
          <cell r="B101" t="str">
            <v>C upper</v>
          </cell>
          <cell r="C101" t="str">
            <v>Evet</v>
          </cell>
          <cell r="D101">
            <v>114</v>
          </cell>
          <cell r="E101">
            <v>26941000000</v>
          </cell>
          <cell r="F101">
            <v>3.1561461794019934</v>
          </cell>
          <cell r="G101">
            <v>1.5704642512742801</v>
          </cell>
        </row>
        <row r="102">
          <cell r="A102" t="str">
            <v>RNLT CLIO 1.6 DYNAMIQUE</v>
          </cell>
          <cell r="B102" t="str">
            <v>B</v>
          </cell>
          <cell r="C102" t="str">
            <v>Evet</v>
          </cell>
          <cell r="D102">
            <v>7</v>
          </cell>
          <cell r="E102">
            <v>26983000000</v>
          </cell>
          <cell r="F102">
            <v>0.58187863674147966</v>
          </cell>
          <cell r="G102">
            <v>9.643201542912247E-2</v>
          </cell>
        </row>
        <row r="103">
          <cell r="A103" t="str">
            <v>RNLT CLIO 1.4 16V BVA PRIVILEGE</v>
          </cell>
          <cell r="B103" t="str">
            <v>B</v>
          </cell>
          <cell r="C103" t="str">
            <v>Evet</v>
          </cell>
          <cell r="D103">
            <v>22</v>
          </cell>
          <cell r="E103">
            <v>26983000000</v>
          </cell>
          <cell r="F103">
            <v>1.8287614297589361</v>
          </cell>
          <cell r="G103">
            <v>0.30307204849152775</v>
          </cell>
        </row>
        <row r="104">
          <cell r="A104" t="str">
            <v>DOBLO MALIBU</v>
          </cell>
          <cell r="B104" t="str">
            <v>P</v>
          </cell>
          <cell r="C104" t="str">
            <v>Hayır</v>
          </cell>
          <cell r="D104">
            <v>6</v>
          </cell>
          <cell r="E104">
            <v>27099000000</v>
          </cell>
          <cell r="F104">
            <v>35.294117647058826</v>
          </cell>
          <cell r="G104">
            <v>8.2656013224962119E-2</v>
          </cell>
        </row>
        <row r="105">
          <cell r="A105" t="str">
            <v>COROLLA RST. 1.6 TERRA</v>
          </cell>
          <cell r="B105" t="str">
            <v>C upper</v>
          </cell>
          <cell r="C105" t="str">
            <v>Hayır</v>
          </cell>
          <cell r="D105">
            <v>84</v>
          </cell>
          <cell r="E105">
            <v>27178000000</v>
          </cell>
          <cell r="F105">
            <v>2.3255813953488373</v>
          </cell>
          <cell r="G105">
            <v>1.1571841851494695</v>
          </cell>
        </row>
        <row r="106">
          <cell r="A106" t="str">
            <v>SKD OCTAVIA COMBI</v>
          </cell>
          <cell r="B106" t="str">
            <v>D lower</v>
          </cell>
          <cell r="C106" t="str">
            <v>Evet</v>
          </cell>
          <cell r="D106">
            <v>6</v>
          </cell>
          <cell r="E106">
            <v>27600000000</v>
          </cell>
          <cell r="F106">
            <v>0.82079343365253077</v>
          </cell>
          <cell r="G106">
            <v>8.2656013224962119E-2</v>
          </cell>
        </row>
        <row r="107">
          <cell r="A107" t="str">
            <v>OPEL ASTRA 1.6 NB COMFORT</v>
          </cell>
          <cell r="B107" t="str">
            <v>C upper</v>
          </cell>
          <cell r="C107" t="str">
            <v>Evet</v>
          </cell>
          <cell r="D107">
            <v>186</v>
          </cell>
          <cell r="E107">
            <v>27611000000</v>
          </cell>
          <cell r="F107">
            <v>5.1495016611295679</v>
          </cell>
          <cell r="G107">
            <v>2.5623364099738257</v>
          </cell>
        </row>
        <row r="108">
          <cell r="A108" t="str">
            <v>HON NEW CIVIC 4D 1.6</v>
          </cell>
          <cell r="B108" t="str">
            <v>D lower</v>
          </cell>
          <cell r="C108" t="str">
            <v>Hayır</v>
          </cell>
          <cell r="D108">
            <v>274</v>
          </cell>
          <cell r="E108">
            <v>27640000000</v>
          </cell>
          <cell r="F108">
            <v>37.482900136798904</v>
          </cell>
          <cell r="G108">
            <v>3.7746246039399365</v>
          </cell>
        </row>
        <row r="109">
          <cell r="A109" t="str">
            <v>FORD FOCUS COMF 1.6 SEDAN</v>
          </cell>
          <cell r="B109" t="str">
            <v>C upper</v>
          </cell>
          <cell r="C109" t="str">
            <v>Evet</v>
          </cell>
          <cell r="D109">
            <v>114</v>
          </cell>
          <cell r="E109">
            <v>27680000000</v>
          </cell>
          <cell r="F109">
            <v>3.1561461794019934</v>
          </cell>
          <cell r="G109">
            <v>1.5704642512742801</v>
          </cell>
        </row>
        <row r="110">
          <cell r="A110" t="str">
            <v>VW NEW POLO 75 hp COMFORTLINE</v>
          </cell>
          <cell r="B110" t="str">
            <v>B</v>
          </cell>
          <cell r="C110" t="str">
            <v>Evet</v>
          </cell>
          <cell r="D110">
            <v>11</v>
          </cell>
          <cell r="E110">
            <v>27700000000</v>
          </cell>
          <cell r="F110">
            <v>0.91438071487946804</v>
          </cell>
          <cell r="G110">
            <v>0.15153602424576387</v>
          </cell>
        </row>
        <row r="111">
          <cell r="A111" t="str">
            <v>MAREA EXCLUSIVE</v>
          </cell>
          <cell r="B111" t="str">
            <v>D lower</v>
          </cell>
          <cell r="C111" t="str">
            <v>Hayır</v>
          </cell>
          <cell r="D111">
            <v>41</v>
          </cell>
          <cell r="E111">
            <v>27763000000</v>
          </cell>
          <cell r="F111">
            <v>5.6087551299589604</v>
          </cell>
          <cell r="G111">
            <v>0.56481609037057445</v>
          </cell>
        </row>
        <row r="112">
          <cell r="A112" t="str">
            <v>OPEL ASTRA 1.6 CLUB SW ABS</v>
          </cell>
          <cell r="B112" t="str">
            <v>C upper</v>
          </cell>
          <cell r="C112" t="str">
            <v>Evet</v>
          </cell>
          <cell r="D112">
            <v>15</v>
          </cell>
          <cell r="E112">
            <v>27851000000</v>
          </cell>
          <cell r="F112">
            <v>0.41528239202657807</v>
          </cell>
          <cell r="G112">
            <v>0.20664003306240528</v>
          </cell>
        </row>
        <row r="113">
          <cell r="A113" t="str">
            <v>VW NEW POLO 75 hp TRENDLINE AT</v>
          </cell>
          <cell r="B113" t="str">
            <v>B</v>
          </cell>
          <cell r="C113" t="str">
            <v>Evet</v>
          </cell>
          <cell r="D113">
            <v>27</v>
          </cell>
          <cell r="E113">
            <v>27900000000</v>
          </cell>
          <cell r="F113">
            <v>2.2443890274314215</v>
          </cell>
          <cell r="G113">
            <v>0.37195205951232951</v>
          </cell>
        </row>
        <row r="114">
          <cell r="A114" t="str">
            <v>MEGANE 1.6e RXI</v>
          </cell>
          <cell r="B114" t="str">
            <v>C upper</v>
          </cell>
          <cell r="C114" t="str">
            <v>Hayır</v>
          </cell>
          <cell r="D114">
            <v>95</v>
          </cell>
          <cell r="E114">
            <v>27991000000</v>
          </cell>
          <cell r="F114">
            <v>2.630121816168328</v>
          </cell>
          <cell r="G114">
            <v>1.3087202093952335</v>
          </cell>
        </row>
        <row r="115">
          <cell r="A115" t="str">
            <v>RNLT MEGANE HB 1.4</v>
          </cell>
          <cell r="B115" t="str">
            <v>C upper</v>
          </cell>
          <cell r="C115" t="str">
            <v>Evet</v>
          </cell>
          <cell r="D115">
            <v>2</v>
          </cell>
          <cell r="E115">
            <v>28055000000</v>
          </cell>
          <cell r="F115">
            <v>5.537098560354374E-2</v>
          </cell>
          <cell r="G115">
            <v>2.7552004408320705E-2</v>
          </cell>
        </row>
        <row r="116">
          <cell r="A116" t="str">
            <v>SZK LIANA</v>
          </cell>
          <cell r="B116" t="str">
            <v>L1</v>
          </cell>
          <cell r="C116" t="str">
            <v>Evet</v>
          </cell>
          <cell r="D116">
            <v>3</v>
          </cell>
          <cell r="E116">
            <v>28130000000</v>
          </cell>
          <cell r="F116">
            <v>1.6304347826086956</v>
          </cell>
          <cell r="G116">
            <v>4.1328006612481059E-2</v>
          </cell>
        </row>
        <row r="117">
          <cell r="A117" t="str">
            <v>FORD FOCUS COMF 1.6 SW</v>
          </cell>
          <cell r="B117" t="str">
            <v>C upper</v>
          </cell>
          <cell r="C117" t="str">
            <v>Evet</v>
          </cell>
          <cell r="D117">
            <v>64</v>
          </cell>
          <cell r="E117">
            <v>28231000000</v>
          </cell>
          <cell r="F117">
            <v>1.7718715393133997</v>
          </cell>
          <cell r="G117">
            <v>0.88166414106626256</v>
          </cell>
        </row>
        <row r="118">
          <cell r="A118" t="str">
            <v>PGT 307 XR 1.4 5K HDI</v>
          </cell>
          <cell r="B118" t="str">
            <v>C upper</v>
          </cell>
          <cell r="C118" t="str">
            <v>Evet</v>
          </cell>
          <cell r="D118">
            <v>63</v>
          </cell>
          <cell r="E118">
            <v>28300000000</v>
          </cell>
          <cell r="F118">
            <v>1.7441860465116279</v>
          </cell>
          <cell r="G118">
            <v>0.86788813886210225</v>
          </cell>
        </row>
        <row r="119">
          <cell r="A119" t="str">
            <v>PGT 307 XR</v>
          </cell>
          <cell r="B119" t="str">
            <v>C upper</v>
          </cell>
          <cell r="C119" t="str">
            <v>Evet</v>
          </cell>
          <cell r="D119">
            <v>107</v>
          </cell>
          <cell r="E119">
            <v>28300000000</v>
          </cell>
          <cell r="F119">
            <v>2.9623477297895904</v>
          </cell>
          <cell r="G119">
            <v>1.4740322358451576</v>
          </cell>
        </row>
        <row r="120">
          <cell r="A120" t="str">
            <v>VW GOLF PRIMELINE</v>
          </cell>
          <cell r="B120" t="str">
            <v>C upper</v>
          </cell>
          <cell r="C120" t="str">
            <v>Evet</v>
          </cell>
          <cell r="D120">
            <v>50</v>
          </cell>
          <cell r="E120">
            <v>28350000000</v>
          </cell>
          <cell r="F120">
            <v>1.3842746400885935</v>
          </cell>
          <cell r="G120">
            <v>0.68880011020801768</v>
          </cell>
        </row>
        <row r="121">
          <cell r="A121" t="str">
            <v>MAREA 1.6 AT IMP.</v>
          </cell>
          <cell r="B121" t="str">
            <v>D lower</v>
          </cell>
          <cell r="C121" t="str">
            <v>Evet</v>
          </cell>
          <cell r="D121">
            <v>3</v>
          </cell>
          <cell r="E121">
            <v>28521000000</v>
          </cell>
          <cell r="F121">
            <v>0.41039671682626538</v>
          </cell>
          <cell r="G121">
            <v>4.1328006612481059E-2</v>
          </cell>
        </row>
        <row r="122">
          <cell r="A122" t="str">
            <v>VW NEW POLO TDI PRIMELINE</v>
          </cell>
          <cell r="B122" t="str">
            <v>B</v>
          </cell>
          <cell r="C122" t="str">
            <v>Evet</v>
          </cell>
          <cell r="D122">
            <v>15</v>
          </cell>
          <cell r="E122">
            <v>28750000000</v>
          </cell>
          <cell r="F122">
            <v>1.2468827930174564</v>
          </cell>
          <cell r="G122">
            <v>0.20664003306240528</v>
          </cell>
        </row>
        <row r="123">
          <cell r="A123" t="str">
            <v>MTSB CARISMA  1.6 GLX</v>
          </cell>
          <cell r="B123" t="str">
            <v>D upper</v>
          </cell>
          <cell r="C123" t="str">
            <v>Evet</v>
          </cell>
          <cell r="D123">
            <v>12</v>
          </cell>
          <cell r="E123">
            <v>28897000000</v>
          </cell>
          <cell r="F123">
            <v>1.2170385395537526</v>
          </cell>
          <cell r="G123">
            <v>0.16531202644992424</v>
          </cell>
        </row>
        <row r="124">
          <cell r="A124" t="str">
            <v>RNLT MEGANE HB 1.6</v>
          </cell>
          <cell r="B124" t="str">
            <v>C upper</v>
          </cell>
          <cell r="C124" t="str">
            <v>Evet</v>
          </cell>
          <cell r="D124">
            <v>6</v>
          </cell>
          <cell r="E124">
            <v>29069000000</v>
          </cell>
          <cell r="F124">
            <v>0.16611295681063123</v>
          </cell>
          <cell r="G124">
            <v>8.2656013224962119E-2</v>
          </cell>
        </row>
        <row r="125">
          <cell r="A125" t="str">
            <v>PGT 307 XS 1.6 3D</v>
          </cell>
          <cell r="B125" t="str">
            <v>C upper</v>
          </cell>
          <cell r="C125" t="str">
            <v>Evet</v>
          </cell>
          <cell r="D125">
            <v>1</v>
          </cell>
          <cell r="E125">
            <v>29200000000</v>
          </cell>
          <cell r="F125">
            <v>2.768549280177187E-2</v>
          </cell>
          <cell r="G125">
            <v>1.3776002204160353E-2</v>
          </cell>
        </row>
        <row r="126">
          <cell r="A126" t="str">
            <v>COROLLA RST. 1.6 TERRA AT</v>
          </cell>
          <cell r="B126" t="str">
            <v>C upper</v>
          </cell>
          <cell r="C126" t="str">
            <v>Hayır</v>
          </cell>
          <cell r="D126">
            <v>13</v>
          </cell>
          <cell r="E126">
            <v>29376000000</v>
          </cell>
          <cell r="F126">
            <v>0.35991140642303432</v>
          </cell>
          <cell r="G126">
            <v>0.17908802865408457</v>
          </cell>
        </row>
        <row r="127">
          <cell r="A127" t="str">
            <v>MTSB SPACESTAR 1.6</v>
          </cell>
          <cell r="B127" t="str">
            <v>L1</v>
          </cell>
          <cell r="C127" t="str">
            <v>Evet</v>
          </cell>
          <cell r="D127">
            <v>1</v>
          </cell>
          <cell r="E127">
            <v>29449000000</v>
          </cell>
          <cell r="F127">
            <v>0.54347826086956519</v>
          </cell>
          <cell r="G127">
            <v>1.3776002204160353E-2</v>
          </cell>
        </row>
        <row r="128">
          <cell r="A128" t="str">
            <v>VW NEW POLO 100 hp COMFORTLINE</v>
          </cell>
          <cell r="B128" t="str">
            <v>B</v>
          </cell>
          <cell r="C128" t="str">
            <v>Evet</v>
          </cell>
          <cell r="D128">
            <v>4</v>
          </cell>
          <cell r="E128">
            <v>29450000000</v>
          </cell>
          <cell r="F128">
            <v>0.33250207813798838</v>
          </cell>
          <cell r="G128">
            <v>5.510400881664141E-2</v>
          </cell>
        </row>
        <row r="129">
          <cell r="A129" t="str">
            <v>NSSN ALMERA HB</v>
          </cell>
          <cell r="B129" t="str">
            <v>C upper</v>
          </cell>
          <cell r="C129" t="str">
            <v>Evet</v>
          </cell>
          <cell r="D129">
            <v>1</v>
          </cell>
          <cell r="E129">
            <v>29490000000</v>
          </cell>
          <cell r="F129">
            <v>2.768549280177187E-2</v>
          </cell>
          <cell r="G129">
            <v>1.3776002204160353E-2</v>
          </cell>
        </row>
        <row r="130">
          <cell r="A130" t="str">
            <v>BRAVO 2.0 HGT</v>
          </cell>
          <cell r="B130" t="str">
            <v>C upper</v>
          </cell>
          <cell r="C130" t="str">
            <v>Evet</v>
          </cell>
          <cell r="D130">
            <v>1</v>
          </cell>
          <cell r="E130">
            <v>29533000000</v>
          </cell>
          <cell r="F130">
            <v>2.768549280177187E-2</v>
          </cell>
          <cell r="G130">
            <v>1.3776002204160353E-2</v>
          </cell>
        </row>
        <row r="131">
          <cell r="A131" t="str">
            <v>VW NEW POLO 75 hp COMFORTLINE AT</v>
          </cell>
          <cell r="B131" t="str">
            <v>B</v>
          </cell>
          <cell r="C131" t="str">
            <v>Evet</v>
          </cell>
          <cell r="D131">
            <v>17</v>
          </cell>
          <cell r="E131">
            <v>29550000000</v>
          </cell>
          <cell r="F131">
            <v>1.4131338320864506</v>
          </cell>
          <cell r="G131">
            <v>0.23419203747072601</v>
          </cell>
        </row>
        <row r="132">
          <cell r="A132" t="str">
            <v>MAREA 1.6 SW AT</v>
          </cell>
          <cell r="B132" t="str">
            <v>D lower</v>
          </cell>
          <cell r="C132" t="str">
            <v>Evet</v>
          </cell>
          <cell r="D132">
            <v>1</v>
          </cell>
          <cell r="E132">
            <v>29780000000</v>
          </cell>
          <cell r="F132">
            <v>0.13679890560875513</v>
          </cell>
          <cell r="G132">
            <v>1.3776002204160353E-2</v>
          </cell>
        </row>
        <row r="133">
          <cell r="A133" t="str">
            <v>VW BORA PRIMELINE</v>
          </cell>
          <cell r="B133" t="str">
            <v>D lower</v>
          </cell>
          <cell r="C133" t="str">
            <v>Evet</v>
          </cell>
          <cell r="D133">
            <v>48</v>
          </cell>
          <cell r="E133">
            <v>29850000000</v>
          </cell>
          <cell r="F133">
            <v>6.5663474692202461</v>
          </cell>
          <cell r="G133">
            <v>0.66124810579969695</v>
          </cell>
        </row>
        <row r="134">
          <cell r="A134" t="str">
            <v>MEGANE 1.6e RXI BVA</v>
          </cell>
          <cell r="B134" t="str">
            <v>C upper</v>
          </cell>
          <cell r="C134" t="str">
            <v>Hayır</v>
          </cell>
          <cell r="D134">
            <v>16</v>
          </cell>
          <cell r="E134">
            <v>29877000000</v>
          </cell>
          <cell r="F134">
            <v>0.44296788482834992</v>
          </cell>
          <cell r="G134">
            <v>0.22041603526656564</v>
          </cell>
        </row>
        <row r="135">
          <cell r="A135" t="str">
            <v>PGT 307 XS 1.6 5D</v>
          </cell>
          <cell r="B135" t="str">
            <v>C upper</v>
          </cell>
          <cell r="C135" t="str">
            <v>Evet</v>
          </cell>
          <cell r="D135">
            <v>25</v>
          </cell>
          <cell r="E135">
            <v>29900000000</v>
          </cell>
          <cell r="F135">
            <v>0.69213732004429673</v>
          </cell>
          <cell r="G135">
            <v>0.34440005510400884</v>
          </cell>
        </row>
        <row r="136">
          <cell r="A136" t="str">
            <v>OPEL ASTRA 1.6 HB ELEGANCE</v>
          </cell>
          <cell r="B136" t="str">
            <v>C upper</v>
          </cell>
          <cell r="C136" t="str">
            <v>Evet</v>
          </cell>
          <cell r="D136">
            <v>33</v>
          </cell>
          <cell r="E136">
            <v>29905000000</v>
          </cell>
          <cell r="F136">
            <v>0.91362126245847175</v>
          </cell>
          <cell r="G136">
            <v>0.45460807273729165</v>
          </cell>
        </row>
        <row r="137">
          <cell r="A137" t="str">
            <v>COROLLA RST. 1.6 SOL</v>
          </cell>
          <cell r="B137" t="str">
            <v>C upper</v>
          </cell>
          <cell r="C137" t="str">
            <v>Hayır</v>
          </cell>
          <cell r="D137">
            <v>126</v>
          </cell>
          <cell r="E137">
            <v>30088000000</v>
          </cell>
          <cell r="F137">
            <v>3.4883720930232558</v>
          </cell>
          <cell r="G137">
            <v>1.7357762777242045</v>
          </cell>
        </row>
        <row r="138">
          <cell r="A138" t="str">
            <v>CTRN XSARA</v>
          </cell>
          <cell r="B138" t="str">
            <v>C upper</v>
          </cell>
          <cell r="C138" t="str">
            <v>Evet</v>
          </cell>
          <cell r="D138">
            <v>20</v>
          </cell>
          <cell r="E138">
            <v>30198000000</v>
          </cell>
          <cell r="F138">
            <v>0.55370985603543743</v>
          </cell>
          <cell r="G138">
            <v>0.27552004408320707</v>
          </cell>
        </row>
        <row r="139">
          <cell r="A139" t="str">
            <v>VW NEW POLO TDI TRENDLINE</v>
          </cell>
          <cell r="B139" t="str">
            <v>B</v>
          </cell>
          <cell r="C139" t="str">
            <v>Evet</v>
          </cell>
          <cell r="D139">
            <v>11</v>
          </cell>
          <cell r="E139">
            <v>30450000000</v>
          </cell>
          <cell r="F139">
            <v>0.91438071487946804</v>
          </cell>
          <cell r="G139">
            <v>0.15153602424576387</v>
          </cell>
        </row>
        <row r="140">
          <cell r="A140" t="str">
            <v>HYND ELANTRA SEDAN</v>
          </cell>
          <cell r="B140" t="str">
            <v>D upper</v>
          </cell>
          <cell r="C140" t="str">
            <v>Evet</v>
          </cell>
          <cell r="D140">
            <v>21</v>
          </cell>
          <cell r="E140">
            <v>30477000000</v>
          </cell>
          <cell r="F140">
            <v>2.1298174442190669</v>
          </cell>
          <cell r="G140">
            <v>0.28929604628736738</v>
          </cell>
        </row>
        <row r="141">
          <cell r="A141" t="str">
            <v>COROLLA HB  RST. 1.4 TERRA</v>
          </cell>
          <cell r="B141" t="str">
            <v>C upper</v>
          </cell>
          <cell r="C141" t="str">
            <v>Evet</v>
          </cell>
          <cell r="D141">
            <v>1</v>
          </cell>
          <cell r="E141">
            <v>30488000000</v>
          </cell>
          <cell r="F141">
            <v>2.768549280177187E-2</v>
          </cell>
          <cell r="G141">
            <v>1.3776002204160353E-2</v>
          </cell>
        </row>
        <row r="142">
          <cell r="A142" t="str">
            <v>OPEL ASTRA 1.6 NB ELEGANCE</v>
          </cell>
          <cell r="B142" t="str">
            <v>C upper</v>
          </cell>
          <cell r="C142" t="str">
            <v>Evet</v>
          </cell>
          <cell r="D142">
            <v>138</v>
          </cell>
          <cell r="E142">
            <v>30576000000</v>
          </cell>
          <cell r="F142">
            <v>3.8205980066445182</v>
          </cell>
          <cell r="G142">
            <v>1.9010883041741287</v>
          </cell>
        </row>
        <row r="143">
          <cell r="A143" t="str">
            <v>SBR IMPREZA</v>
          </cell>
          <cell r="B143" t="str">
            <v>D upper</v>
          </cell>
          <cell r="C143" t="str">
            <v>Evet</v>
          </cell>
          <cell r="D143">
            <v>8</v>
          </cell>
          <cell r="E143">
            <v>30600000000</v>
          </cell>
          <cell r="F143">
            <v>0.81135902636916835</v>
          </cell>
          <cell r="G143">
            <v>0.11020801763328282</v>
          </cell>
        </row>
        <row r="144">
          <cell r="A144" t="str">
            <v>VW GOLF 1.6 TRENDLINE</v>
          </cell>
          <cell r="B144" t="str">
            <v>C upper</v>
          </cell>
          <cell r="C144" t="str">
            <v>Evet</v>
          </cell>
          <cell r="D144">
            <v>31</v>
          </cell>
          <cell r="E144">
            <v>30900000000</v>
          </cell>
          <cell r="F144">
            <v>0.85825027685492805</v>
          </cell>
          <cell r="G144">
            <v>0.42705606832897092</v>
          </cell>
        </row>
        <row r="145">
          <cell r="A145" t="str">
            <v>PGT 307 XT 1.6 5D</v>
          </cell>
          <cell r="B145" t="str">
            <v>C upper</v>
          </cell>
          <cell r="C145" t="str">
            <v>Evet</v>
          </cell>
          <cell r="D145">
            <v>227</v>
          </cell>
          <cell r="E145">
            <v>31300000000</v>
          </cell>
          <cell r="F145">
            <v>6.284606866002215</v>
          </cell>
          <cell r="G145">
            <v>3.1271525003443998</v>
          </cell>
        </row>
        <row r="146">
          <cell r="A146" t="str">
            <v>OPEL ZAFIRA</v>
          </cell>
          <cell r="B146" t="str">
            <v>L1</v>
          </cell>
          <cell r="C146" t="str">
            <v>Evet</v>
          </cell>
          <cell r="D146">
            <v>43</v>
          </cell>
          <cell r="E146">
            <v>31429000000</v>
          </cell>
          <cell r="F146">
            <v>23.369565217391305</v>
          </cell>
          <cell r="G146">
            <v>0.59236809477889518</v>
          </cell>
        </row>
        <row r="147">
          <cell r="A147" t="str">
            <v>PGT 206 GTI</v>
          </cell>
          <cell r="B147" t="str">
            <v>B</v>
          </cell>
          <cell r="C147" t="str">
            <v>Evet</v>
          </cell>
          <cell r="D147">
            <v>3</v>
          </cell>
          <cell r="E147">
            <v>31500000000</v>
          </cell>
          <cell r="F147">
            <v>0.24937655860349128</v>
          </cell>
          <cell r="G147">
            <v>4.1328006612481059E-2</v>
          </cell>
        </row>
        <row r="148">
          <cell r="A148" t="str">
            <v>HON CIVIC 3D RST</v>
          </cell>
          <cell r="B148" t="str">
            <v>C upper</v>
          </cell>
          <cell r="C148" t="str">
            <v>Evet</v>
          </cell>
          <cell r="D148">
            <v>4</v>
          </cell>
          <cell r="E148">
            <v>31610000000</v>
          </cell>
          <cell r="F148">
            <v>0.11074197120708748</v>
          </cell>
          <cell r="G148">
            <v>5.510400881664141E-2</v>
          </cell>
        </row>
        <row r="149">
          <cell r="A149" t="str">
            <v>VW NEW POLO 100 hp HIGHLINE</v>
          </cell>
          <cell r="B149" t="str">
            <v>B</v>
          </cell>
          <cell r="C149" t="str">
            <v>Evet</v>
          </cell>
          <cell r="D149">
            <v>4</v>
          </cell>
          <cell r="E149">
            <v>31700000000</v>
          </cell>
          <cell r="F149">
            <v>0.33250207813798838</v>
          </cell>
          <cell r="G149">
            <v>5.510400881664141E-2</v>
          </cell>
        </row>
        <row r="150">
          <cell r="A150" t="str">
            <v>MEGANE 1.9 RTE TDI</v>
          </cell>
          <cell r="B150" t="str">
            <v>C upper</v>
          </cell>
          <cell r="C150" t="str">
            <v>Hayır</v>
          </cell>
          <cell r="D150">
            <v>56</v>
          </cell>
          <cell r="E150">
            <v>31994000000</v>
          </cell>
          <cell r="F150">
            <v>1.5503875968992249</v>
          </cell>
          <cell r="G150">
            <v>0.77145612343297976</v>
          </cell>
        </row>
        <row r="151">
          <cell r="A151" t="str">
            <v>MEGANE WAGON 1.9 TDI</v>
          </cell>
          <cell r="B151" t="str">
            <v>C upper</v>
          </cell>
          <cell r="C151" t="str">
            <v>Hayır</v>
          </cell>
          <cell r="D151">
            <v>11</v>
          </cell>
          <cell r="E151">
            <v>31994000000</v>
          </cell>
          <cell r="F151">
            <v>0.30454042081949056</v>
          </cell>
          <cell r="G151">
            <v>0.15153602424576387</v>
          </cell>
        </row>
        <row r="152">
          <cell r="A152" t="str">
            <v>FORD FOCUS 1.6 GHIA HB</v>
          </cell>
          <cell r="B152" t="str">
            <v>C upper</v>
          </cell>
          <cell r="C152" t="str">
            <v>Evet</v>
          </cell>
          <cell r="D152">
            <v>76</v>
          </cell>
          <cell r="E152">
            <v>32015000000</v>
          </cell>
          <cell r="F152">
            <v>2.1040974529346621</v>
          </cell>
          <cell r="G152">
            <v>1.0469761675161868</v>
          </cell>
        </row>
        <row r="153">
          <cell r="A153" t="str">
            <v>MZD 323 FAMILIA 1.5</v>
          </cell>
          <cell r="B153" t="str">
            <v>D upper</v>
          </cell>
          <cell r="C153" t="str">
            <v>Evet</v>
          </cell>
          <cell r="D153">
            <v>17</v>
          </cell>
          <cell r="E153">
            <v>32200000000</v>
          </cell>
          <cell r="F153">
            <v>1.7241379310344827</v>
          </cell>
          <cell r="G153">
            <v>0.23419203747072601</v>
          </cell>
        </row>
        <row r="154">
          <cell r="A154" t="str">
            <v>COROLLA RST. 1.6 SOL AT</v>
          </cell>
          <cell r="B154" t="str">
            <v>C upper</v>
          </cell>
          <cell r="C154" t="str">
            <v>Hayır</v>
          </cell>
          <cell r="D154">
            <v>65</v>
          </cell>
          <cell r="E154">
            <v>32286000000</v>
          </cell>
          <cell r="F154">
            <v>1.7995570321151717</v>
          </cell>
          <cell r="G154">
            <v>0.89544014327042287</v>
          </cell>
        </row>
        <row r="155">
          <cell r="A155" t="str">
            <v>COROLLA HB RST 1.6 TERRA</v>
          </cell>
          <cell r="B155" t="str">
            <v>C upper</v>
          </cell>
          <cell r="C155" t="str">
            <v>Evet</v>
          </cell>
          <cell r="D155">
            <v>13</v>
          </cell>
          <cell r="E155">
            <v>32315000000</v>
          </cell>
          <cell r="F155">
            <v>0.35991140642303432</v>
          </cell>
          <cell r="G155">
            <v>0.17908802865408457</v>
          </cell>
        </row>
        <row r="156">
          <cell r="A156" t="str">
            <v>VW BORA 1.6 TRENDLINE</v>
          </cell>
          <cell r="B156" t="str">
            <v>D lower</v>
          </cell>
          <cell r="C156" t="str">
            <v>Evet</v>
          </cell>
          <cell r="D156">
            <v>18</v>
          </cell>
          <cell r="E156">
            <v>32400000000</v>
          </cell>
          <cell r="F156">
            <v>2.4623803009575922</v>
          </cell>
          <cell r="G156">
            <v>0.24796803967488634</v>
          </cell>
        </row>
        <row r="157">
          <cell r="A157" t="str">
            <v>FORD FOCUS 1.6 GHIA SEDAN</v>
          </cell>
          <cell r="B157" t="str">
            <v>C upper</v>
          </cell>
          <cell r="C157" t="str">
            <v>Evet</v>
          </cell>
          <cell r="D157">
            <v>90</v>
          </cell>
          <cell r="E157">
            <v>32664000000</v>
          </cell>
          <cell r="F157">
            <v>2.4916943521594686</v>
          </cell>
          <cell r="G157">
            <v>1.2398401983744318</v>
          </cell>
        </row>
        <row r="158">
          <cell r="A158" t="str">
            <v>HON CIVIC 5D RST</v>
          </cell>
          <cell r="B158" t="str">
            <v>D lower</v>
          </cell>
          <cell r="C158" t="str">
            <v>Evet</v>
          </cell>
          <cell r="D158">
            <v>5</v>
          </cell>
          <cell r="E158">
            <v>33020000000</v>
          </cell>
          <cell r="F158">
            <v>0.6839945280437757</v>
          </cell>
          <cell r="G158">
            <v>6.8880011020801768E-2</v>
          </cell>
        </row>
        <row r="159">
          <cell r="A159" t="str">
            <v>MAREA 2.0 SW HLX</v>
          </cell>
          <cell r="B159" t="str">
            <v>D lower</v>
          </cell>
          <cell r="C159" t="str">
            <v>Evet</v>
          </cell>
          <cell r="D159">
            <v>1</v>
          </cell>
          <cell r="E159">
            <v>33289000000</v>
          </cell>
          <cell r="F159">
            <v>0.13679890560875513</v>
          </cell>
          <cell r="G159">
            <v>1.3776002204160353E-2</v>
          </cell>
        </row>
        <row r="160">
          <cell r="A160" t="str">
            <v>FORD FOCUS 1.6 GHIA SW</v>
          </cell>
          <cell r="B160" t="str">
            <v>C upper</v>
          </cell>
          <cell r="C160" t="str">
            <v>Evet</v>
          </cell>
          <cell r="D160">
            <v>6</v>
          </cell>
          <cell r="E160">
            <v>33313000000</v>
          </cell>
          <cell r="F160">
            <v>0.16611295681063123</v>
          </cell>
          <cell r="G160">
            <v>8.2656013224962119E-2</v>
          </cell>
        </row>
        <row r="161">
          <cell r="A161" t="str">
            <v>MAREA 2.0 HLX LOC.</v>
          </cell>
          <cell r="B161" t="str">
            <v>D lower</v>
          </cell>
          <cell r="C161" t="str">
            <v>Hayır</v>
          </cell>
          <cell r="D161">
            <v>24</v>
          </cell>
          <cell r="E161">
            <v>33492000000</v>
          </cell>
          <cell r="F161">
            <v>3.2831737346101231</v>
          </cell>
          <cell r="G161">
            <v>0.33062405289984848</v>
          </cell>
        </row>
        <row r="162">
          <cell r="A162" t="str">
            <v>PGT 206 CC</v>
          </cell>
          <cell r="B162" t="str">
            <v>B</v>
          </cell>
          <cell r="C162" t="str">
            <v>Evet</v>
          </cell>
          <cell r="D162">
            <v>16</v>
          </cell>
          <cell r="E162">
            <v>33500000000</v>
          </cell>
          <cell r="F162">
            <v>1.3300083125519535</v>
          </cell>
          <cell r="G162">
            <v>0.22041603526656564</v>
          </cell>
        </row>
        <row r="163">
          <cell r="A163" t="str">
            <v>RNLT MEGANE COUPE</v>
          </cell>
          <cell r="B163" t="str">
            <v>C upper</v>
          </cell>
          <cell r="C163" t="str">
            <v>Evet</v>
          </cell>
          <cell r="D163">
            <v>15</v>
          </cell>
          <cell r="E163">
            <v>33649000000</v>
          </cell>
          <cell r="F163">
            <v>0.41528239202657807</v>
          </cell>
          <cell r="G163">
            <v>0.20664003306240528</v>
          </cell>
        </row>
        <row r="164">
          <cell r="A164" t="str">
            <v>NSSN PRIMERA</v>
          </cell>
          <cell r="B164" t="str">
            <v>D upper</v>
          </cell>
          <cell r="C164" t="str">
            <v>Evet</v>
          </cell>
          <cell r="D164">
            <v>2</v>
          </cell>
          <cell r="E164">
            <v>33790000000</v>
          </cell>
          <cell r="F164">
            <v>0.20283975659229209</v>
          </cell>
          <cell r="G164">
            <v>2.7552004408320705E-2</v>
          </cell>
        </row>
        <row r="165">
          <cell r="A165" t="str">
            <v>COROLLA HB RST 1.6 TERRA AT</v>
          </cell>
          <cell r="B165" t="str">
            <v>C upper</v>
          </cell>
          <cell r="C165" t="str">
            <v>Evet</v>
          </cell>
          <cell r="D165">
            <v>3</v>
          </cell>
          <cell r="E165">
            <v>34175000000</v>
          </cell>
          <cell r="F165">
            <v>8.3056478405315617E-2</v>
          </cell>
          <cell r="G165">
            <v>4.1328006612481059E-2</v>
          </cell>
        </row>
        <row r="166">
          <cell r="A166" t="str">
            <v>RNLT SCENIC</v>
          </cell>
          <cell r="B166" t="str">
            <v>L1</v>
          </cell>
          <cell r="C166" t="str">
            <v>Evet</v>
          </cell>
          <cell r="D166">
            <v>58</v>
          </cell>
          <cell r="E166">
            <v>34284000000</v>
          </cell>
          <cell r="F166">
            <v>31.521739130434781</v>
          </cell>
          <cell r="G166">
            <v>0.79900812784130049</v>
          </cell>
        </row>
        <row r="167">
          <cell r="A167" t="str">
            <v>OPEL ASTRA COUPE</v>
          </cell>
          <cell r="B167" t="str">
            <v>C upper</v>
          </cell>
          <cell r="C167" t="str">
            <v>Evet</v>
          </cell>
          <cell r="D167">
            <v>22</v>
          </cell>
          <cell r="E167">
            <v>34286000000</v>
          </cell>
          <cell r="F167">
            <v>0.60908084163898113</v>
          </cell>
          <cell r="G167">
            <v>0.30307204849152775</v>
          </cell>
        </row>
        <row r="168">
          <cell r="A168" t="str">
            <v>CTRN PICASSO</v>
          </cell>
          <cell r="B168" t="str">
            <v>L1</v>
          </cell>
          <cell r="C168" t="str">
            <v>Evet</v>
          </cell>
          <cell r="D168">
            <v>2</v>
          </cell>
          <cell r="E168">
            <v>34686000000</v>
          </cell>
          <cell r="F168">
            <v>1.0869565217391304</v>
          </cell>
          <cell r="G168">
            <v>2.7552004408320705E-2</v>
          </cell>
        </row>
        <row r="169">
          <cell r="A169" t="str">
            <v>VW GOLF COMFORTLINE</v>
          </cell>
          <cell r="B169" t="str">
            <v>C upper</v>
          </cell>
          <cell r="C169" t="str">
            <v>Evet</v>
          </cell>
          <cell r="D169">
            <v>27</v>
          </cell>
          <cell r="E169">
            <v>35000000000</v>
          </cell>
          <cell r="F169">
            <v>0.74750830564784054</v>
          </cell>
          <cell r="G169">
            <v>0.37195205951232951</v>
          </cell>
        </row>
        <row r="170">
          <cell r="A170" t="str">
            <v>COROLLA HB  RST. 1.6 SOL</v>
          </cell>
          <cell r="B170" t="str">
            <v>C upper</v>
          </cell>
          <cell r="C170" t="str">
            <v>Evet</v>
          </cell>
          <cell r="D170">
            <v>15</v>
          </cell>
          <cell r="E170">
            <v>35616000000</v>
          </cell>
          <cell r="F170">
            <v>0.41528239202657807</v>
          </cell>
          <cell r="G170">
            <v>0.20664003306240528</v>
          </cell>
        </row>
        <row r="171">
          <cell r="A171" t="str">
            <v>DAE LEGANZA</v>
          </cell>
          <cell r="B171" t="str">
            <v>E</v>
          </cell>
          <cell r="C171" t="str">
            <v>Evet</v>
          </cell>
          <cell r="D171">
            <v>1</v>
          </cell>
          <cell r="E171">
            <v>35846000000</v>
          </cell>
          <cell r="F171">
            <v>0.49504950495049505</v>
          </cell>
          <cell r="G171">
            <v>1.3776002204160353E-2</v>
          </cell>
        </row>
        <row r="172">
          <cell r="A172" t="str">
            <v>RNLT LAGUNA 1.6 EXPRESSION</v>
          </cell>
          <cell r="B172" t="str">
            <v>D upper</v>
          </cell>
          <cell r="C172" t="str">
            <v>Evet</v>
          </cell>
          <cell r="D172">
            <v>36</v>
          </cell>
          <cell r="E172">
            <v>36803000000</v>
          </cell>
          <cell r="F172">
            <v>3.6511156186612577</v>
          </cell>
          <cell r="G172">
            <v>0.49593607934977268</v>
          </cell>
        </row>
        <row r="173">
          <cell r="A173" t="str">
            <v>VW BORA 1.6  COMFORTLINE</v>
          </cell>
          <cell r="B173" t="str">
            <v>D lower</v>
          </cell>
          <cell r="C173" t="str">
            <v>Evet</v>
          </cell>
          <cell r="D173">
            <v>43</v>
          </cell>
          <cell r="E173">
            <v>36900000000</v>
          </cell>
          <cell r="F173">
            <v>5.882352941176471</v>
          </cell>
          <cell r="G173">
            <v>0.59236809477889518</v>
          </cell>
        </row>
        <row r="174">
          <cell r="A174" t="str">
            <v>CTRN BERLINGO MULTISPACE</v>
          </cell>
          <cell r="B174" t="str">
            <v>P</v>
          </cell>
          <cell r="C174" t="str">
            <v>Evet</v>
          </cell>
          <cell r="D174">
            <v>1</v>
          </cell>
          <cell r="E174">
            <v>37399000000</v>
          </cell>
          <cell r="F174">
            <v>5.882352941176471</v>
          </cell>
          <cell r="G174">
            <v>1.3776002204160353E-2</v>
          </cell>
        </row>
        <row r="175">
          <cell r="A175" t="str">
            <v>COROLLA HB RST 1.6 SOL AT</v>
          </cell>
          <cell r="B175" t="str">
            <v>C upper</v>
          </cell>
          <cell r="C175" t="str">
            <v>Evet</v>
          </cell>
          <cell r="D175">
            <v>17</v>
          </cell>
          <cell r="E175">
            <v>37476000000</v>
          </cell>
          <cell r="F175">
            <v>0.47065337763012183</v>
          </cell>
          <cell r="G175">
            <v>0.23419203747072601</v>
          </cell>
        </row>
        <row r="176">
          <cell r="A176" t="str">
            <v>PGT 307 XT 2.0 5D</v>
          </cell>
          <cell r="B176" t="str">
            <v>C upper</v>
          </cell>
          <cell r="C176" t="str">
            <v>Evet</v>
          </cell>
          <cell r="D176">
            <v>5</v>
          </cell>
          <cell r="E176">
            <v>37800000000</v>
          </cell>
          <cell r="F176">
            <v>0.13842746400885936</v>
          </cell>
          <cell r="G176">
            <v>6.8880011020801768E-2</v>
          </cell>
        </row>
        <row r="177">
          <cell r="A177" t="str">
            <v>COROLLA VERSO 1.6</v>
          </cell>
          <cell r="B177" t="str">
            <v>C upper</v>
          </cell>
          <cell r="C177" t="str">
            <v>Evet</v>
          </cell>
          <cell r="D177">
            <v>15</v>
          </cell>
          <cell r="E177">
            <v>38956000000</v>
          </cell>
          <cell r="F177">
            <v>0.41528239202657807</v>
          </cell>
          <cell r="G177">
            <v>0.20664003306240528</v>
          </cell>
        </row>
        <row r="178">
          <cell r="A178" t="str">
            <v>VW PASSAT 1.6</v>
          </cell>
          <cell r="B178" t="str">
            <v>D upper</v>
          </cell>
          <cell r="C178" t="str">
            <v>Evet</v>
          </cell>
          <cell r="D178">
            <v>32</v>
          </cell>
          <cell r="E178">
            <v>39500000000</v>
          </cell>
          <cell r="F178">
            <v>3.2454361054766734</v>
          </cell>
          <cell r="G178">
            <v>0.44083207053313128</v>
          </cell>
        </row>
        <row r="179">
          <cell r="A179" t="str">
            <v>MER A</v>
          </cell>
          <cell r="B179" t="str">
            <v>L1</v>
          </cell>
          <cell r="C179" t="str">
            <v>Evet</v>
          </cell>
          <cell r="D179">
            <v>15</v>
          </cell>
          <cell r="E179">
            <v>40154000000</v>
          </cell>
          <cell r="F179">
            <v>8.1521739130434785</v>
          </cell>
          <cell r="G179">
            <v>0.20664003306240528</v>
          </cell>
        </row>
        <row r="180">
          <cell r="A180" t="str">
            <v>PGT 307 XT 2.0 HDI 5D</v>
          </cell>
          <cell r="B180" t="str">
            <v>C upper</v>
          </cell>
          <cell r="C180" t="str">
            <v>Evet</v>
          </cell>
          <cell r="D180">
            <v>8</v>
          </cell>
          <cell r="E180">
            <v>40200000000</v>
          </cell>
          <cell r="F180">
            <v>0.22148394241417496</v>
          </cell>
          <cell r="G180">
            <v>0.11020801763328282</v>
          </cell>
        </row>
        <row r="181">
          <cell r="A181" t="str">
            <v>PGT 307 XSI 2.0 3K</v>
          </cell>
          <cell r="B181" t="str">
            <v>C upper</v>
          </cell>
          <cell r="C181" t="str">
            <v>Evet</v>
          </cell>
          <cell r="D181">
            <v>5</v>
          </cell>
          <cell r="E181">
            <v>40400000000</v>
          </cell>
          <cell r="F181">
            <v>0.13842746400885936</v>
          </cell>
          <cell r="G181">
            <v>6.8880011020801768E-2</v>
          </cell>
        </row>
        <row r="182">
          <cell r="A182" t="str">
            <v>FORD MONDEO TREND 2.0 SEDAN</v>
          </cell>
          <cell r="B182" t="str">
            <v>D upper</v>
          </cell>
          <cell r="C182" t="str">
            <v>Evet</v>
          </cell>
          <cell r="D182">
            <v>21</v>
          </cell>
          <cell r="E182">
            <v>40555000000</v>
          </cell>
          <cell r="F182">
            <v>2.1298174442190669</v>
          </cell>
          <cell r="G182">
            <v>0.28929604628736738</v>
          </cell>
        </row>
        <row r="183">
          <cell r="A183" t="str">
            <v>VW GOLF TDI 90HP</v>
          </cell>
          <cell r="B183" t="str">
            <v>C upper</v>
          </cell>
          <cell r="C183" t="str">
            <v>Evet</v>
          </cell>
          <cell r="D183">
            <v>1</v>
          </cell>
          <cell r="E183">
            <v>40800000000</v>
          </cell>
          <cell r="F183">
            <v>2.768549280177187E-2</v>
          </cell>
          <cell r="G183">
            <v>1.3776002204160353E-2</v>
          </cell>
        </row>
        <row r="184">
          <cell r="A184" t="str">
            <v>VW GOLF HIGHLINE</v>
          </cell>
          <cell r="B184" t="str">
            <v>C upper</v>
          </cell>
          <cell r="C184" t="str">
            <v>Evet</v>
          </cell>
          <cell r="D184">
            <v>2</v>
          </cell>
          <cell r="E184">
            <v>40900000000</v>
          </cell>
          <cell r="F184">
            <v>5.537098560354374E-2</v>
          </cell>
          <cell r="G184">
            <v>2.7552004408320705E-2</v>
          </cell>
        </row>
        <row r="185">
          <cell r="A185" t="str">
            <v>FORD FOCUS 2.0 SEDAN</v>
          </cell>
          <cell r="B185" t="str">
            <v>C upper</v>
          </cell>
          <cell r="C185" t="str">
            <v>Evet</v>
          </cell>
          <cell r="D185">
            <v>3</v>
          </cell>
          <cell r="E185">
            <v>41363000000</v>
          </cell>
          <cell r="F185">
            <v>8.3056478405315617E-2</v>
          </cell>
          <cell r="G185">
            <v>4.1328006612481059E-2</v>
          </cell>
        </row>
        <row r="186">
          <cell r="A186" t="str">
            <v>VW BORA TDI</v>
          </cell>
          <cell r="B186" t="str">
            <v>D lower</v>
          </cell>
          <cell r="C186" t="str">
            <v>Evet</v>
          </cell>
          <cell r="D186">
            <v>3</v>
          </cell>
          <cell r="E186">
            <v>41900000000</v>
          </cell>
          <cell r="F186">
            <v>0.41039671682626538</v>
          </cell>
          <cell r="G186">
            <v>4.1328006612481059E-2</v>
          </cell>
        </row>
        <row r="187">
          <cell r="A187" t="str">
            <v>AUDI A3 1.6</v>
          </cell>
          <cell r="B187" t="str">
            <v>C upper</v>
          </cell>
          <cell r="C187" t="str">
            <v>Evet</v>
          </cell>
          <cell r="D187">
            <v>14</v>
          </cell>
          <cell r="E187">
            <v>42036000000</v>
          </cell>
          <cell r="F187">
            <v>0.38759689922480622</v>
          </cell>
          <cell r="G187">
            <v>0.19286403085824494</v>
          </cell>
        </row>
        <row r="188">
          <cell r="A188" t="str">
            <v>RNLT LAGUNA 1.6 PRIVILEGE</v>
          </cell>
          <cell r="B188" t="str">
            <v>D upper</v>
          </cell>
          <cell r="C188" t="str">
            <v>Evet</v>
          </cell>
          <cell r="D188">
            <v>39</v>
          </cell>
          <cell r="E188">
            <v>42241000000</v>
          </cell>
          <cell r="F188">
            <v>3.9553752535496955</v>
          </cell>
          <cell r="G188">
            <v>0.53726408596225372</v>
          </cell>
        </row>
        <row r="189">
          <cell r="A189" t="str">
            <v>VW BORA HIGHLINE</v>
          </cell>
          <cell r="B189" t="str">
            <v>D lower</v>
          </cell>
          <cell r="C189" t="str">
            <v>Evet</v>
          </cell>
          <cell r="D189">
            <v>5</v>
          </cell>
          <cell r="E189">
            <v>42950000000</v>
          </cell>
          <cell r="F189">
            <v>0.6839945280437757</v>
          </cell>
          <cell r="G189">
            <v>6.8880011020801768E-2</v>
          </cell>
        </row>
        <row r="190">
          <cell r="A190" t="str">
            <v>ALF 156 1.6</v>
          </cell>
          <cell r="B190" t="str">
            <v>D upper</v>
          </cell>
          <cell r="C190" t="str">
            <v>Evet</v>
          </cell>
          <cell r="D190">
            <v>3</v>
          </cell>
          <cell r="E190">
            <v>43901000000</v>
          </cell>
          <cell r="F190">
            <v>0.30425963488843816</v>
          </cell>
          <cell r="G190">
            <v>4.1328006612481059E-2</v>
          </cell>
        </row>
        <row r="191">
          <cell r="A191" t="str">
            <v>RNLT MEGANE CABRIOLET</v>
          </cell>
          <cell r="B191" t="str">
            <v>C upper</v>
          </cell>
          <cell r="C191" t="str">
            <v>Evet</v>
          </cell>
          <cell r="D191">
            <v>4</v>
          </cell>
          <cell r="E191">
            <v>43998000000</v>
          </cell>
          <cell r="F191">
            <v>0.11074197120708748</v>
          </cell>
          <cell r="G191">
            <v>5.510400881664141E-2</v>
          </cell>
        </row>
        <row r="192">
          <cell r="A192" t="str">
            <v>PGT 406 SV 2.0 4K</v>
          </cell>
          <cell r="B192" t="str">
            <v>D upper</v>
          </cell>
          <cell r="C192" t="str">
            <v>Evet</v>
          </cell>
          <cell r="D192">
            <v>32</v>
          </cell>
          <cell r="E192">
            <v>45600000000</v>
          </cell>
          <cell r="F192">
            <v>3.2454361054766734</v>
          </cell>
          <cell r="G192">
            <v>0.44083207053313128</v>
          </cell>
        </row>
        <row r="193">
          <cell r="A193" t="str">
            <v>FORD MONDEO NEW GHIA 2.0 SEDAN</v>
          </cell>
          <cell r="B193" t="str">
            <v>D upper</v>
          </cell>
          <cell r="C193" t="str">
            <v>Evet</v>
          </cell>
          <cell r="D193">
            <v>37</v>
          </cell>
          <cell r="E193">
            <v>46180000000</v>
          </cell>
          <cell r="F193">
            <v>3.7525354969574036</v>
          </cell>
          <cell r="G193">
            <v>0.50971208155393299</v>
          </cell>
        </row>
        <row r="194">
          <cell r="A194" t="str">
            <v>VLV S40 1.6</v>
          </cell>
          <cell r="B194" t="str">
            <v>D upper</v>
          </cell>
          <cell r="C194" t="str">
            <v>Evet</v>
          </cell>
          <cell r="D194">
            <v>13</v>
          </cell>
          <cell r="E194">
            <v>47114000000</v>
          </cell>
          <cell r="F194">
            <v>1.3184584178498986</v>
          </cell>
          <cell r="G194">
            <v>0.17908802865408457</v>
          </cell>
        </row>
        <row r="195">
          <cell r="A195" t="str">
            <v>COROLLA HB RST. 1.8 T SPORT</v>
          </cell>
          <cell r="B195" t="str">
            <v>C upper</v>
          </cell>
          <cell r="C195" t="str">
            <v>Evet</v>
          </cell>
          <cell r="D195">
            <v>4</v>
          </cell>
          <cell r="E195">
            <v>47465000000</v>
          </cell>
          <cell r="F195">
            <v>0.11074197120708748</v>
          </cell>
          <cell r="G195">
            <v>5.510400881664141E-2</v>
          </cell>
        </row>
        <row r="196">
          <cell r="A196" t="str">
            <v>VW PASSAT 1.8 T.TRENDLINE</v>
          </cell>
          <cell r="B196" t="str">
            <v>D upper</v>
          </cell>
          <cell r="C196" t="str">
            <v>Evet</v>
          </cell>
          <cell r="D196">
            <v>2</v>
          </cell>
          <cell r="E196">
            <v>48050000000</v>
          </cell>
          <cell r="F196">
            <v>0.20283975659229209</v>
          </cell>
          <cell r="G196">
            <v>2.7552004408320705E-2</v>
          </cell>
        </row>
        <row r="197">
          <cell r="A197" t="str">
            <v>RNLT LAGUNA 2.0 PRIVILEGE</v>
          </cell>
          <cell r="B197" t="str">
            <v>D upper</v>
          </cell>
          <cell r="C197" t="str">
            <v>Evet</v>
          </cell>
          <cell r="D197">
            <v>30</v>
          </cell>
          <cell r="E197">
            <v>48507000000</v>
          </cell>
          <cell r="F197">
            <v>3.0425963488843815</v>
          </cell>
          <cell r="G197">
            <v>0.41328006612481055</v>
          </cell>
        </row>
        <row r="198">
          <cell r="A198" t="str">
            <v>FORD MONDEO NEW GHIA 2.0 SW</v>
          </cell>
          <cell r="B198" t="str">
            <v>D upper</v>
          </cell>
          <cell r="C198" t="str">
            <v>Evet</v>
          </cell>
          <cell r="D198">
            <v>2</v>
          </cell>
          <cell r="E198">
            <v>50756000000</v>
          </cell>
          <cell r="F198">
            <v>0.20283975659229209</v>
          </cell>
          <cell r="G198">
            <v>2.7552004408320705E-2</v>
          </cell>
        </row>
        <row r="199">
          <cell r="A199" t="str">
            <v>RNLT LAGUNA 2.0 PRIVILEGE BVA</v>
          </cell>
          <cell r="B199" t="str">
            <v>D upper</v>
          </cell>
          <cell r="C199" t="str">
            <v>Evet</v>
          </cell>
          <cell r="D199">
            <v>101</v>
          </cell>
          <cell r="E199">
            <v>50847000000</v>
          </cell>
          <cell r="F199">
            <v>10.24340770791075</v>
          </cell>
          <cell r="G199">
            <v>1.3913762226201956</v>
          </cell>
        </row>
        <row r="200">
          <cell r="A200" t="str">
            <v>TYT AVENSIS</v>
          </cell>
          <cell r="B200" t="str">
            <v>D upper</v>
          </cell>
          <cell r="C200" t="str">
            <v>Evet</v>
          </cell>
          <cell r="D200">
            <v>4</v>
          </cell>
          <cell r="E200">
            <v>51808000000</v>
          </cell>
          <cell r="F200">
            <v>0.40567951318458417</v>
          </cell>
          <cell r="G200">
            <v>5.510400881664141E-2</v>
          </cell>
        </row>
        <row r="201">
          <cell r="A201" t="str">
            <v>VW PASSAT 1.8 T.COMFORTLINE</v>
          </cell>
          <cell r="B201" t="str">
            <v>D upper</v>
          </cell>
          <cell r="C201" t="str">
            <v>Evet</v>
          </cell>
          <cell r="D201">
            <v>38</v>
          </cell>
          <cell r="E201">
            <v>52400000000</v>
          </cell>
          <cell r="F201">
            <v>3.8539553752535496</v>
          </cell>
          <cell r="G201">
            <v>0.52348808375809341</v>
          </cell>
        </row>
        <row r="202">
          <cell r="A202" t="str">
            <v>CTRN C5</v>
          </cell>
          <cell r="B202" t="str">
            <v>D lower</v>
          </cell>
          <cell r="C202" t="str">
            <v>Evet</v>
          </cell>
          <cell r="D202">
            <v>17</v>
          </cell>
          <cell r="E202">
            <v>53395000000</v>
          </cell>
          <cell r="F202">
            <v>2.3255813953488373</v>
          </cell>
          <cell r="G202">
            <v>0.23419203747072601</v>
          </cell>
        </row>
        <row r="203">
          <cell r="A203" t="str">
            <v>VW PASSAT 1.9 TDI TRENDLINE</v>
          </cell>
          <cell r="B203" t="str">
            <v>D upper</v>
          </cell>
          <cell r="C203" t="str">
            <v>Evet</v>
          </cell>
          <cell r="D203">
            <v>2</v>
          </cell>
          <cell r="E203">
            <v>53400000000</v>
          </cell>
          <cell r="F203">
            <v>0.20283975659229209</v>
          </cell>
          <cell r="G203">
            <v>2.7552004408320705E-2</v>
          </cell>
        </row>
        <row r="204">
          <cell r="A204" t="str">
            <v>MZD 626 2.0 SEDAN M5</v>
          </cell>
          <cell r="B204" t="str">
            <v>D upper</v>
          </cell>
          <cell r="C204" t="str">
            <v>Evet</v>
          </cell>
          <cell r="D204">
            <v>22</v>
          </cell>
          <cell r="E204">
            <v>54300000000</v>
          </cell>
          <cell r="F204">
            <v>2.2312373225152129</v>
          </cell>
          <cell r="G204">
            <v>0.30307204849152775</v>
          </cell>
        </row>
        <row r="205">
          <cell r="A205" t="str">
            <v>VLV S 40 1.8</v>
          </cell>
          <cell r="B205" t="str">
            <v>D upper</v>
          </cell>
          <cell r="C205" t="str">
            <v>Evet</v>
          </cell>
          <cell r="D205">
            <v>7</v>
          </cell>
          <cell r="E205">
            <v>54553000000</v>
          </cell>
          <cell r="F205">
            <v>0.70993914807302227</v>
          </cell>
          <cell r="G205">
            <v>9.643201542912247E-2</v>
          </cell>
        </row>
        <row r="206">
          <cell r="A206" t="str">
            <v>AUDI A4 1.6</v>
          </cell>
          <cell r="B206" t="str">
            <v>D upper</v>
          </cell>
          <cell r="C206" t="str">
            <v>Evet</v>
          </cell>
          <cell r="D206">
            <v>12</v>
          </cell>
          <cell r="E206">
            <v>55399000000</v>
          </cell>
          <cell r="F206">
            <v>1.2170385395537526</v>
          </cell>
          <cell r="G206">
            <v>0.16531202644992424</v>
          </cell>
        </row>
        <row r="207">
          <cell r="A207" t="str">
            <v>VLV V 40 1.8</v>
          </cell>
          <cell r="B207" t="str">
            <v>D upper</v>
          </cell>
          <cell r="C207" t="str">
            <v>Evet</v>
          </cell>
          <cell r="D207">
            <v>2</v>
          </cell>
          <cell r="E207">
            <v>55875000000</v>
          </cell>
          <cell r="F207">
            <v>0.20283975659229209</v>
          </cell>
          <cell r="G207">
            <v>2.7552004408320705E-2</v>
          </cell>
        </row>
        <row r="208">
          <cell r="A208" t="str">
            <v>BMW 3.16</v>
          </cell>
          <cell r="B208" t="str">
            <v>D upper</v>
          </cell>
          <cell r="C208" t="str">
            <v>Evet</v>
          </cell>
          <cell r="D208">
            <v>101</v>
          </cell>
          <cell r="E208">
            <v>56163000000</v>
          </cell>
          <cell r="F208">
            <v>10.24340770791075</v>
          </cell>
          <cell r="G208">
            <v>1.3913762226201956</v>
          </cell>
        </row>
        <row r="209">
          <cell r="A209" t="str">
            <v>VW PASSAT 1.9 TDI COMFORTLINE</v>
          </cell>
          <cell r="B209" t="str">
            <v>D upper</v>
          </cell>
          <cell r="C209" t="str">
            <v>Evet</v>
          </cell>
          <cell r="D209">
            <v>54</v>
          </cell>
          <cell r="E209">
            <v>58150000000</v>
          </cell>
          <cell r="F209">
            <v>5.4766734279918863</v>
          </cell>
          <cell r="G209">
            <v>0.74390411902465903</v>
          </cell>
        </row>
        <row r="210">
          <cell r="A210" t="str">
            <v>VLV S 40 2.0</v>
          </cell>
          <cell r="B210" t="str">
            <v>D upper</v>
          </cell>
          <cell r="C210" t="str">
            <v>Evet</v>
          </cell>
          <cell r="D210">
            <v>5</v>
          </cell>
          <cell r="E210">
            <v>59181000000</v>
          </cell>
          <cell r="F210">
            <v>0.50709939148073024</v>
          </cell>
          <cell r="G210">
            <v>6.8880011020801768E-2</v>
          </cell>
        </row>
        <row r="211">
          <cell r="A211" t="str">
            <v>VLV V 40 2.0</v>
          </cell>
          <cell r="B211" t="str">
            <v>D upper</v>
          </cell>
          <cell r="C211" t="str">
            <v>Evet</v>
          </cell>
          <cell r="D211">
            <v>1</v>
          </cell>
          <cell r="E211">
            <v>60504000000</v>
          </cell>
          <cell r="F211">
            <v>0.10141987829614604</v>
          </cell>
          <cell r="G211">
            <v>1.3776002204160353E-2</v>
          </cell>
        </row>
        <row r="212">
          <cell r="A212" t="str">
            <v>VW PASSAT 1.8 T.HIGHLINE</v>
          </cell>
          <cell r="B212" t="str">
            <v>D upper</v>
          </cell>
          <cell r="C212" t="str">
            <v>Evet</v>
          </cell>
          <cell r="D212">
            <v>3</v>
          </cell>
          <cell r="E212">
            <v>62900000000</v>
          </cell>
          <cell r="F212">
            <v>0.30425963488843816</v>
          </cell>
          <cell r="G212">
            <v>4.1328006612481059E-2</v>
          </cell>
        </row>
        <row r="213">
          <cell r="A213" t="str">
            <v>RNLT SCENIC 4X4</v>
          </cell>
          <cell r="B213" t="str">
            <v>L1</v>
          </cell>
          <cell r="C213" t="str">
            <v>Evet</v>
          </cell>
          <cell r="D213">
            <v>6</v>
          </cell>
          <cell r="E213">
            <v>64791000000</v>
          </cell>
          <cell r="F213">
            <v>3.2608695652173911</v>
          </cell>
          <cell r="G213">
            <v>8.2656013224962119E-2</v>
          </cell>
        </row>
        <row r="214">
          <cell r="A214" t="str">
            <v>RNLT LAGUNA 3.0</v>
          </cell>
          <cell r="B214" t="str">
            <v>D upper</v>
          </cell>
          <cell r="C214" t="str">
            <v>Evet</v>
          </cell>
          <cell r="D214">
            <v>15</v>
          </cell>
          <cell r="E214">
            <v>65833000000</v>
          </cell>
          <cell r="F214">
            <v>1.5212981744421907</v>
          </cell>
          <cell r="G214">
            <v>0.20664003306240528</v>
          </cell>
        </row>
        <row r="215">
          <cell r="A215" t="str">
            <v>PGT 607</v>
          </cell>
          <cell r="B215" t="str">
            <v>E</v>
          </cell>
          <cell r="C215" t="str">
            <v>Evet</v>
          </cell>
          <cell r="D215">
            <v>12</v>
          </cell>
          <cell r="E215">
            <v>66500000000</v>
          </cell>
          <cell r="F215">
            <v>5.9405940594059405</v>
          </cell>
          <cell r="G215">
            <v>0.16531202644992424</v>
          </cell>
        </row>
        <row r="216">
          <cell r="A216" t="str">
            <v>VW PASSAT 1.9 TDI HIGHLINE</v>
          </cell>
          <cell r="B216" t="str">
            <v>D upper</v>
          </cell>
          <cell r="C216" t="str">
            <v>Evet</v>
          </cell>
          <cell r="D216">
            <v>15</v>
          </cell>
          <cell r="E216">
            <v>67050000000</v>
          </cell>
          <cell r="F216">
            <v>1.5212981744421907</v>
          </cell>
          <cell r="G216">
            <v>0.20664003306240528</v>
          </cell>
        </row>
        <row r="217">
          <cell r="A217" t="str">
            <v>OMEGA 2.5i CD SR</v>
          </cell>
          <cell r="B217" t="str">
            <v>E</v>
          </cell>
          <cell r="C217" t="str">
            <v>Evet</v>
          </cell>
          <cell r="D217">
            <v>6</v>
          </cell>
          <cell r="E217">
            <v>67146000000</v>
          </cell>
          <cell r="F217">
            <v>2.9702970297029703</v>
          </cell>
          <cell r="G217">
            <v>8.2656013224962119E-2</v>
          </cell>
        </row>
        <row r="218">
          <cell r="A218" t="str">
            <v>VLV S 60</v>
          </cell>
          <cell r="B218" t="str">
            <v>D upper</v>
          </cell>
          <cell r="C218" t="str">
            <v>Evet</v>
          </cell>
          <cell r="D218">
            <v>11</v>
          </cell>
          <cell r="E218">
            <v>69265000000</v>
          </cell>
          <cell r="F218">
            <v>1.1156186612576064</v>
          </cell>
          <cell r="G218">
            <v>0.15153602424576387</v>
          </cell>
        </row>
        <row r="219">
          <cell r="A219" t="str">
            <v>AUDI A4 2.0</v>
          </cell>
          <cell r="B219" t="str">
            <v>D upper</v>
          </cell>
          <cell r="C219" t="str">
            <v>Evet</v>
          </cell>
          <cell r="D219">
            <v>6</v>
          </cell>
          <cell r="E219">
            <v>69711000000</v>
          </cell>
          <cell r="F219">
            <v>0.60851926977687631</v>
          </cell>
          <cell r="G219">
            <v>8.2656013224962119E-2</v>
          </cell>
        </row>
        <row r="220">
          <cell r="A220" t="str">
            <v>BMW 3.18 SEDAN</v>
          </cell>
          <cell r="B220" t="str">
            <v>D upper</v>
          </cell>
          <cell r="C220" t="str">
            <v>Evet</v>
          </cell>
          <cell r="D220">
            <v>15</v>
          </cell>
          <cell r="E220">
            <v>71193000000</v>
          </cell>
          <cell r="F220">
            <v>1.5212981744421907</v>
          </cell>
          <cell r="G220">
            <v>0.20664003306240528</v>
          </cell>
        </row>
        <row r="221">
          <cell r="A221" t="str">
            <v>VLV  V70</v>
          </cell>
          <cell r="B221" t="str">
            <v>E</v>
          </cell>
          <cell r="C221" t="str">
            <v>Evet</v>
          </cell>
          <cell r="D221">
            <v>3</v>
          </cell>
          <cell r="E221">
            <v>74225000000</v>
          </cell>
          <cell r="F221">
            <v>1.4851485148514851</v>
          </cell>
          <cell r="G221">
            <v>4.1328006612481059E-2</v>
          </cell>
        </row>
        <row r="222">
          <cell r="A222" t="str">
            <v>AUDI A4 1.8</v>
          </cell>
          <cell r="B222" t="str">
            <v>D upper</v>
          </cell>
          <cell r="C222" t="str">
            <v>Evet</v>
          </cell>
          <cell r="D222">
            <v>3</v>
          </cell>
          <cell r="E222">
            <v>75556000000</v>
          </cell>
          <cell r="F222">
            <v>0.30425963488843816</v>
          </cell>
          <cell r="G222">
            <v>4.1328006612481059E-2</v>
          </cell>
        </row>
        <row r="223">
          <cell r="A223" t="str">
            <v>CHRYL SEBRING</v>
          </cell>
          <cell r="B223" t="str">
            <v>E</v>
          </cell>
          <cell r="C223" t="str">
            <v>Evet</v>
          </cell>
          <cell r="D223">
            <v>4</v>
          </cell>
          <cell r="E223">
            <v>77070000000</v>
          </cell>
          <cell r="F223">
            <v>1.9801980198019802</v>
          </cell>
          <cell r="G223">
            <v>5.510400881664141E-2</v>
          </cell>
        </row>
        <row r="224">
          <cell r="A224" t="str">
            <v>BMW 3.18 COUPE</v>
          </cell>
          <cell r="B224" t="str">
            <v>D upper</v>
          </cell>
          <cell r="C224" t="str">
            <v>Evet</v>
          </cell>
          <cell r="D224">
            <v>6</v>
          </cell>
          <cell r="E224">
            <v>78028000000</v>
          </cell>
          <cell r="F224">
            <v>0.60851926977687631</v>
          </cell>
          <cell r="G224">
            <v>8.2656013224962119E-2</v>
          </cell>
        </row>
        <row r="225">
          <cell r="A225" t="str">
            <v>TYT CAMRY</v>
          </cell>
          <cell r="B225" t="str">
            <v>E</v>
          </cell>
          <cell r="C225" t="str">
            <v>Evet</v>
          </cell>
          <cell r="D225">
            <v>1</v>
          </cell>
          <cell r="E225">
            <v>81086000000</v>
          </cell>
          <cell r="F225">
            <v>0.49504950495049505</v>
          </cell>
          <cell r="G225">
            <v>1.3776002204160353E-2</v>
          </cell>
        </row>
        <row r="226">
          <cell r="A226" t="str">
            <v>AUDI A6 SERIES</v>
          </cell>
          <cell r="B226" t="str">
            <v>E</v>
          </cell>
          <cell r="C226" t="str">
            <v>Evet</v>
          </cell>
          <cell r="D226">
            <v>7</v>
          </cell>
          <cell r="E226">
            <v>86541000000</v>
          </cell>
          <cell r="F226">
            <v>3.4653465346534653</v>
          </cell>
          <cell r="G226">
            <v>9.643201542912247E-2</v>
          </cell>
        </row>
        <row r="227">
          <cell r="A227" t="str">
            <v>VLV S 80 T</v>
          </cell>
          <cell r="B227" t="str">
            <v>E</v>
          </cell>
          <cell r="C227" t="str">
            <v>Evet</v>
          </cell>
          <cell r="D227">
            <v>1</v>
          </cell>
          <cell r="E227">
            <v>87119000000</v>
          </cell>
          <cell r="F227">
            <v>0.49504950495049505</v>
          </cell>
          <cell r="G227">
            <v>1.3776002204160353E-2</v>
          </cell>
        </row>
        <row r="228">
          <cell r="A228" t="str">
            <v>MER C SERIES</v>
          </cell>
          <cell r="B228" t="str">
            <v>E</v>
          </cell>
          <cell r="C228" t="str">
            <v>Evet</v>
          </cell>
          <cell r="D228">
            <v>29</v>
          </cell>
          <cell r="E228">
            <v>87737000000</v>
          </cell>
          <cell r="F228">
            <v>14.356435643564357</v>
          </cell>
          <cell r="G228">
            <v>0.39950406392065024</v>
          </cell>
        </row>
        <row r="229">
          <cell r="A229" t="str">
            <v>AUDI A4 3.0</v>
          </cell>
          <cell r="B229" t="str">
            <v>D upper</v>
          </cell>
          <cell r="C229" t="str">
            <v>Evet</v>
          </cell>
          <cell r="D229">
            <v>8</v>
          </cell>
          <cell r="E229">
            <v>92875000000</v>
          </cell>
          <cell r="F229">
            <v>0.81135902636916835</v>
          </cell>
          <cell r="G229">
            <v>0.11020801763328282</v>
          </cell>
        </row>
        <row r="230">
          <cell r="A230" t="str">
            <v>SAAB 9.5 SE 2.0 LPT</v>
          </cell>
          <cell r="B230" t="str">
            <v>E</v>
          </cell>
          <cell r="C230" t="str">
            <v>Evet</v>
          </cell>
          <cell r="D230">
            <v>4</v>
          </cell>
          <cell r="E230">
            <v>93701000000</v>
          </cell>
          <cell r="F230">
            <v>1.9801980198019802</v>
          </cell>
          <cell r="G230">
            <v>5.510400881664141E-2</v>
          </cell>
        </row>
        <row r="231">
          <cell r="A231" t="str">
            <v>BMW 5.20</v>
          </cell>
          <cell r="B231" t="str">
            <v>E</v>
          </cell>
          <cell r="C231" t="str">
            <v>Evet</v>
          </cell>
          <cell r="D231">
            <v>11</v>
          </cell>
          <cell r="E231">
            <v>96540000000</v>
          </cell>
          <cell r="F231">
            <v>5.4455445544554459</v>
          </cell>
          <cell r="G231">
            <v>0.15153602424576387</v>
          </cell>
        </row>
        <row r="232">
          <cell r="A232" t="str">
            <v>BMW 3.30 SEDAN</v>
          </cell>
          <cell r="B232" t="str">
            <v>D upper</v>
          </cell>
          <cell r="C232" t="str">
            <v>Evet</v>
          </cell>
          <cell r="D232">
            <v>21</v>
          </cell>
          <cell r="E232">
            <v>100048000000</v>
          </cell>
          <cell r="F232">
            <v>2.1298174442190669</v>
          </cell>
          <cell r="G232">
            <v>0.28929604628736738</v>
          </cell>
        </row>
        <row r="233">
          <cell r="A233" t="str">
            <v>BMW 3.30 COUPE</v>
          </cell>
          <cell r="B233" t="str">
            <v>D upper</v>
          </cell>
          <cell r="C233" t="str">
            <v>Evet</v>
          </cell>
          <cell r="D233">
            <v>7</v>
          </cell>
          <cell r="E233">
            <v>102388000000</v>
          </cell>
          <cell r="F233">
            <v>0.70993914807302227</v>
          </cell>
          <cell r="G233">
            <v>9.643201542912247E-2</v>
          </cell>
        </row>
        <row r="234">
          <cell r="A234" t="str">
            <v>JGR S TYPE</v>
          </cell>
          <cell r="B234" t="str">
            <v>E</v>
          </cell>
          <cell r="C234" t="str">
            <v>Evet</v>
          </cell>
          <cell r="D234">
            <v>6</v>
          </cell>
          <cell r="E234">
            <v>104000000000</v>
          </cell>
          <cell r="F234">
            <v>2.9702970297029703</v>
          </cell>
          <cell r="G234">
            <v>8.2656013224962119E-2</v>
          </cell>
        </row>
        <row r="235">
          <cell r="A235" t="str">
            <v>CHRYL 300M</v>
          </cell>
          <cell r="B235" t="str">
            <v>G</v>
          </cell>
          <cell r="C235" t="str">
            <v>Evet</v>
          </cell>
          <cell r="D235">
            <v>4</v>
          </cell>
          <cell r="E235">
            <v>108627000000</v>
          </cell>
          <cell r="F235">
            <v>30.76923076923077</v>
          </cell>
          <cell r="G235">
            <v>5.510400881664141E-2</v>
          </cell>
        </row>
        <row r="236">
          <cell r="A236" t="str">
            <v>MER E SERIES</v>
          </cell>
          <cell r="B236" t="str">
            <v>E</v>
          </cell>
          <cell r="C236" t="str">
            <v>Evet</v>
          </cell>
          <cell r="D236">
            <v>50</v>
          </cell>
          <cell r="E236">
            <v>110019000000</v>
          </cell>
          <cell r="F236">
            <v>24.752475247524753</v>
          </cell>
          <cell r="G236">
            <v>0.68880011020801768</v>
          </cell>
        </row>
        <row r="237">
          <cell r="A237" t="str">
            <v>BMW 5.30</v>
          </cell>
          <cell r="B237" t="str">
            <v>E</v>
          </cell>
          <cell r="C237" t="str">
            <v>Evet</v>
          </cell>
          <cell r="D237">
            <v>23</v>
          </cell>
          <cell r="E237">
            <v>113800000000</v>
          </cell>
          <cell r="F237">
            <v>11.386138613861386</v>
          </cell>
          <cell r="G237">
            <v>0.31684805069568811</v>
          </cell>
        </row>
        <row r="238">
          <cell r="A238" t="str">
            <v>VLV S 80 T6</v>
          </cell>
          <cell r="B238" t="str">
            <v>E</v>
          </cell>
          <cell r="C238" t="str">
            <v>Evet</v>
          </cell>
          <cell r="D238">
            <v>2</v>
          </cell>
          <cell r="E238">
            <v>114395000000</v>
          </cell>
          <cell r="F238">
            <v>0.99009900990099009</v>
          </cell>
          <cell r="G238">
            <v>2.7552004408320705E-2</v>
          </cell>
        </row>
        <row r="239">
          <cell r="A239" t="str">
            <v>MER CLK SERIES</v>
          </cell>
          <cell r="B239" t="str">
            <v>E</v>
          </cell>
          <cell r="C239" t="str">
            <v>Evet</v>
          </cell>
          <cell r="D239">
            <v>5</v>
          </cell>
          <cell r="E239">
            <v>122454000000</v>
          </cell>
          <cell r="F239">
            <v>2.4752475247524752</v>
          </cell>
          <cell r="G239">
            <v>6.8880011020801768E-2</v>
          </cell>
        </row>
        <row r="240">
          <cell r="A240" t="str">
            <v>JGR X TYPE</v>
          </cell>
          <cell r="B240" t="str">
            <v>D upper</v>
          </cell>
          <cell r="C240" t="str">
            <v>Evet</v>
          </cell>
          <cell r="D240">
            <v>11</v>
          </cell>
          <cell r="E240">
            <v>150400000000</v>
          </cell>
          <cell r="F240">
            <v>1.1156186612576064</v>
          </cell>
          <cell r="G240">
            <v>0.15153602424576387</v>
          </cell>
        </row>
        <row r="241">
          <cell r="A241" t="str">
            <v>BMW 7 SERIES</v>
          </cell>
          <cell r="B241" t="str">
            <v>G</v>
          </cell>
          <cell r="C241" t="str">
            <v>Evet</v>
          </cell>
          <cell r="D241">
            <v>5</v>
          </cell>
          <cell r="E241">
            <v>194520000000</v>
          </cell>
          <cell r="F241">
            <v>38.46153846153846</v>
          </cell>
          <cell r="G241">
            <v>6.8880011020801768E-2</v>
          </cell>
        </row>
        <row r="242">
          <cell r="A242" t="str">
            <v>MER SL SERIES</v>
          </cell>
          <cell r="B242" t="str">
            <v>G</v>
          </cell>
          <cell r="C242" t="str">
            <v>Evet</v>
          </cell>
          <cell r="D242">
            <v>2</v>
          </cell>
          <cell r="E242">
            <v>245313000000</v>
          </cell>
          <cell r="F242">
            <v>15.384615384615385</v>
          </cell>
          <cell r="G242">
            <v>2.7552004408320705E-2</v>
          </cell>
        </row>
      </sheetData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Özet"/>
      <sheetName val="Liderlik TV Ağustos"/>
      <sheetName val="Liderlik -TV Ağustos"/>
      <sheetName val="TV Planı-Liderlik"/>
      <sheetName val="Liderlik TV (1-5 Kasım) "/>
      <sheetName val="Liderlik -TV Ekim"/>
      <sheetName val="Erişim"/>
      <sheetName val="Yarı Zamanlı"/>
      <sheetName val="SHARE "/>
      <sheetName val="Fiyat Taslak'21"/>
      <sheetName val="Liderlik TV Kasım"/>
      <sheetName val="Liderlik -TV Kasım"/>
      <sheetName val="Liderlik TV (16-19 Kasım)"/>
      <sheetName val="Kanal Performans"/>
      <sheetName val="Liderlik -TV Aralık"/>
      <sheetName val="Liderlik TV 2022"/>
      <sheetName val="Liderlik- TV 2022"/>
      <sheetName val="Digital-Minimum Plan"/>
      <sheetName val="Digital-İdeal Plan"/>
      <sheetName val="Digital-Agresif Plan"/>
      <sheetName val="Min Plan Reach Curve"/>
      <sheetName val="İdeal Plan Reach Curve"/>
      <sheetName val="Agresif Plan Reach Curve"/>
      <sheetName val="Commit'21-Özgü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>
        <row r="13">
          <cell r="G13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kim"/>
      <sheetName val="Kasım"/>
      <sheetName val="Aralık"/>
      <sheetName val="Ocak"/>
      <sheetName val="Şubat"/>
      <sheetName val="Mart"/>
      <sheetName val="Genel"/>
      <sheetName val="Genel (2)"/>
      <sheetName val="Genel (3)"/>
      <sheetName val="Genel (4)"/>
      <sheetName val="Dağılım"/>
      <sheetName val="plan-gaz1"/>
      <sheetName val="CU Dergi"/>
      <sheetName val="Foglio1"/>
      <sheetName val="Genel_(2)"/>
      <sheetName val="Genel_(3)"/>
      <sheetName val="Genel_(4)"/>
      <sheetName val="CU_Dergi"/>
      <sheetName val="PLANNED"/>
      <sheetName val="RadioMIND"/>
      <sheetName val="Kategoriler"/>
      <sheetName val="Programlar"/>
      <sheetName val="CampaignData"/>
      <sheetName val="PlanData"/>
      <sheetName val="ExchangeRates"/>
      <sheetName val="ManualDiscounts"/>
      <sheetName val="NetPrices"/>
      <sheetName val="Kategori_Dizi_kanalları"/>
      <sheetName val="TRT_FM"/>
      <sheetName val="ntv-fiyat"/>
      <sheetName val="PlanSheet"/>
      <sheetName val="GAZETE"/>
      <sheetName val="Gazete_teaser"/>
      <sheetName val="TUBORG"/>
      <sheetName val="Hasar Hattı"/>
      <sheetName val="REVİZE Özet Tablo HAFTALIK"/>
      <sheetName val="7 HAFTA"/>
      <sheetName val="Tnt"/>
      <sheetName val="plan-der"/>
      <sheetName val="Makro1"/>
      <sheetName val="Genel_(2)1"/>
      <sheetName val="Genel_(3)1"/>
      <sheetName val="Genel_(4)1"/>
      <sheetName val="CU_Dergi1"/>
      <sheetName val="Hasar_Hattı"/>
      <sheetName val="REVİZE_Özet_Tablo_HAFTALIK"/>
      <sheetName val="7_HAFTA"/>
      <sheetName val="Copies"/>
      <sheetName val="Materyaller"/>
      <sheetName val="Fiyat"/>
      <sheetName val="SpotList_(2)1"/>
      <sheetName val="Exchange"/>
      <sheetName val="tanımlar"/>
      <sheetName val="Sheet2"/>
      <sheetName val="Payments"/>
      <sheetName val="Stations"/>
      <sheetName val="Prices"/>
      <sheetName val="kicker und TO"/>
      <sheetName val="Genel_(2)2"/>
      <sheetName val="Genel_(3)2"/>
      <sheetName val="Genel_(4)2"/>
      <sheetName val="CU_Dergi2"/>
      <sheetName val="Hasar_Hattı1"/>
      <sheetName val="REVİZE_Özet_Tablo_HAFTALIK1"/>
      <sheetName val="7_HAFTA1"/>
      <sheetName val="Dropdown"/>
      <sheetName val="Kaynak"/>
      <sheetName val="Genel_(2)3"/>
      <sheetName val="Genel_(3)3"/>
      <sheetName val="Genel_(4)3"/>
      <sheetName val="CU_Dergi3"/>
      <sheetName val="Hasar_Hattı2"/>
      <sheetName val="REVİZE_Özet_Tablo_HAFTALIK2"/>
      <sheetName val="7_HAFTA2"/>
      <sheetName val="kicker_und_TO"/>
      <sheetName val="Legend"/>
      <sheetName val="dropdown_lists"/>
      <sheetName val="CU Dergi.xls"/>
      <sheetName val="AFISHA.RU"/>
      <sheetName val="AMEDIA.RU"/>
      <sheetName val="AUTO.RU"/>
      <sheetName val="AVTO.RU"/>
      <sheetName val="3DNEWS.RU"/>
      <sheetName val="##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lock"/>
      <sheetName val="France - tables"/>
      <sheetName val="\\Server\LOCALTIME\COMMUNICATIO"/>
      <sheetName val="СПЛИТ"/>
      <sheetName val="[CU Dergi.xls][CU Dergi.xls]\\S"/>
      <sheetName val="CU%20Dergi.xls"/>
      <sheetName val="[CU Dergi.xls][CU Dergi.xls][CU"/>
      <sheetName val="[CU Dergi.xls]\\Server\LOCALTIM"/>
      <sheetName val="FINALPHP"/>
      <sheetName val="DepPar_Iscı"/>
      <sheetName val="Reference"/>
      <sheetName val="[CU Dergi.xls]__Server_LOCALT_2"/>
      <sheetName val="Proposal Details"/>
      <sheetName val="Hidden_Data"/>
      <sheetName val="Proposal Summary"/>
      <sheetName val="Genel_(2)4"/>
      <sheetName val="Genel_(3)4"/>
      <sheetName val="Genel_(4)4"/>
      <sheetName val="CU_Dergi4"/>
      <sheetName val="Hasar_Hattı3"/>
      <sheetName val="REVİZE_Özet_Tablo_HAFTALIK3"/>
      <sheetName val="7_HAFTA3"/>
      <sheetName val="kicker_und_TO1"/>
      <sheetName val="CU_Dergi_xls"/>
      <sheetName val="AFISHA_RU"/>
      <sheetName val="AMEDIA_RU"/>
      <sheetName val="AUTO_RU"/>
      <sheetName val="AVTO_RU"/>
      <sheetName val="3DNEWS_RU"/>
      <sheetName val="ECHO_MSK_RU"/>
      <sheetName val="EXPERT_RU"/>
      <sheetName val="FASHIONTIME_RU"/>
      <sheetName val="GAZETA_RU"/>
      <sheetName val="INOPRESSA_RU"/>
      <sheetName val="KOMMERSANT_RU"/>
      <sheetName val="LIVEINTERNET_RU"/>
      <sheetName val="MAIL_RU"/>
      <sheetName val="MTV_RU"/>
      <sheetName val="NEWSRU_COM"/>
      <sheetName val="24OPEN_RU"/>
      <sheetName val="RIAN_RU"/>
      <sheetName val="SPORTS_RU"/>
      <sheetName val="SUPERSTYLE_RU"/>
      <sheetName val="SUBSCRIBE_RU"/>
      <sheetName val="VOKRUGSVETA_RU"/>
      <sheetName val="VZGLYAD_RU"/>
      <sheetName val="YANDEX_RU"/>
      <sheetName val="France_-_tables"/>
      <sheetName val="[CU_Dergi_xls][CU_Dergi_xls][CU"/>
      <sheetName val="[CU_Dergi_xls]\\Server\LOCALTIM"/>
      <sheetName val="[CU_Dergi_xls][CU_Dergi_xls]\\S"/>
      <sheetName val="CU%20Dergi_xls"/>
      <sheetName val="Köprü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ZETE"/>
      <sheetName val="Foglio1"/>
      <sheetName val="Copies"/>
      <sheetName val="SpotList (2)"/>
      <sheetName val="Exchange"/>
      <sheetName val="Payments"/>
      <sheetName val="Stations"/>
      <sheetName val="Prices"/>
      <sheetName val="Bahsenligi01"/>
      <sheetName val="Prezzi volumi Agosto"/>
      <sheetName val="tv spot list"/>
      <sheetName val="Sayf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ZETE"/>
    </sheetNames>
    <sheetDataSet>
      <sheetData sheetId="0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öprü"/>
      <sheetName val="Planlama"/>
      <sheetName val="TRT FM"/>
      <sheetName val="Ref"/>
      <sheetName val="GAZETE"/>
      <sheetName val="tv spot list"/>
      <sheetName val="Prices"/>
      <sheetName val="Prezzi volumi Agosto"/>
      <sheetName val="DepPar_Iscı"/>
      <sheetName val="DepPar_PostBası"/>
      <sheetName val="DepPar_SatMem"/>
      <sheetName val="DepPar_YonMem"/>
      <sheetName val="Master"/>
    </sheetNames>
    <sheetDataSet>
      <sheetData sheetId="0" refreshError="1">
        <row r="3">
          <cell r="I3" t="str">
            <v>İndirim</v>
          </cell>
        </row>
        <row r="4">
          <cell r="B4" t="str">
            <v>Normal</v>
          </cell>
        </row>
        <row r="5">
          <cell r="B5" t="str">
            <v>Free</v>
          </cell>
        </row>
        <row r="6">
          <cell r="B6" t="str">
            <v>Bant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ies"/>
    </sheetNames>
    <sheetDataSet>
      <sheetData sheetId="0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İLGİLER"/>
      <sheetName val="TARIFE"/>
      <sheetName val="FIYAT"/>
      <sheetName val="post"/>
      <sheetName val="pre1"/>
      <sheetName val="tv spot list"/>
      <sheetName val="rezervasyon"/>
      <sheetName val="iptal"/>
      <sheetName val="grptakip"/>
      <sheetName val="ödeme"/>
      <sheetName val="tv ödeme"/>
      <sheetName val="faturabilgi"/>
      <sheetName val="Copies"/>
      <sheetName val="GAZETE"/>
      <sheetName val="tv_spot_list"/>
      <sheetName val="tv_ödeme"/>
      <sheetName val="Köprü"/>
      <sheetName val="Kategoriler"/>
      <sheetName val="Programlar"/>
      <sheetName val="P3"/>
      <sheetName val="Prezzi volumi Agosto"/>
      <sheetName val="CK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3">
          <cell r="E13" t="str">
            <v>Kanal</v>
          </cell>
          <cell r="AH13" t="str">
            <v>SPOT TÜRÜ</v>
          </cell>
        </row>
        <row r="45">
          <cell r="AH45" t="str">
            <v>EK FREE</v>
          </cell>
        </row>
        <row r="46">
          <cell r="AH46" t="str">
            <v>FREE</v>
          </cell>
        </row>
        <row r="52">
          <cell r="AH52" t="str">
            <v>FREE</v>
          </cell>
        </row>
        <row r="57">
          <cell r="AH57" t="str">
            <v>FREE</v>
          </cell>
        </row>
        <row r="59">
          <cell r="AH59" t="str">
            <v>FREE</v>
          </cell>
        </row>
        <row r="231">
          <cell r="AH231" t="str">
            <v>EK FREE</v>
          </cell>
        </row>
        <row r="232">
          <cell r="AH232" t="str">
            <v>EK FREE</v>
          </cell>
        </row>
        <row r="234">
          <cell r="AH234" t="str">
            <v>EK FREE</v>
          </cell>
        </row>
        <row r="239">
          <cell r="AH239" t="str">
            <v>EK FREE</v>
          </cell>
        </row>
        <row r="240">
          <cell r="AH240" t="str">
            <v>EK FREE</v>
          </cell>
        </row>
        <row r="244">
          <cell r="AH244" t="str">
            <v>EK FREE</v>
          </cell>
        </row>
        <row r="245">
          <cell r="AH245" t="str">
            <v>EK FREE</v>
          </cell>
        </row>
        <row r="249">
          <cell r="AH249" t="str">
            <v>EK FREE</v>
          </cell>
        </row>
        <row r="250">
          <cell r="AH250" t="str">
            <v>EK FREE</v>
          </cell>
        </row>
        <row r="346">
          <cell r="AH346" t="str">
            <v>FREE</v>
          </cell>
        </row>
        <row r="347">
          <cell r="AH347" t="str">
            <v>FREE</v>
          </cell>
        </row>
        <row r="349">
          <cell r="AH349" t="str">
            <v>FREE</v>
          </cell>
        </row>
        <row r="416">
          <cell r="AH416" t="str">
            <v>EK FREE</v>
          </cell>
        </row>
        <row r="420">
          <cell r="AH420" t="str">
            <v>EK FREE</v>
          </cell>
        </row>
        <row r="424">
          <cell r="AH424" t="str">
            <v>EK FREE</v>
          </cell>
        </row>
        <row r="434">
          <cell r="AH434" t="str">
            <v>EK FREE</v>
          </cell>
        </row>
        <row r="438">
          <cell r="AH438" t="str">
            <v>EK FREE</v>
          </cell>
        </row>
        <row r="601">
          <cell r="AH601" t="str">
            <v>FREE</v>
          </cell>
        </row>
        <row r="608">
          <cell r="AH608" t="str">
            <v>FREE</v>
          </cell>
        </row>
        <row r="609">
          <cell r="AH609" t="str">
            <v>FREE</v>
          </cell>
        </row>
        <row r="616">
          <cell r="AH616" t="str">
            <v>EK FREE</v>
          </cell>
        </row>
        <row r="623">
          <cell r="AH623" t="str">
            <v>EK FREE</v>
          </cell>
        </row>
        <row r="716">
          <cell r="AH716" t="str">
            <v>FREE</v>
          </cell>
        </row>
        <row r="724">
          <cell r="AH724" t="str">
            <v>FREE</v>
          </cell>
        </row>
        <row r="788">
          <cell r="AH788" t="str">
            <v>EK FREE</v>
          </cell>
        </row>
        <row r="794">
          <cell r="AH794" t="str">
            <v>EK FREE</v>
          </cell>
        </row>
        <row r="798">
          <cell r="AH798" t="str">
            <v>EK FREE</v>
          </cell>
        </row>
        <row r="799">
          <cell r="AH799" t="str">
            <v>EK FREE</v>
          </cell>
        </row>
        <row r="801">
          <cell r="AH801" t="str">
            <v>EK FREE</v>
          </cell>
        </row>
        <row r="802">
          <cell r="AH802" t="str">
            <v>EK FREE</v>
          </cell>
        </row>
        <row r="805">
          <cell r="AH805" t="str">
            <v>EK FREE</v>
          </cell>
        </row>
        <row r="809">
          <cell r="AH809" t="str">
            <v>EK FREE</v>
          </cell>
        </row>
        <row r="810">
          <cell r="AH810" t="str">
            <v>EK FREE</v>
          </cell>
        </row>
        <row r="812">
          <cell r="AH812" t="str">
            <v>EK FREE</v>
          </cell>
        </row>
        <row r="813">
          <cell r="AH813" t="str">
            <v>EK FREE</v>
          </cell>
        </row>
        <row r="814">
          <cell r="AH814" t="str">
            <v>EK FREE</v>
          </cell>
        </row>
        <row r="898">
          <cell r="AH898" t="str">
            <v>FREE</v>
          </cell>
        </row>
        <row r="969">
          <cell r="AH969" t="str">
            <v>EK FREE</v>
          </cell>
        </row>
        <row r="976">
          <cell r="AH976" t="str">
            <v>EK FREE</v>
          </cell>
        </row>
        <row r="980">
          <cell r="AH980" t="str">
            <v>EK FREE</v>
          </cell>
        </row>
        <row r="981">
          <cell r="AH981" t="str">
            <v>EK FREE</v>
          </cell>
        </row>
        <row r="983">
          <cell r="AH983" t="str">
            <v>EK FREE</v>
          </cell>
        </row>
        <row r="987">
          <cell r="AH987" t="str">
            <v>EK FREE</v>
          </cell>
        </row>
        <row r="992">
          <cell r="AH992" t="str">
            <v>EK FREE</v>
          </cell>
        </row>
        <row r="994">
          <cell r="AH994" t="str">
            <v>EK FREE</v>
          </cell>
        </row>
        <row r="1088">
          <cell r="AH1088" t="str">
            <v>FREE</v>
          </cell>
        </row>
        <row r="1154">
          <cell r="AH1154" t="str">
            <v>EK FREE</v>
          </cell>
        </row>
        <row r="1155">
          <cell r="AH1155" t="str">
            <v>EK FREE</v>
          </cell>
        </row>
        <row r="1161">
          <cell r="AH1161" t="str">
            <v>EK FREE</v>
          </cell>
        </row>
        <row r="1165">
          <cell r="AH1165" t="str">
            <v>EK FREE</v>
          </cell>
        </row>
        <row r="1166">
          <cell r="AH1166" t="str">
            <v>EK FREE</v>
          </cell>
        </row>
        <row r="1170">
          <cell r="AH1170" t="str">
            <v>EK FREE</v>
          </cell>
        </row>
        <row r="1172">
          <cell r="AH1172" t="str">
            <v>EK FREE</v>
          </cell>
        </row>
        <row r="1178">
          <cell r="AH1178" t="str">
            <v>EK FREE</v>
          </cell>
        </row>
        <row r="1181">
          <cell r="AH1181" t="str">
            <v>EK FREE</v>
          </cell>
        </row>
        <row r="1336">
          <cell r="AH1336" t="str">
            <v>EK FREE</v>
          </cell>
        </row>
        <row r="1347">
          <cell r="AH1347" t="str">
            <v>EK FREE</v>
          </cell>
        </row>
        <row r="1439">
          <cell r="AH1439" t="str">
            <v>FREE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3">
          <cell r="AE13" t="str">
            <v>Selected</v>
          </cell>
        </row>
      </sheetData>
      <sheetData sheetId="15">
        <row r="13">
          <cell r="AE13" t="str">
            <v>Selected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-gaz1"/>
      <sheetName val="perform-gaz1"/>
      <sheetName val="gun dağılımı"/>
      <sheetName val="gun dağılımı-KASIM"/>
      <sheetName val="KASIM"/>
      <sheetName val="gun dağılımı-ARALIK"/>
      <sheetName val="ARALIK"/>
      <sheetName val="plan_gaz1"/>
      <sheetName val="Hasar Hattı"/>
      <sheetName val="Foglio1"/>
      <sheetName val="tv spot list"/>
      <sheetName val="Copies"/>
      <sheetName val="gun_dağılımı"/>
      <sheetName val="gun_dağılımı-KASIM"/>
      <sheetName val="gun_dağılımı-ARALIK"/>
      <sheetName val="Hasar_Hattı"/>
      <sheetName val="tv_spot_list"/>
      <sheetName val="TUBORG"/>
      <sheetName val="gun_dağılımı1"/>
      <sheetName val="gun_dağılımı-KASIM1"/>
      <sheetName val="gun_dağılımı-ARALIK1"/>
      <sheetName val="Hasar_Hattı1"/>
      <sheetName val="tv_spot_list1"/>
      <sheetName val="gun_dağılımı2"/>
      <sheetName val="gun_dağılımı-KASIM2"/>
      <sheetName val="gun_dağılımı-ARALIK2"/>
      <sheetName val="Hasar_Hattı2"/>
      <sheetName val="tv_spot_list2"/>
      <sheetName val="DENETİM MİZANI"/>
      <sheetName val="gun_dağılımı3"/>
      <sheetName val="gun_dağılımı-KASIM3"/>
      <sheetName val="gun_dağılımı-ARALIK3"/>
      <sheetName val="Hasar_Hattı3"/>
      <sheetName val="tv_spot_list3"/>
      <sheetName val="DENETİM_MİZANI"/>
      <sheetName val="GAZETE"/>
      <sheetName val="Makro1"/>
      <sheetName val="gun_dağılımı4"/>
      <sheetName val="gun_dağılımı-KASIM4"/>
      <sheetName val="gun_dağılımı-ARALIK4"/>
      <sheetName val="Hasar_Hattı4"/>
      <sheetName val="tv_spot_list4"/>
      <sheetName val="DENETİM_MİZANI1"/>
      <sheetName val="Starex.xls"/>
      <sheetName val="Starex"/>
      <sheetName val="ORT"/>
      <sheetName val="Channelvorgabe"/>
      <sheetName val="RadioMIND"/>
      <sheetName val="FINALPHP"/>
      <sheetName val="Traffic Factors"/>
      <sheetName val="Köprü"/>
      <sheetName val="kuşak data"/>
      <sheetName val="Resource-Strings"/>
      <sheetName val="Kategoriler"/>
      <sheetName val="gun_dağılımı5"/>
      <sheetName val="gun_dağılımı-KASIM5"/>
      <sheetName val="gun_dağılımı-ARALIK5"/>
      <sheetName val="Hasar_Hattı5"/>
      <sheetName val="tv_spot_list5"/>
      <sheetName val="DENETİM_MİZANI2"/>
      <sheetName val="Starex_xls"/>
      <sheetName val="SpotList (2)"/>
      <sheetName val="Prices"/>
    </sheetNames>
    <sheetDataSet>
      <sheetData sheetId="0" refreshError="1">
        <row r="1">
          <cell r="B1" t="str">
            <v>Mediacom</v>
          </cell>
        </row>
        <row r="10">
          <cell r="B10" t="str">
            <v>GAZETE</v>
          </cell>
        </row>
        <row r="11">
          <cell r="B11" t="str">
            <v>Akşam</v>
          </cell>
        </row>
        <row r="12">
          <cell r="B12" t="str">
            <v>Dünya</v>
          </cell>
        </row>
        <row r="13">
          <cell r="B13" t="str">
            <v>Fanatik</v>
          </cell>
        </row>
        <row r="14">
          <cell r="B14" t="str">
            <v>Fotomaç</v>
          </cell>
        </row>
        <row r="15">
          <cell r="B15" t="str">
            <v>Hürriyet</v>
          </cell>
        </row>
        <row r="16">
          <cell r="B16" t="str">
            <v>Hürriyet</v>
          </cell>
        </row>
        <row r="17">
          <cell r="B17" t="str">
            <v>Hürriyet</v>
          </cell>
        </row>
        <row r="18">
          <cell r="B18" t="str">
            <v>Milliyet</v>
          </cell>
        </row>
        <row r="19">
          <cell r="B19" t="str">
            <v>Posta</v>
          </cell>
        </row>
        <row r="20">
          <cell r="B20" t="str">
            <v>Sabah</v>
          </cell>
        </row>
        <row r="21">
          <cell r="B21" t="str">
            <v>Star</v>
          </cell>
        </row>
        <row r="22">
          <cell r="B22" t="str">
            <v>Türkiye</v>
          </cell>
        </row>
        <row r="23">
          <cell r="B23" t="str">
            <v>Vatan</v>
          </cell>
        </row>
        <row r="24">
          <cell r="B24" t="str">
            <v>Zaman</v>
          </cell>
        </row>
        <row r="26">
          <cell r="B26" t="str">
            <v>Akşam</v>
          </cell>
        </row>
        <row r="27">
          <cell r="B27" t="str">
            <v>Akşam</v>
          </cell>
        </row>
        <row r="28">
          <cell r="B28" t="str">
            <v>Akşam</v>
          </cell>
        </row>
        <row r="29">
          <cell r="B29" t="str">
            <v>Akşam</v>
          </cell>
        </row>
        <row r="30">
          <cell r="B30" t="str">
            <v>Dünya</v>
          </cell>
        </row>
        <row r="31">
          <cell r="B31" t="str">
            <v>Dünya</v>
          </cell>
        </row>
        <row r="32">
          <cell r="B32" t="str">
            <v>Fanatik</v>
          </cell>
        </row>
        <row r="33">
          <cell r="B33" t="str">
            <v>Fanatik</v>
          </cell>
        </row>
        <row r="34">
          <cell r="B34" t="str">
            <v>Fotomaç</v>
          </cell>
        </row>
        <row r="35">
          <cell r="B35" t="str">
            <v>Fotomaç</v>
          </cell>
        </row>
        <row r="36">
          <cell r="B36" t="str">
            <v>Hürriyet</v>
          </cell>
        </row>
        <row r="37">
          <cell r="B37" t="str">
            <v>Hürriyet</v>
          </cell>
        </row>
        <row r="38">
          <cell r="B38" t="str">
            <v>Hürriyet</v>
          </cell>
        </row>
        <row r="39">
          <cell r="B39" t="str">
            <v>Hürriyet</v>
          </cell>
        </row>
        <row r="40">
          <cell r="B40" t="str">
            <v>Milliyet</v>
          </cell>
        </row>
        <row r="41">
          <cell r="B41" t="str">
            <v>Milliyet</v>
          </cell>
        </row>
        <row r="42">
          <cell r="B42" t="str">
            <v>Posta</v>
          </cell>
        </row>
        <row r="43">
          <cell r="B43" t="str">
            <v>Posta</v>
          </cell>
        </row>
        <row r="44">
          <cell r="B44" t="str">
            <v>Posta</v>
          </cell>
        </row>
        <row r="45">
          <cell r="B45" t="str">
            <v>Posta</v>
          </cell>
        </row>
        <row r="46">
          <cell r="B46" t="str">
            <v>Sabah</v>
          </cell>
        </row>
        <row r="47">
          <cell r="B47" t="str">
            <v>Star</v>
          </cell>
        </row>
        <row r="48">
          <cell r="B48" t="str">
            <v>Star</v>
          </cell>
        </row>
        <row r="49">
          <cell r="B49" t="str">
            <v>Star</v>
          </cell>
        </row>
        <row r="50">
          <cell r="B50" t="str">
            <v>Star</v>
          </cell>
        </row>
        <row r="51">
          <cell r="B51" t="str">
            <v>Türkiye</v>
          </cell>
        </row>
        <row r="52">
          <cell r="B52" t="str">
            <v>Türkiye</v>
          </cell>
        </row>
        <row r="53">
          <cell r="B53" t="str">
            <v>Türkiye</v>
          </cell>
        </row>
        <row r="54">
          <cell r="B54" t="str">
            <v>Türkiye</v>
          </cell>
        </row>
        <row r="55">
          <cell r="B55" t="str">
            <v>Türkiye</v>
          </cell>
        </row>
        <row r="56">
          <cell r="B56" t="str">
            <v>Vatan</v>
          </cell>
        </row>
        <row r="57">
          <cell r="B57" t="str">
            <v>Vatan</v>
          </cell>
        </row>
        <row r="58">
          <cell r="B58" t="str">
            <v>Vatan</v>
          </cell>
        </row>
        <row r="59">
          <cell r="B59" t="str">
            <v>Zaman</v>
          </cell>
        </row>
        <row r="60">
          <cell r="B60" t="str">
            <v>Zaman</v>
          </cell>
        </row>
        <row r="61">
          <cell r="B61" t="str">
            <v>Zaman</v>
          </cell>
        </row>
        <row r="62">
          <cell r="B62" t="str">
            <v>Zaman</v>
          </cell>
        </row>
        <row r="64">
          <cell r="B64" t="str">
            <v>Akşam</v>
          </cell>
        </row>
        <row r="65">
          <cell r="B65" t="str">
            <v>Akşam</v>
          </cell>
        </row>
        <row r="66">
          <cell r="B66" t="str">
            <v>Akşam</v>
          </cell>
        </row>
        <row r="67">
          <cell r="B67" t="str">
            <v>Akşam</v>
          </cell>
        </row>
        <row r="68">
          <cell r="B68" t="str">
            <v>Akşam</v>
          </cell>
        </row>
        <row r="69">
          <cell r="B69" t="str">
            <v>Dünya</v>
          </cell>
        </row>
        <row r="70">
          <cell r="B70" t="str">
            <v>Dünya</v>
          </cell>
        </row>
        <row r="71">
          <cell r="B71" t="str">
            <v>Fanatik</v>
          </cell>
        </row>
        <row r="72">
          <cell r="B72" t="str">
            <v>Fanatik</v>
          </cell>
        </row>
        <row r="73">
          <cell r="B73" t="str">
            <v>Fanatik</v>
          </cell>
        </row>
        <row r="74">
          <cell r="B74" t="str">
            <v>Fotomaç</v>
          </cell>
        </row>
        <row r="75">
          <cell r="B75" t="str">
            <v>Fotomaç</v>
          </cell>
        </row>
        <row r="76">
          <cell r="B76" t="str">
            <v>Hürriyet</v>
          </cell>
        </row>
        <row r="77">
          <cell r="B77" t="str">
            <v>Hürriyet</v>
          </cell>
        </row>
        <row r="78">
          <cell r="B78" t="str">
            <v>Hürriyet</v>
          </cell>
        </row>
        <row r="79">
          <cell r="B79" t="str">
            <v>Hürriyet</v>
          </cell>
        </row>
        <row r="80">
          <cell r="B80" t="str">
            <v>Hürriyet</v>
          </cell>
        </row>
        <row r="81">
          <cell r="B81" t="str">
            <v>Hürriyet</v>
          </cell>
        </row>
        <row r="82">
          <cell r="B82" t="str">
            <v>Hürriyet</v>
          </cell>
        </row>
        <row r="83">
          <cell r="B83" t="str">
            <v>Milliyet</v>
          </cell>
        </row>
        <row r="84">
          <cell r="B84" t="str">
            <v>Milliyet</v>
          </cell>
        </row>
        <row r="85">
          <cell r="B85" t="str">
            <v>Milliyet</v>
          </cell>
        </row>
        <row r="86">
          <cell r="B86" t="str">
            <v>Posta</v>
          </cell>
        </row>
        <row r="87">
          <cell r="B87" t="str">
            <v>Posta</v>
          </cell>
        </row>
        <row r="88">
          <cell r="B88" t="str">
            <v>Posta</v>
          </cell>
        </row>
        <row r="89">
          <cell r="B89" t="str">
            <v>Posta</v>
          </cell>
        </row>
        <row r="90">
          <cell r="B90" t="str">
            <v>Posta</v>
          </cell>
        </row>
        <row r="91">
          <cell r="B91" t="str">
            <v>Sabah</v>
          </cell>
        </row>
        <row r="92">
          <cell r="B92" t="str">
            <v>Sabah</v>
          </cell>
        </row>
        <row r="93">
          <cell r="B93" t="str">
            <v>Star</v>
          </cell>
        </row>
        <row r="94">
          <cell r="B94" t="str">
            <v>Star</v>
          </cell>
        </row>
        <row r="95">
          <cell r="B95" t="str">
            <v>Star</v>
          </cell>
        </row>
        <row r="96">
          <cell r="B96" t="str">
            <v>Star</v>
          </cell>
        </row>
        <row r="97">
          <cell r="B97" t="str">
            <v>Star</v>
          </cell>
        </row>
        <row r="98">
          <cell r="B98" t="str">
            <v>Türkiye</v>
          </cell>
        </row>
        <row r="99">
          <cell r="B99" t="str">
            <v>Türkiye</v>
          </cell>
        </row>
        <row r="100">
          <cell r="B100" t="str">
            <v>Türkiye</v>
          </cell>
        </row>
        <row r="101">
          <cell r="B101" t="str">
            <v>Türkiye</v>
          </cell>
        </row>
        <row r="102">
          <cell r="B102" t="str">
            <v>Türkiye</v>
          </cell>
        </row>
        <row r="103">
          <cell r="B103" t="str">
            <v>Vatan</v>
          </cell>
        </row>
        <row r="104">
          <cell r="B104" t="str">
            <v>Vatan</v>
          </cell>
        </row>
        <row r="105">
          <cell r="B105" t="str">
            <v>Vatan</v>
          </cell>
        </row>
        <row r="106">
          <cell r="B106" t="str">
            <v>Vatan</v>
          </cell>
        </row>
        <row r="107">
          <cell r="B107" t="str">
            <v>Zaman</v>
          </cell>
        </row>
        <row r="108">
          <cell r="B108" t="str">
            <v>Zaman</v>
          </cell>
        </row>
        <row r="109">
          <cell r="B109" t="str">
            <v>Zaman</v>
          </cell>
        </row>
        <row r="110">
          <cell r="B110" t="str">
            <v>Zaman</v>
          </cell>
        </row>
        <row r="111">
          <cell r="B111" t="str">
            <v>Zaman</v>
          </cell>
        </row>
      </sheetData>
      <sheetData sheetId="1">
        <row r="1">
          <cell r="B1" t="str">
            <v>Mediacom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lar"/>
    </sheetNames>
    <sheetDataSet>
      <sheetData sheetId="0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lar"/>
      <sheetName val="Kategoriler"/>
      <sheetName val="ATV"/>
      <sheetName val="KAND"/>
      <sheetName val="SHOW"/>
      <sheetName val="TGRT"/>
      <sheetName val="NTV"/>
      <sheetName val="KANAL6"/>
      <sheetName val="CINE5"/>
      <sheetName val="PRİMA"/>
      <sheetName val="KANALE"/>
      <sheetName val="TV8"/>
      <sheetName val="CNN"/>
      <sheetName val="BRT"/>
      <sheetName val="KANAL7"/>
      <sheetName val="TRT1-"/>
      <sheetName val="NO1"/>
      <sheetName val="DISCOVERY"/>
      <sheetName val="Karışık"/>
      <sheetName val="Pivot"/>
      <sheetName val="ÖZET"/>
      <sheetName val="ÖdemeKarışık"/>
      <sheetName val="Ödeme"/>
      <sheetName val="tv spot list"/>
      <sheetName val="Copies"/>
      <sheetName val="plan-gaz1"/>
      <sheetName val="tv_spot_list"/>
      <sheetName val="StartTime"/>
      <sheetName val="alapok"/>
      <sheetName val="BİMAŞ"/>
      <sheetName val="STAR"/>
      <sheetName val="NUMBER ONE"/>
      <sheetName val="GENC TV"/>
      <sheetName val="CNNTURK"/>
      <sheetName val="KANAL E"/>
      <sheetName val="KISS TV"/>
      <sheetName val="BEST TV"/>
      <sheetName val="GERÇEK ÖZET"/>
      <sheetName val="Index"/>
      <sheetName val="Kategori Dizi kanalları"/>
      <sheetName val="PAKET"/>
      <sheetName val="kategori sinema ve tematik"/>
      <sheetName val="SpotList (2)"/>
      <sheetName val="CampaignData"/>
      <sheetName val="NUMBER_ONE"/>
      <sheetName val="GENC_TV"/>
      <sheetName val="KANAL_E"/>
      <sheetName val="KISS_TV"/>
      <sheetName val="BEST_TV"/>
      <sheetName val="GERÇEK_ÖZET"/>
      <sheetName val="Kategori_Dizi_kanalları"/>
      <sheetName val="kategori_sinema_ve_tematik"/>
      <sheetName val="SpotList_(2)"/>
      <sheetName val="Ref"/>
      <sheetName val="TURKCELLDEVAM.xls"/>
      <sheetName val="TURKCELLDEVAM"/>
      <sheetName val="plan-der"/>
      <sheetName val="GAZETE"/>
      <sheetName val="tv_spot_list1"/>
      <sheetName val="NUMBER_ONE1"/>
      <sheetName val="GENC_TV1"/>
      <sheetName val="KANAL_E1"/>
      <sheetName val="KISS_TV1"/>
      <sheetName val="BEST_TV1"/>
      <sheetName val="GERÇEK_ÖZET1"/>
      <sheetName val="Kategori_Dizi_kanalları1"/>
      <sheetName val="kategori_sinema_ve_tematik1"/>
      <sheetName val="SpotList_(2)1"/>
      <sheetName val="TURKCELLDEVAM_xls"/>
      <sheetName val="USDBIL"/>
      <sheetName val="tv_spot_list2"/>
      <sheetName val="NUMBER_ONE2"/>
      <sheetName val="GENC_TV2"/>
      <sheetName val="KANAL_E2"/>
      <sheetName val="KISS_TV2"/>
      <sheetName val="BEST_TV2"/>
      <sheetName val="GERÇEK_ÖZET2"/>
      <sheetName val="Kategori_Dizi_kanalları2"/>
      <sheetName val="kategori_sinema_ve_tematik2"/>
      <sheetName val="SpotList_(2)2"/>
      <sheetName val="TURKCELLDEVAM_xls1"/>
      <sheetName val="Sayfa2"/>
      <sheetName val="##"/>
      <sheetName val="Sheet1"/>
      <sheetName val="Tabelle2"/>
      <sheetName val="Tabelle3"/>
      <sheetName val="Data Sheet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lar"/>
      <sheetName val="Kategoriler"/>
    </sheetNames>
    <sheetDataSet>
      <sheetData sheetId="0" refreshError="1"/>
      <sheetData sheetId="1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İFE (TL)"/>
      <sheetName val="TARİFE (yeni)"/>
      <sheetName val="TARİFE"/>
      <sheetName val="TARİFE (eski)"/>
      <sheetName val="A (2)"/>
      <sheetName val="A"/>
      <sheetName val="İndirim"/>
      <sheetName val="spot"/>
      <sheetName val="Programlar"/>
      <sheetName val="Kategoriler"/>
      <sheetName val="TARİFE_(TL)"/>
      <sheetName val="TARİFE_(yeni)"/>
      <sheetName val="TARİFE_(eski)"/>
      <sheetName val="A_(2)"/>
    </sheetNames>
    <sheetDataSet>
      <sheetData sheetId="0">
        <row r="2">
          <cell r="A2" t="str">
            <v>KAT</v>
          </cell>
          <cell r="B2" t="str">
            <v>NORMAL SPOT</v>
          </cell>
          <cell r="E2" t="str">
            <v>KAT</v>
          </cell>
          <cell r="F2" t="str">
            <v>NORMAL SPOT USD</v>
          </cell>
        </row>
        <row r="3">
          <cell r="A3" t="str">
            <v>K-33</v>
          </cell>
          <cell r="B3">
            <v>3300</v>
          </cell>
          <cell r="E3" t="str">
            <v>K-35</v>
          </cell>
        </row>
        <row r="4">
          <cell r="A4" t="str">
            <v>K-32</v>
          </cell>
          <cell r="B4">
            <v>3000</v>
          </cell>
          <cell r="E4" t="str">
            <v>K-34</v>
          </cell>
        </row>
        <row r="5">
          <cell r="A5" t="str">
            <v>K-31</v>
          </cell>
          <cell r="B5">
            <v>2730</v>
          </cell>
          <cell r="E5" t="str">
            <v>K-33</v>
          </cell>
        </row>
        <row r="6">
          <cell r="A6" t="str">
            <v>K-30</v>
          </cell>
          <cell r="B6">
            <v>2400</v>
          </cell>
          <cell r="E6" t="str">
            <v>K-32</v>
          </cell>
        </row>
        <row r="7">
          <cell r="A7" t="str">
            <v>K-29</v>
          </cell>
          <cell r="B7">
            <v>2140</v>
          </cell>
          <cell r="E7" t="str">
            <v>K-31</v>
          </cell>
        </row>
        <row r="8">
          <cell r="A8" t="str">
            <v>K-28</v>
          </cell>
          <cell r="B8">
            <v>1900</v>
          </cell>
          <cell r="E8" t="str">
            <v>K-30</v>
          </cell>
        </row>
        <row r="9">
          <cell r="A9" t="str">
            <v>K-27</v>
          </cell>
          <cell r="B9">
            <v>1700</v>
          </cell>
          <cell r="E9" t="str">
            <v>K-29</v>
          </cell>
        </row>
        <row r="10">
          <cell r="A10" t="str">
            <v>K-26</v>
          </cell>
          <cell r="B10">
            <v>1475</v>
          </cell>
          <cell r="E10" t="str">
            <v>K-28</v>
          </cell>
        </row>
        <row r="11">
          <cell r="A11" t="str">
            <v>K-25</v>
          </cell>
          <cell r="B11">
            <v>1300</v>
          </cell>
          <cell r="E11" t="str">
            <v>K-39</v>
          </cell>
          <cell r="F11">
            <v>25000</v>
          </cell>
        </row>
        <row r="12">
          <cell r="A12" t="str">
            <v>K-24</v>
          </cell>
          <cell r="B12">
            <v>1100</v>
          </cell>
          <cell r="E12" t="str">
            <v>K-38</v>
          </cell>
          <cell r="F12">
            <v>12500</v>
          </cell>
        </row>
        <row r="13">
          <cell r="A13" t="str">
            <v>K-23</v>
          </cell>
          <cell r="B13">
            <v>950</v>
          </cell>
          <cell r="E13" t="str">
            <v>K-25</v>
          </cell>
          <cell r="F13">
            <v>8250</v>
          </cell>
        </row>
        <row r="14">
          <cell r="A14" t="str">
            <v>K-22</v>
          </cell>
          <cell r="B14">
            <v>830</v>
          </cell>
          <cell r="E14" t="str">
            <v>K-24</v>
          </cell>
          <cell r="F14">
            <v>7500</v>
          </cell>
        </row>
        <row r="15">
          <cell r="A15" t="str">
            <v>K-21</v>
          </cell>
          <cell r="B15">
            <v>735</v>
          </cell>
          <cell r="E15" t="str">
            <v>K-23</v>
          </cell>
          <cell r="F15">
            <v>7250</v>
          </cell>
        </row>
        <row r="16">
          <cell r="A16" t="str">
            <v>K-20</v>
          </cell>
          <cell r="B16">
            <v>640</v>
          </cell>
          <cell r="E16" t="str">
            <v>K-22</v>
          </cell>
          <cell r="F16">
            <v>6500</v>
          </cell>
        </row>
        <row r="17">
          <cell r="A17" t="str">
            <v>K-19</v>
          </cell>
          <cell r="B17">
            <v>555</v>
          </cell>
          <cell r="E17" t="str">
            <v>K-21</v>
          </cell>
          <cell r="F17">
            <v>5400</v>
          </cell>
        </row>
        <row r="18">
          <cell r="A18" t="str">
            <v>K-18</v>
          </cell>
          <cell r="B18">
            <v>470</v>
          </cell>
          <cell r="E18" t="str">
            <v>K-20</v>
          </cell>
          <cell r="F18">
            <v>4850</v>
          </cell>
        </row>
        <row r="19">
          <cell r="A19" t="str">
            <v>K-17</v>
          </cell>
          <cell r="B19">
            <v>405</v>
          </cell>
          <cell r="E19" t="str">
            <v>K-19</v>
          </cell>
          <cell r="F19">
            <v>4100</v>
          </cell>
        </row>
        <row r="20">
          <cell r="A20" t="str">
            <v>K-16</v>
          </cell>
          <cell r="B20">
            <v>355</v>
          </cell>
          <cell r="E20" t="str">
            <v>K-18</v>
          </cell>
          <cell r="F20">
            <v>3600</v>
          </cell>
        </row>
        <row r="21">
          <cell r="A21" t="str">
            <v>K-15</v>
          </cell>
          <cell r="B21">
            <v>310</v>
          </cell>
          <cell r="E21" t="str">
            <v>K-17</v>
          </cell>
          <cell r="F21">
            <v>3200</v>
          </cell>
        </row>
        <row r="22">
          <cell r="A22" t="str">
            <v>K-14</v>
          </cell>
          <cell r="B22">
            <v>265</v>
          </cell>
          <cell r="E22" t="str">
            <v>K-16</v>
          </cell>
          <cell r="F22">
            <v>2900</v>
          </cell>
        </row>
        <row r="23">
          <cell r="A23" t="str">
            <v>K-13</v>
          </cell>
          <cell r="B23">
            <v>235</v>
          </cell>
          <cell r="E23" t="str">
            <v>K-15</v>
          </cell>
          <cell r="F23">
            <v>2600</v>
          </cell>
        </row>
        <row r="24">
          <cell r="A24" t="str">
            <v>K-12</v>
          </cell>
          <cell r="B24">
            <v>205</v>
          </cell>
          <cell r="E24" t="str">
            <v>K-14</v>
          </cell>
          <cell r="F24">
            <v>2350</v>
          </cell>
        </row>
        <row r="25">
          <cell r="A25" t="str">
            <v>K-11</v>
          </cell>
          <cell r="B25">
            <v>185</v>
          </cell>
          <cell r="E25" t="str">
            <v>K-13</v>
          </cell>
          <cell r="F25">
            <v>2050</v>
          </cell>
        </row>
        <row r="26">
          <cell r="A26" t="str">
            <v>K-10</v>
          </cell>
          <cell r="B26">
            <v>160</v>
          </cell>
          <cell r="E26" t="str">
            <v>K-12</v>
          </cell>
          <cell r="F26">
            <v>1800</v>
          </cell>
        </row>
        <row r="27">
          <cell r="A27" t="str">
            <v>K-9</v>
          </cell>
          <cell r="B27">
            <v>140</v>
          </cell>
          <cell r="E27" t="str">
            <v>K-11</v>
          </cell>
          <cell r="F27">
            <v>1500</v>
          </cell>
        </row>
        <row r="28">
          <cell r="A28" t="str">
            <v>K-8</v>
          </cell>
          <cell r="B28">
            <v>118</v>
          </cell>
          <cell r="E28" t="str">
            <v>K-10</v>
          </cell>
          <cell r="F28">
            <v>1200</v>
          </cell>
        </row>
        <row r="29">
          <cell r="A29" t="str">
            <v>K-7</v>
          </cell>
          <cell r="B29">
            <v>103</v>
          </cell>
          <cell r="E29" t="str">
            <v>K-9</v>
          </cell>
          <cell r="F29">
            <v>1050</v>
          </cell>
        </row>
        <row r="30">
          <cell r="A30" t="str">
            <v>K-6</v>
          </cell>
          <cell r="B30">
            <v>88</v>
          </cell>
          <cell r="E30" t="str">
            <v>K-8</v>
          </cell>
          <cell r="F30">
            <v>900</v>
          </cell>
        </row>
        <row r="31">
          <cell r="A31" t="str">
            <v>K-5</v>
          </cell>
          <cell r="B31">
            <v>73</v>
          </cell>
          <cell r="E31" t="str">
            <v>K-7</v>
          </cell>
          <cell r="F31">
            <v>800</v>
          </cell>
        </row>
        <row r="32">
          <cell r="A32" t="str">
            <v>K-4</v>
          </cell>
          <cell r="B32">
            <v>60</v>
          </cell>
          <cell r="E32" t="str">
            <v>K-6</v>
          </cell>
          <cell r="F32">
            <v>725</v>
          </cell>
        </row>
        <row r="33">
          <cell r="A33" t="str">
            <v>K-3</v>
          </cell>
          <cell r="B33">
            <v>45</v>
          </cell>
          <cell r="E33" t="str">
            <v>K-5</v>
          </cell>
          <cell r="F33">
            <v>640</v>
          </cell>
        </row>
        <row r="34">
          <cell r="A34" t="str">
            <v>K-2</v>
          </cell>
          <cell r="B34">
            <v>30</v>
          </cell>
          <cell r="E34" t="str">
            <v>K-4</v>
          </cell>
          <cell r="F34">
            <v>525</v>
          </cell>
        </row>
        <row r="35">
          <cell r="A35" t="str">
            <v>K-1</v>
          </cell>
          <cell r="B35">
            <v>20</v>
          </cell>
          <cell r="E35" t="str">
            <v>K-3</v>
          </cell>
          <cell r="F35">
            <v>420</v>
          </cell>
        </row>
        <row r="36">
          <cell r="A36" t="str">
            <v>MAÇÖNÜ</v>
          </cell>
          <cell r="B36">
            <v>3000</v>
          </cell>
          <cell r="E36" t="str">
            <v>K-2</v>
          </cell>
          <cell r="F36">
            <v>360</v>
          </cell>
        </row>
        <row r="37">
          <cell r="A37" t="str">
            <v>BANT</v>
          </cell>
          <cell r="B37">
            <v>5000</v>
          </cell>
          <cell r="E37" t="str">
            <v>K-1</v>
          </cell>
          <cell r="F37">
            <v>250</v>
          </cell>
        </row>
        <row r="38">
          <cell r="E38" t="str">
            <v>M.Ö-BJK</v>
          </cell>
        </row>
        <row r="39">
          <cell r="E39" t="str">
            <v>BANT-BJK</v>
          </cell>
        </row>
        <row r="40">
          <cell r="E40" t="str">
            <v>D.A-BJK</v>
          </cell>
        </row>
        <row r="41">
          <cell r="E41" t="str">
            <v>M.S-BJK</v>
          </cell>
        </row>
        <row r="42">
          <cell r="E42" t="str">
            <v>M.Ö-GS</v>
          </cell>
        </row>
        <row r="43">
          <cell r="E43" t="str">
            <v>BANT-GS</v>
          </cell>
        </row>
        <row r="44">
          <cell r="E44" t="str">
            <v>D.A-GS</v>
          </cell>
        </row>
        <row r="45">
          <cell r="E45" t="str">
            <v>M.S-GS</v>
          </cell>
        </row>
        <row r="46">
          <cell r="E46" t="str">
            <v>M.Ö-UMIT</v>
          </cell>
        </row>
        <row r="47">
          <cell r="E47" t="str">
            <v>BANT-UMIT</v>
          </cell>
        </row>
        <row r="48">
          <cell r="E48" t="str">
            <v>D.A-UMIT</v>
          </cell>
        </row>
        <row r="49">
          <cell r="E49" t="str">
            <v>M.S-UMIT</v>
          </cell>
        </row>
        <row r="50">
          <cell r="E50" t="str">
            <v>M.Ö-A</v>
          </cell>
        </row>
        <row r="51">
          <cell r="E51" t="str">
            <v>BANT-A</v>
          </cell>
        </row>
        <row r="52">
          <cell r="A52" t="str">
            <v>MAÇSON</v>
          </cell>
          <cell r="B52">
            <v>3000</v>
          </cell>
          <cell r="E52" t="str">
            <v>D.A-A</v>
          </cell>
        </row>
        <row r="53">
          <cell r="A53" t="str">
            <v>MAÇÖNÜ 1</v>
          </cell>
          <cell r="B53">
            <v>3500</v>
          </cell>
          <cell r="E53" t="str">
            <v>M.S-A</v>
          </cell>
        </row>
        <row r="54">
          <cell r="A54" t="str">
            <v>BANT 1</v>
          </cell>
          <cell r="B54">
            <v>4000</v>
          </cell>
          <cell r="E54" t="str">
            <v>KÖ-35</v>
          </cell>
        </row>
        <row r="55">
          <cell r="A55" t="str">
            <v>DEVREA 1</v>
          </cell>
          <cell r="B55">
            <v>3500</v>
          </cell>
          <cell r="E55" t="str">
            <v>KÖ-34</v>
          </cell>
        </row>
        <row r="56">
          <cell r="A56" t="str">
            <v>BANT 1</v>
          </cell>
          <cell r="B56">
            <v>4000</v>
          </cell>
          <cell r="E56" t="str">
            <v>KÖ-33</v>
          </cell>
        </row>
        <row r="57">
          <cell r="A57" t="str">
            <v>MAÇSON 1</v>
          </cell>
          <cell r="B57">
            <v>2500</v>
          </cell>
          <cell r="E57" t="str">
            <v>KÖ-32</v>
          </cell>
        </row>
        <row r="58">
          <cell r="A58" t="str">
            <v>M.Ö/S</v>
          </cell>
          <cell r="B58">
            <v>7500</v>
          </cell>
          <cell r="E58" t="str">
            <v>KÖ-31</v>
          </cell>
        </row>
        <row r="59">
          <cell r="A59" t="str">
            <v>BANT2</v>
          </cell>
          <cell r="B59">
            <v>10000</v>
          </cell>
          <cell r="E59" t="str">
            <v>KÖ-30</v>
          </cell>
        </row>
        <row r="60">
          <cell r="A60" t="str">
            <v>D.ARASI</v>
          </cell>
          <cell r="B60">
            <v>7500</v>
          </cell>
          <cell r="E60" t="str">
            <v>KÖ-29</v>
          </cell>
        </row>
        <row r="61">
          <cell r="A61" t="str">
            <v>BANT2</v>
          </cell>
          <cell r="B61">
            <v>10000</v>
          </cell>
          <cell r="E61" t="str">
            <v>KÖ-28</v>
          </cell>
        </row>
        <row r="62">
          <cell r="A62" t="str">
            <v>M.Ö/S</v>
          </cell>
          <cell r="B62">
            <v>7500</v>
          </cell>
          <cell r="E62" t="str">
            <v>KÖ-39</v>
          </cell>
          <cell r="F62">
            <v>25000</v>
          </cell>
        </row>
        <row r="63">
          <cell r="A63" t="str">
            <v>KÖ-33</v>
          </cell>
          <cell r="B63">
            <v>2475</v>
          </cell>
          <cell r="E63" t="str">
            <v>KÖ-38</v>
          </cell>
          <cell r="F63">
            <v>12500</v>
          </cell>
        </row>
        <row r="64">
          <cell r="A64" t="str">
            <v>KÖ-32</v>
          </cell>
          <cell r="B64">
            <v>2250</v>
          </cell>
          <cell r="E64" t="str">
            <v>KÖ-25</v>
          </cell>
          <cell r="F64">
            <v>7425</v>
          </cell>
        </row>
        <row r="65">
          <cell r="A65" t="str">
            <v>KÖ-31</v>
          </cell>
          <cell r="B65">
            <v>2047.5</v>
          </cell>
          <cell r="E65" t="str">
            <v>KÖ-24</v>
          </cell>
          <cell r="F65">
            <v>6750</v>
          </cell>
        </row>
        <row r="66">
          <cell r="A66" t="str">
            <v>KÖ-30</v>
          </cell>
          <cell r="B66">
            <v>1800</v>
          </cell>
          <cell r="E66" t="str">
            <v>KÖ-23</v>
          </cell>
          <cell r="F66">
            <v>6525</v>
          </cell>
        </row>
        <row r="67">
          <cell r="A67" t="str">
            <v>KÖ-29</v>
          </cell>
          <cell r="B67">
            <v>1605</v>
          </cell>
          <cell r="E67" t="str">
            <v>KÖ-22</v>
          </cell>
          <cell r="F67">
            <v>5850</v>
          </cell>
        </row>
        <row r="68">
          <cell r="A68" t="str">
            <v>KÖ-28</v>
          </cell>
          <cell r="B68">
            <v>1425</v>
          </cell>
          <cell r="E68" t="str">
            <v>KÖ-21</v>
          </cell>
          <cell r="F68">
            <v>4860</v>
          </cell>
        </row>
        <row r="69">
          <cell r="A69" t="str">
            <v>KÖ-27</v>
          </cell>
          <cell r="B69">
            <v>1275</v>
          </cell>
          <cell r="E69" t="str">
            <v>KÖ-20</v>
          </cell>
          <cell r="F69">
            <v>4365</v>
          </cell>
        </row>
        <row r="70">
          <cell r="A70" t="str">
            <v>KÖ-26</v>
          </cell>
          <cell r="B70">
            <v>1106.25</v>
          </cell>
          <cell r="E70" t="str">
            <v>KÖ-19</v>
          </cell>
          <cell r="F70">
            <v>3485</v>
          </cell>
        </row>
        <row r="71">
          <cell r="A71" t="str">
            <v>KÖ-25</v>
          </cell>
          <cell r="B71">
            <v>975</v>
          </cell>
          <cell r="E71" t="str">
            <v>KÖ-18</v>
          </cell>
          <cell r="F71">
            <v>3060</v>
          </cell>
        </row>
        <row r="72">
          <cell r="A72" t="str">
            <v>KÖ-24</v>
          </cell>
          <cell r="B72">
            <v>825</v>
          </cell>
          <cell r="E72" t="str">
            <v>KÖ-17</v>
          </cell>
          <cell r="F72">
            <v>2720</v>
          </cell>
        </row>
        <row r="73">
          <cell r="A73" t="str">
            <v>KÖ-23</v>
          </cell>
          <cell r="B73">
            <v>712.5</v>
          </cell>
          <cell r="E73" t="str">
            <v>KÖ-16</v>
          </cell>
          <cell r="F73">
            <v>2465</v>
          </cell>
        </row>
        <row r="74">
          <cell r="A74" t="str">
            <v>KÖ-22</v>
          </cell>
          <cell r="B74">
            <v>622.5</v>
          </cell>
          <cell r="E74" t="str">
            <v>KÖ-15</v>
          </cell>
          <cell r="F74">
            <v>2210</v>
          </cell>
        </row>
        <row r="75">
          <cell r="A75" t="str">
            <v>KÖ-21</v>
          </cell>
          <cell r="B75">
            <v>551.25</v>
          </cell>
          <cell r="E75" t="str">
            <v>KÖ-14</v>
          </cell>
          <cell r="F75">
            <v>1998</v>
          </cell>
        </row>
        <row r="76">
          <cell r="A76" t="str">
            <v>KÖ-20</v>
          </cell>
          <cell r="B76">
            <v>480</v>
          </cell>
          <cell r="E76" t="str">
            <v>KÖ-13</v>
          </cell>
          <cell r="F76">
            <v>1743</v>
          </cell>
        </row>
        <row r="77">
          <cell r="A77" t="str">
            <v>KÖ-19</v>
          </cell>
          <cell r="B77">
            <v>416.25</v>
          </cell>
          <cell r="E77" t="str">
            <v>KÖ-12</v>
          </cell>
          <cell r="F77">
            <v>1530</v>
          </cell>
        </row>
        <row r="78">
          <cell r="A78" t="str">
            <v>KÖ-18</v>
          </cell>
          <cell r="B78">
            <v>352.5</v>
          </cell>
          <cell r="E78" t="str">
            <v>KÖ-11</v>
          </cell>
          <cell r="F78">
            <v>1275</v>
          </cell>
        </row>
        <row r="79">
          <cell r="A79" t="str">
            <v>KÖ-17</v>
          </cell>
          <cell r="B79">
            <v>303.75</v>
          </cell>
          <cell r="E79" t="str">
            <v>KÖ-10</v>
          </cell>
          <cell r="F79">
            <v>1020</v>
          </cell>
        </row>
        <row r="80">
          <cell r="A80" t="str">
            <v>KÖ-16</v>
          </cell>
          <cell r="B80">
            <v>266.25</v>
          </cell>
          <cell r="E80" t="str">
            <v>KÖ-9</v>
          </cell>
          <cell r="F80">
            <v>893</v>
          </cell>
        </row>
        <row r="81">
          <cell r="A81" t="str">
            <v>KÖ-15</v>
          </cell>
          <cell r="B81">
            <v>232.5</v>
          </cell>
          <cell r="E81" t="str">
            <v>KÖ-8</v>
          </cell>
          <cell r="F81">
            <v>765</v>
          </cell>
        </row>
        <row r="82">
          <cell r="A82" t="str">
            <v>KÖ-14</v>
          </cell>
          <cell r="B82">
            <v>198.75</v>
          </cell>
          <cell r="E82" t="str">
            <v>KÖ-7</v>
          </cell>
          <cell r="F82">
            <v>680</v>
          </cell>
        </row>
        <row r="83">
          <cell r="A83" t="str">
            <v>KÖ-13</v>
          </cell>
          <cell r="B83">
            <v>176.25</v>
          </cell>
          <cell r="E83" t="str">
            <v>KÖ-6</v>
          </cell>
          <cell r="F83">
            <v>616</v>
          </cell>
        </row>
        <row r="84">
          <cell r="A84" t="str">
            <v>KÖ-12</v>
          </cell>
          <cell r="B84">
            <v>153.75</v>
          </cell>
          <cell r="E84" t="str">
            <v>KÖ-5</v>
          </cell>
          <cell r="F84">
            <v>544</v>
          </cell>
        </row>
        <row r="85">
          <cell r="A85" t="str">
            <v>KÖ-11</v>
          </cell>
          <cell r="B85">
            <v>138.75</v>
          </cell>
          <cell r="E85" t="str">
            <v>KÖ-4</v>
          </cell>
          <cell r="F85">
            <v>446</v>
          </cell>
        </row>
        <row r="86">
          <cell r="A86" t="str">
            <v>KÖ-10</v>
          </cell>
          <cell r="B86">
            <v>120</v>
          </cell>
          <cell r="E86" t="str">
            <v>KÖ-3</v>
          </cell>
          <cell r="F86">
            <v>357</v>
          </cell>
        </row>
        <row r="87">
          <cell r="A87" t="str">
            <v>KÖ-9</v>
          </cell>
          <cell r="B87">
            <v>105</v>
          </cell>
          <cell r="E87" t="str">
            <v>KÖ-2</v>
          </cell>
          <cell r="F87">
            <v>306</v>
          </cell>
        </row>
        <row r="88">
          <cell r="A88" t="str">
            <v>KÖ-8</v>
          </cell>
          <cell r="B88">
            <v>88.5</v>
          </cell>
          <cell r="E88" t="str">
            <v>KÖ-1</v>
          </cell>
          <cell r="F88">
            <v>213</v>
          </cell>
        </row>
        <row r="89">
          <cell r="A89" t="str">
            <v>KÖ-7</v>
          </cell>
          <cell r="B89">
            <v>77.25</v>
          </cell>
        </row>
        <row r="90">
          <cell r="A90" t="str">
            <v>KÖ-6</v>
          </cell>
          <cell r="B90">
            <v>66</v>
          </cell>
        </row>
        <row r="91">
          <cell r="A91" t="str">
            <v>KÖ-5</v>
          </cell>
          <cell r="B91">
            <v>54.75</v>
          </cell>
        </row>
        <row r="92">
          <cell r="A92" t="str">
            <v>KÖ-4</v>
          </cell>
          <cell r="B92">
            <v>45</v>
          </cell>
        </row>
        <row r="93">
          <cell r="A93" t="str">
            <v>KÖ-3</v>
          </cell>
          <cell r="B93">
            <v>33.75</v>
          </cell>
        </row>
        <row r="94">
          <cell r="A94" t="str">
            <v>KÖ-2</v>
          </cell>
          <cell r="B94">
            <v>22.5</v>
          </cell>
        </row>
        <row r="95">
          <cell r="A95" t="str">
            <v>KÖ-1</v>
          </cell>
          <cell r="B95">
            <v>15</v>
          </cell>
        </row>
      </sheetData>
      <sheetData sheetId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</row>
        <row r="2">
          <cell r="A2" t="str">
            <v>KAT</v>
          </cell>
          <cell r="B2" t="str">
            <v>NORMAL SPOT</v>
          </cell>
          <cell r="C2" t="str">
            <v>FREE SPOT</v>
          </cell>
          <cell r="D2" t="str">
            <v>PAKET-1</v>
          </cell>
          <cell r="E2" t="str">
            <v>PAKET-2</v>
          </cell>
          <cell r="F2" t="str">
            <v>PAKET-3</v>
          </cell>
          <cell r="G2" t="str">
            <v>PAKET-4</v>
          </cell>
          <cell r="H2" t="str">
            <v>PAKET-1 EK SPOT</v>
          </cell>
          <cell r="I2" t="str">
            <v>PAKET-2 EK SPOT</v>
          </cell>
          <cell r="J2" t="str">
            <v>PAKET-3 EK SPOT</v>
          </cell>
          <cell r="K2" t="str">
            <v>PAKET-4 EK SPOT</v>
          </cell>
        </row>
        <row r="3">
          <cell r="A3" t="str">
            <v>K-26</v>
          </cell>
          <cell r="B3">
            <v>1250</v>
          </cell>
          <cell r="C3">
            <v>1250</v>
          </cell>
          <cell r="D3">
            <v>1062.5</v>
          </cell>
          <cell r="E3">
            <v>1062.5</v>
          </cell>
          <cell r="F3">
            <v>1062.5</v>
          </cell>
          <cell r="G3">
            <v>1062.5</v>
          </cell>
          <cell r="H3">
            <v>1187.5</v>
          </cell>
          <cell r="I3">
            <v>1187.5</v>
          </cell>
          <cell r="J3">
            <v>1187.5</v>
          </cell>
          <cell r="K3">
            <v>1250</v>
          </cell>
        </row>
        <row r="4">
          <cell r="A4" t="str">
            <v>K-25</v>
          </cell>
          <cell r="B4">
            <v>1100</v>
          </cell>
          <cell r="C4">
            <v>1100</v>
          </cell>
          <cell r="D4">
            <v>935</v>
          </cell>
          <cell r="E4">
            <v>935</v>
          </cell>
          <cell r="F4">
            <v>935</v>
          </cell>
          <cell r="G4">
            <v>935</v>
          </cell>
          <cell r="H4">
            <v>1045</v>
          </cell>
          <cell r="I4">
            <v>1045</v>
          </cell>
          <cell r="J4">
            <v>1045</v>
          </cell>
          <cell r="K4">
            <v>1100</v>
          </cell>
        </row>
        <row r="5">
          <cell r="A5" t="str">
            <v>K-24</v>
          </cell>
          <cell r="B5">
            <v>950</v>
          </cell>
          <cell r="C5">
            <v>950</v>
          </cell>
          <cell r="D5">
            <v>807.5</v>
          </cell>
          <cell r="E5">
            <v>807.5</v>
          </cell>
          <cell r="F5">
            <v>807.5</v>
          </cell>
          <cell r="G5">
            <v>807.5</v>
          </cell>
          <cell r="H5">
            <v>902.5</v>
          </cell>
          <cell r="I5">
            <v>902.5</v>
          </cell>
          <cell r="J5">
            <v>902.5</v>
          </cell>
          <cell r="K5">
            <v>950</v>
          </cell>
        </row>
        <row r="6">
          <cell r="A6" t="str">
            <v>K-23</v>
          </cell>
          <cell r="B6">
            <v>850</v>
          </cell>
          <cell r="C6">
            <v>850</v>
          </cell>
          <cell r="D6">
            <v>722.5</v>
          </cell>
          <cell r="E6">
            <v>722.5</v>
          </cell>
          <cell r="F6">
            <v>722.5</v>
          </cell>
          <cell r="G6">
            <v>722.5</v>
          </cell>
          <cell r="H6">
            <v>807.5</v>
          </cell>
          <cell r="I6">
            <v>807.5</v>
          </cell>
          <cell r="J6">
            <v>807.5</v>
          </cell>
          <cell r="K6">
            <v>850</v>
          </cell>
        </row>
        <row r="7">
          <cell r="A7" t="str">
            <v>K-22</v>
          </cell>
          <cell r="B7">
            <v>725</v>
          </cell>
          <cell r="C7">
            <v>725</v>
          </cell>
          <cell r="D7">
            <v>616.25</v>
          </cell>
          <cell r="E7">
            <v>616.25</v>
          </cell>
          <cell r="F7">
            <v>616.25</v>
          </cell>
          <cell r="G7">
            <v>616.25</v>
          </cell>
          <cell r="H7">
            <v>688.75</v>
          </cell>
          <cell r="I7">
            <v>688.75</v>
          </cell>
          <cell r="J7">
            <v>688.75</v>
          </cell>
          <cell r="K7">
            <v>725</v>
          </cell>
        </row>
        <row r="8">
          <cell r="A8" t="str">
            <v>K-21</v>
          </cell>
          <cell r="B8">
            <v>590</v>
          </cell>
          <cell r="C8">
            <v>590</v>
          </cell>
          <cell r="D8">
            <v>501.5</v>
          </cell>
          <cell r="E8">
            <v>501.5</v>
          </cell>
          <cell r="F8">
            <v>501.5</v>
          </cell>
          <cell r="G8">
            <v>501.5</v>
          </cell>
          <cell r="H8">
            <v>560.5</v>
          </cell>
          <cell r="I8">
            <v>560.5</v>
          </cell>
          <cell r="J8">
            <v>560.5</v>
          </cell>
          <cell r="K8">
            <v>590</v>
          </cell>
        </row>
        <row r="9">
          <cell r="A9" t="str">
            <v>K-20</v>
          </cell>
          <cell r="B9">
            <v>480</v>
          </cell>
          <cell r="C9">
            <v>480</v>
          </cell>
          <cell r="D9">
            <v>408</v>
          </cell>
          <cell r="E9">
            <v>408</v>
          </cell>
          <cell r="F9">
            <v>408</v>
          </cell>
          <cell r="G9">
            <v>408</v>
          </cell>
          <cell r="H9">
            <v>456</v>
          </cell>
          <cell r="I9">
            <v>456</v>
          </cell>
          <cell r="J9">
            <v>456</v>
          </cell>
          <cell r="K9">
            <v>480</v>
          </cell>
        </row>
        <row r="10">
          <cell r="A10" t="str">
            <v>K-19</v>
          </cell>
          <cell r="B10">
            <v>430</v>
          </cell>
          <cell r="C10">
            <v>430</v>
          </cell>
          <cell r="D10">
            <v>365.5</v>
          </cell>
          <cell r="E10">
            <v>365.5</v>
          </cell>
          <cell r="F10">
            <v>365.5</v>
          </cell>
          <cell r="G10">
            <v>365.5</v>
          </cell>
          <cell r="H10">
            <v>397.75</v>
          </cell>
          <cell r="I10">
            <v>397.75</v>
          </cell>
          <cell r="J10">
            <v>397.75</v>
          </cell>
          <cell r="K10">
            <v>397.75</v>
          </cell>
        </row>
        <row r="11">
          <cell r="A11" t="str">
            <v>K-18</v>
          </cell>
          <cell r="B11">
            <v>390</v>
          </cell>
          <cell r="C11">
            <v>390</v>
          </cell>
          <cell r="D11">
            <v>331.5</v>
          </cell>
          <cell r="E11">
            <v>331.5</v>
          </cell>
          <cell r="F11">
            <v>331.5</v>
          </cell>
          <cell r="G11">
            <v>331.5</v>
          </cell>
          <cell r="H11">
            <v>360.75</v>
          </cell>
          <cell r="I11">
            <v>360.75</v>
          </cell>
          <cell r="J11">
            <v>360.75</v>
          </cell>
          <cell r="K11">
            <v>360.75</v>
          </cell>
        </row>
        <row r="12">
          <cell r="A12" t="str">
            <v>K-17</v>
          </cell>
          <cell r="B12">
            <v>320</v>
          </cell>
          <cell r="C12">
            <v>320</v>
          </cell>
          <cell r="D12">
            <v>272</v>
          </cell>
          <cell r="E12">
            <v>272</v>
          </cell>
          <cell r="F12">
            <v>272</v>
          </cell>
          <cell r="G12">
            <v>272</v>
          </cell>
          <cell r="H12">
            <v>296</v>
          </cell>
          <cell r="I12">
            <v>296</v>
          </cell>
          <cell r="J12">
            <v>296</v>
          </cell>
          <cell r="K12">
            <v>296</v>
          </cell>
        </row>
        <row r="13">
          <cell r="A13" t="str">
            <v>K-16</v>
          </cell>
          <cell r="B13">
            <v>265</v>
          </cell>
          <cell r="C13">
            <v>265</v>
          </cell>
          <cell r="D13">
            <v>225.25</v>
          </cell>
          <cell r="E13">
            <v>225.25</v>
          </cell>
          <cell r="F13">
            <v>225.25</v>
          </cell>
          <cell r="G13">
            <v>225.25</v>
          </cell>
          <cell r="H13">
            <v>245.125</v>
          </cell>
          <cell r="I13">
            <v>245.125</v>
          </cell>
          <cell r="J13">
            <v>245.125</v>
          </cell>
          <cell r="K13">
            <v>245.125</v>
          </cell>
        </row>
        <row r="14">
          <cell r="A14" t="str">
            <v>K-15</v>
          </cell>
          <cell r="B14">
            <v>235</v>
          </cell>
          <cell r="C14">
            <v>235</v>
          </cell>
          <cell r="D14">
            <v>199.75</v>
          </cell>
          <cell r="E14">
            <v>199.75</v>
          </cell>
          <cell r="F14">
            <v>199.75</v>
          </cell>
          <cell r="G14">
            <v>199.75</v>
          </cell>
          <cell r="H14">
            <v>211.5</v>
          </cell>
          <cell r="I14">
            <v>211.5</v>
          </cell>
          <cell r="J14">
            <v>211.5</v>
          </cell>
          <cell r="K14">
            <v>217.375</v>
          </cell>
        </row>
        <row r="15">
          <cell r="A15" t="str">
            <v>K-14</v>
          </cell>
          <cell r="B15">
            <v>210</v>
          </cell>
          <cell r="C15">
            <v>210</v>
          </cell>
          <cell r="D15">
            <v>178.5</v>
          </cell>
          <cell r="E15">
            <v>178.5</v>
          </cell>
          <cell r="F15">
            <v>178.5</v>
          </cell>
          <cell r="G15">
            <v>178.5</v>
          </cell>
          <cell r="H15">
            <v>189</v>
          </cell>
          <cell r="I15">
            <v>189</v>
          </cell>
          <cell r="J15">
            <v>189</v>
          </cell>
          <cell r="K15">
            <v>194.25</v>
          </cell>
        </row>
        <row r="16">
          <cell r="A16" t="str">
            <v>K-13</v>
          </cell>
          <cell r="B16">
            <v>190</v>
          </cell>
          <cell r="C16">
            <v>190</v>
          </cell>
          <cell r="D16">
            <v>161.5</v>
          </cell>
          <cell r="E16">
            <v>161.5</v>
          </cell>
          <cell r="F16">
            <v>161.5</v>
          </cell>
          <cell r="G16">
            <v>161.5</v>
          </cell>
          <cell r="H16">
            <v>171</v>
          </cell>
          <cell r="I16">
            <v>171</v>
          </cell>
          <cell r="J16">
            <v>171</v>
          </cell>
          <cell r="K16">
            <v>175.75</v>
          </cell>
        </row>
        <row r="17">
          <cell r="A17" t="str">
            <v>K-12</v>
          </cell>
          <cell r="B17">
            <v>175</v>
          </cell>
          <cell r="C17">
            <v>175</v>
          </cell>
          <cell r="D17">
            <v>148.75</v>
          </cell>
          <cell r="E17">
            <v>148.75</v>
          </cell>
          <cell r="F17">
            <v>148.75</v>
          </cell>
          <cell r="G17">
            <v>148.75</v>
          </cell>
          <cell r="H17">
            <v>157.5</v>
          </cell>
          <cell r="I17">
            <v>157.5</v>
          </cell>
          <cell r="J17">
            <v>157.5</v>
          </cell>
          <cell r="K17">
            <v>161.875</v>
          </cell>
        </row>
        <row r="18">
          <cell r="A18" t="str">
            <v>K-11</v>
          </cell>
          <cell r="B18">
            <v>155</v>
          </cell>
          <cell r="C18">
            <v>155</v>
          </cell>
          <cell r="D18">
            <v>131.75</v>
          </cell>
          <cell r="E18">
            <v>131.75</v>
          </cell>
          <cell r="F18">
            <v>131.75</v>
          </cell>
          <cell r="G18">
            <v>131.75</v>
          </cell>
          <cell r="H18">
            <v>139.5</v>
          </cell>
          <cell r="I18">
            <v>139.5</v>
          </cell>
          <cell r="J18">
            <v>139.5</v>
          </cell>
          <cell r="K18">
            <v>143.375</v>
          </cell>
        </row>
        <row r="19">
          <cell r="A19" t="str">
            <v>K-10</v>
          </cell>
          <cell r="B19">
            <v>135</v>
          </cell>
          <cell r="C19">
            <v>135</v>
          </cell>
          <cell r="D19">
            <v>114.75</v>
          </cell>
          <cell r="E19">
            <v>114.75</v>
          </cell>
          <cell r="F19">
            <v>114.75</v>
          </cell>
          <cell r="G19">
            <v>114.75</v>
          </cell>
          <cell r="H19">
            <v>121.5</v>
          </cell>
          <cell r="I19">
            <v>121.5</v>
          </cell>
          <cell r="J19">
            <v>121.5</v>
          </cell>
          <cell r="K19">
            <v>124.875</v>
          </cell>
        </row>
        <row r="20">
          <cell r="A20" t="str">
            <v>K-9</v>
          </cell>
          <cell r="B20">
            <v>120</v>
          </cell>
          <cell r="C20">
            <v>120</v>
          </cell>
          <cell r="D20">
            <v>102</v>
          </cell>
          <cell r="E20">
            <v>102</v>
          </cell>
          <cell r="F20">
            <v>102</v>
          </cell>
          <cell r="G20">
            <v>102</v>
          </cell>
          <cell r="H20">
            <v>105</v>
          </cell>
          <cell r="I20">
            <v>105</v>
          </cell>
          <cell r="J20">
            <v>105</v>
          </cell>
          <cell r="K20">
            <v>105</v>
          </cell>
        </row>
        <row r="21">
          <cell r="A21" t="str">
            <v>K-8</v>
          </cell>
          <cell r="B21">
            <v>110</v>
          </cell>
          <cell r="C21">
            <v>110</v>
          </cell>
          <cell r="D21">
            <v>93.5</v>
          </cell>
          <cell r="E21">
            <v>93.5</v>
          </cell>
          <cell r="F21">
            <v>93.5</v>
          </cell>
          <cell r="G21">
            <v>93.5</v>
          </cell>
          <cell r="H21">
            <v>96.25</v>
          </cell>
          <cell r="I21">
            <v>96.25</v>
          </cell>
          <cell r="J21">
            <v>96.25</v>
          </cell>
          <cell r="K21">
            <v>96.25</v>
          </cell>
        </row>
        <row r="22">
          <cell r="A22" t="str">
            <v>K-7</v>
          </cell>
          <cell r="B22">
            <v>90</v>
          </cell>
          <cell r="C22">
            <v>90</v>
          </cell>
          <cell r="D22">
            <v>76.5</v>
          </cell>
          <cell r="E22">
            <v>76.5</v>
          </cell>
          <cell r="F22">
            <v>76.5</v>
          </cell>
          <cell r="G22">
            <v>76.5</v>
          </cell>
          <cell r="H22">
            <v>78.75</v>
          </cell>
          <cell r="I22">
            <v>78.75</v>
          </cell>
          <cell r="J22">
            <v>78.75</v>
          </cell>
          <cell r="K22">
            <v>78.75</v>
          </cell>
        </row>
        <row r="23">
          <cell r="A23" t="str">
            <v>K-6</v>
          </cell>
          <cell r="B23">
            <v>75</v>
          </cell>
          <cell r="C23">
            <v>75</v>
          </cell>
          <cell r="D23">
            <v>63.75</v>
          </cell>
          <cell r="E23">
            <v>63.75</v>
          </cell>
          <cell r="F23">
            <v>63.75</v>
          </cell>
          <cell r="G23">
            <v>63.75</v>
          </cell>
          <cell r="H23">
            <v>65.625</v>
          </cell>
          <cell r="I23">
            <v>65.625</v>
          </cell>
          <cell r="J23">
            <v>65.625</v>
          </cell>
          <cell r="K23">
            <v>65.625</v>
          </cell>
        </row>
        <row r="24">
          <cell r="A24" t="str">
            <v>K-5</v>
          </cell>
          <cell r="B24">
            <v>60</v>
          </cell>
          <cell r="C24">
            <v>60</v>
          </cell>
          <cell r="D24">
            <v>51</v>
          </cell>
          <cell r="E24">
            <v>51</v>
          </cell>
          <cell r="F24">
            <v>51</v>
          </cell>
          <cell r="G24">
            <v>51</v>
          </cell>
          <cell r="H24">
            <v>52.5</v>
          </cell>
          <cell r="I24">
            <v>52.5</v>
          </cell>
          <cell r="J24">
            <v>52.5</v>
          </cell>
          <cell r="K24">
            <v>52.5</v>
          </cell>
        </row>
        <row r="25">
          <cell r="A25" t="str">
            <v>K-4</v>
          </cell>
          <cell r="B25">
            <v>50</v>
          </cell>
          <cell r="C25">
            <v>50</v>
          </cell>
          <cell r="D25">
            <v>42.5</v>
          </cell>
          <cell r="E25">
            <v>42.5</v>
          </cell>
          <cell r="F25">
            <v>42.5</v>
          </cell>
          <cell r="G25">
            <v>42.5</v>
          </cell>
          <cell r="H25">
            <v>43.75</v>
          </cell>
          <cell r="I25">
            <v>43.75</v>
          </cell>
          <cell r="J25">
            <v>43.75</v>
          </cell>
          <cell r="K25">
            <v>43.75</v>
          </cell>
        </row>
        <row r="26">
          <cell r="A26" t="str">
            <v>K-3</v>
          </cell>
          <cell r="B26">
            <v>40</v>
          </cell>
          <cell r="C26">
            <v>40</v>
          </cell>
          <cell r="D26">
            <v>34</v>
          </cell>
          <cell r="E26">
            <v>34</v>
          </cell>
          <cell r="F26">
            <v>34</v>
          </cell>
          <cell r="G26">
            <v>34</v>
          </cell>
          <cell r="H26">
            <v>35</v>
          </cell>
          <cell r="I26">
            <v>35</v>
          </cell>
          <cell r="J26">
            <v>35</v>
          </cell>
          <cell r="K26">
            <v>35</v>
          </cell>
        </row>
        <row r="27">
          <cell r="A27" t="str">
            <v>K-2</v>
          </cell>
          <cell r="B27">
            <v>30</v>
          </cell>
          <cell r="C27">
            <v>30</v>
          </cell>
          <cell r="D27">
            <v>25.5</v>
          </cell>
          <cell r="E27">
            <v>25.5</v>
          </cell>
          <cell r="F27">
            <v>25.5</v>
          </cell>
          <cell r="G27">
            <v>25.5</v>
          </cell>
          <cell r="H27">
            <v>26.25</v>
          </cell>
          <cell r="I27">
            <v>26.25</v>
          </cell>
          <cell r="J27">
            <v>26.25</v>
          </cell>
          <cell r="K27">
            <v>26.25</v>
          </cell>
        </row>
        <row r="28">
          <cell r="A28" t="str">
            <v>K-1</v>
          </cell>
          <cell r="B28">
            <v>20</v>
          </cell>
          <cell r="C28">
            <v>20</v>
          </cell>
          <cell r="D28">
            <v>17</v>
          </cell>
          <cell r="E28">
            <v>17</v>
          </cell>
          <cell r="F28">
            <v>17</v>
          </cell>
          <cell r="G28">
            <v>17</v>
          </cell>
          <cell r="H28">
            <v>17.5</v>
          </cell>
          <cell r="I28">
            <v>17.5</v>
          </cell>
          <cell r="J28">
            <v>17.5</v>
          </cell>
          <cell r="K28">
            <v>17.5</v>
          </cell>
        </row>
        <row r="29">
          <cell r="A29" t="str">
            <v>BSÖ</v>
          </cell>
          <cell r="B29">
            <v>331.5</v>
          </cell>
          <cell r="C29">
            <v>331.5</v>
          </cell>
          <cell r="D29">
            <v>281.77499999999998</v>
          </cell>
          <cell r="E29">
            <v>281.77499999999998</v>
          </cell>
          <cell r="F29">
            <v>281.77499999999998</v>
          </cell>
          <cell r="G29">
            <v>281.77499999999998</v>
          </cell>
          <cell r="H29">
            <v>290.0625</v>
          </cell>
          <cell r="I29">
            <v>290.0625</v>
          </cell>
          <cell r="J29">
            <v>290.0625</v>
          </cell>
          <cell r="K29">
            <v>290.0625</v>
          </cell>
        </row>
        <row r="30">
          <cell r="A30" t="str">
            <v>DA-1R</v>
          </cell>
          <cell r="B30">
            <v>800</v>
          </cell>
        </row>
        <row r="31">
          <cell r="A31" t="str">
            <v>MAC</v>
          </cell>
          <cell r="B31">
            <v>500</v>
          </cell>
        </row>
        <row r="32">
          <cell r="A32" t="str">
            <v>MAC1</v>
          </cell>
          <cell r="B32">
            <v>650</v>
          </cell>
        </row>
        <row r="33">
          <cell r="A33" t="str">
            <v>MAC2</v>
          </cell>
          <cell r="B33">
            <v>650</v>
          </cell>
        </row>
        <row r="34">
          <cell r="A34" t="str">
            <v>KÖ17-1</v>
          </cell>
          <cell r="B34">
            <v>300</v>
          </cell>
        </row>
        <row r="35">
          <cell r="A35" t="str">
            <v>GS-MAC</v>
          </cell>
          <cell r="B35">
            <v>1000</v>
          </cell>
          <cell r="C35">
            <v>1000</v>
          </cell>
          <cell r="D35">
            <v>1000</v>
          </cell>
          <cell r="E35">
            <v>1000</v>
          </cell>
          <cell r="F35">
            <v>1000</v>
          </cell>
          <cell r="G35">
            <v>1000</v>
          </cell>
          <cell r="H35">
            <v>1000</v>
          </cell>
          <cell r="I35">
            <v>1000</v>
          </cell>
          <cell r="J35">
            <v>1000</v>
          </cell>
          <cell r="K35">
            <v>1000</v>
          </cell>
        </row>
        <row r="36">
          <cell r="A36" t="str">
            <v>GS-LİVER</v>
          </cell>
          <cell r="B36">
            <v>850</v>
          </cell>
          <cell r="C36">
            <v>850</v>
          </cell>
          <cell r="D36">
            <v>850</v>
          </cell>
          <cell r="E36">
            <v>850</v>
          </cell>
          <cell r="F36">
            <v>850</v>
          </cell>
          <cell r="G36">
            <v>850</v>
          </cell>
          <cell r="H36">
            <v>850</v>
          </cell>
          <cell r="I36">
            <v>850</v>
          </cell>
          <cell r="J36">
            <v>850</v>
          </cell>
          <cell r="K36">
            <v>850</v>
          </cell>
        </row>
        <row r="37">
          <cell r="A37" t="str">
            <v>KÖ-26</v>
          </cell>
          <cell r="B37">
            <v>937.5</v>
          </cell>
          <cell r="C37">
            <v>937.5</v>
          </cell>
          <cell r="D37">
            <v>796.875</v>
          </cell>
          <cell r="E37">
            <v>796.875</v>
          </cell>
          <cell r="F37">
            <v>796.875</v>
          </cell>
          <cell r="G37">
            <v>796.875</v>
          </cell>
          <cell r="H37">
            <v>890.625</v>
          </cell>
          <cell r="I37">
            <v>890.625</v>
          </cell>
          <cell r="J37">
            <v>890.625</v>
          </cell>
          <cell r="K37">
            <v>937.5</v>
          </cell>
        </row>
        <row r="38">
          <cell r="A38" t="str">
            <v>KÖ-25</v>
          </cell>
          <cell r="B38">
            <v>825</v>
          </cell>
          <cell r="C38">
            <v>825</v>
          </cell>
          <cell r="D38">
            <v>701.25</v>
          </cell>
          <cell r="E38">
            <v>701.25</v>
          </cell>
          <cell r="F38">
            <v>701.25</v>
          </cell>
          <cell r="G38">
            <v>701.25</v>
          </cell>
          <cell r="H38">
            <v>783.75</v>
          </cell>
          <cell r="I38">
            <v>783.75</v>
          </cell>
          <cell r="J38">
            <v>783.75</v>
          </cell>
          <cell r="K38">
            <v>825</v>
          </cell>
        </row>
        <row r="39">
          <cell r="A39" t="str">
            <v>KÖ-24</v>
          </cell>
          <cell r="B39">
            <v>712.5</v>
          </cell>
          <cell r="C39">
            <v>712.5</v>
          </cell>
          <cell r="D39">
            <v>605.625</v>
          </cell>
          <cell r="E39">
            <v>605.625</v>
          </cell>
          <cell r="F39">
            <v>605.625</v>
          </cell>
          <cell r="G39">
            <v>605.625</v>
          </cell>
          <cell r="H39">
            <v>676.875</v>
          </cell>
          <cell r="I39">
            <v>676.875</v>
          </cell>
          <cell r="J39">
            <v>676.875</v>
          </cell>
          <cell r="K39">
            <v>712.5</v>
          </cell>
        </row>
        <row r="40">
          <cell r="A40" t="str">
            <v>KÖ-23</v>
          </cell>
          <cell r="B40">
            <v>637.5</v>
          </cell>
          <cell r="C40">
            <v>637.5</v>
          </cell>
          <cell r="D40">
            <v>541.875</v>
          </cell>
          <cell r="E40">
            <v>541.875</v>
          </cell>
          <cell r="F40">
            <v>541.875</v>
          </cell>
          <cell r="G40">
            <v>541.875</v>
          </cell>
          <cell r="H40">
            <v>605.625</v>
          </cell>
          <cell r="I40">
            <v>605.625</v>
          </cell>
          <cell r="J40">
            <v>605.625</v>
          </cell>
          <cell r="K40">
            <v>637.5</v>
          </cell>
        </row>
        <row r="41">
          <cell r="A41" t="str">
            <v>KÖ-22</v>
          </cell>
          <cell r="B41">
            <v>543.75</v>
          </cell>
          <cell r="C41">
            <v>543.75</v>
          </cell>
          <cell r="D41">
            <v>462.1875</v>
          </cell>
          <cell r="E41">
            <v>462.1875</v>
          </cell>
          <cell r="F41">
            <v>462.1875</v>
          </cell>
          <cell r="G41">
            <v>462.1875</v>
          </cell>
          <cell r="H41">
            <v>516.5625</v>
          </cell>
          <cell r="I41">
            <v>516.5625</v>
          </cell>
          <cell r="J41">
            <v>516.5625</v>
          </cell>
          <cell r="K41">
            <v>543.75</v>
          </cell>
        </row>
        <row r="42">
          <cell r="A42" t="str">
            <v>KÖ-21</v>
          </cell>
          <cell r="B42">
            <v>442.5</v>
          </cell>
          <cell r="C42">
            <v>442.5</v>
          </cell>
          <cell r="D42">
            <v>376.125</v>
          </cell>
          <cell r="E42">
            <v>376.125</v>
          </cell>
          <cell r="F42">
            <v>376.125</v>
          </cell>
          <cell r="G42">
            <v>376.125</v>
          </cell>
          <cell r="H42">
            <v>420.375</v>
          </cell>
          <cell r="I42">
            <v>420.375</v>
          </cell>
          <cell r="J42">
            <v>420.375</v>
          </cell>
          <cell r="K42">
            <v>442.5</v>
          </cell>
        </row>
        <row r="43">
          <cell r="A43" t="str">
            <v>KÖ-20</v>
          </cell>
          <cell r="B43">
            <v>360</v>
          </cell>
          <cell r="C43">
            <v>360</v>
          </cell>
          <cell r="D43">
            <v>306</v>
          </cell>
          <cell r="E43">
            <v>306</v>
          </cell>
          <cell r="F43">
            <v>306</v>
          </cell>
          <cell r="G43">
            <v>306</v>
          </cell>
          <cell r="H43">
            <v>342</v>
          </cell>
          <cell r="I43">
            <v>342</v>
          </cell>
          <cell r="J43">
            <v>342</v>
          </cell>
          <cell r="K43">
            <v>360</v>
          </cell>
        </row>
        <row r="44">
          <cell r="A44" t="str">
            <v>KÖ-19</v>
          </cell>
          <cell r="B44">
            <v>322.5</v>
          </cell>
          <cell r="C44">
            <v>322.5</v>
          </cell>
          <cell r="D44">
            <v>274.125</v>
          </cell>
          <cell r="E44">
            <v>274.125</v>
          </cell>
          <cell r="F44">
            <v>274.125</v>
          </cell>
          <cell r="G44">
            <v>274.125</v>
          </cell>
          <cell r="H44">
            <v>298.3125</v>
          </cell>
          <cell r="I44">
            <v>298.3125</v>
          </cell>
          <cell r="J44">
            <v>298.3125</v>
          </cell>
          <cell r="K44">
            <v>298.3125</v>
          </cell>
        </row>
        <row r="45">
          <cell r="A45" t="str">
            <v>KÖ-18</v>
          </cell>
          <cell r="B45">
            <v>292.5</v>
          </cell>
          <cell r="C45">
            <v>292.5</v>
          </cell>
          <cell r="D45">
            <v>248.625</v>
          </cell>
          <cell r="E45">
            <v>248.625</v>
          </cell>
          <cell r="F45">
            <v>248.625</v>
          </cell>
          <cell r="G45">
            <v>248.625</v>
          </cell>
          <cell r="H45">
            <v>270.5625</v>
          </cell>
          <cell r="I45">
            <v>270.5625</v>
          </cell>
          <cell r="J45">
            <v>270.5625</v>
          </cell>
          <cell r="K45">
            <v>270.5625</v>
          </cell>
        </row>
        <row r="46">
          <cell r="A46" t="str">
            <v>KÖ-17</v>
          </cell>
          <cell r="B46">
            <v>240</v>
          </cell>
          <cell r="C46">
            <v>240</v>
          </cell>
          <cell r="D46">
            <v>204</v>
          </cell>
          <cell r="E46">
            <v>204</v>
          </cell>
          <cell r="F46">
            <v>204</v>
          </cell>
          <cell r="G46">
            <v>204</v>
          </cell>
          <cell r="H46">
            <v>222</v>
          </cell>
          <cell r="I46">
            <v>222</v>
          </cell>
          <cell r="J46">
            <v>222</v>
          </cell>
          <cell r="K46">
            <v>222</v>
          </cell>
        </row>
        <row r="47">
          <cell r="A47" t="str">
            <v>KÖ-16</v>
          </cell>
          <cell r="B47">
            <v>198.75</v>
          </cell>
          <cell r="C47">
            <v>198.75</v>
          </cell>
          <cell r="D47">
            <v>168.9375</v>
          </cell>
          <cell r="E47">
            <v>168.9375</v>
          </cell>
          <cell r="F47">
            <v>168.9375</v>
          </cell>
          <cell r="G47">
            <v>168.9375</v>
          </cell>
          <cell r="H47">
            <v>183.84375</v>
          </cell>
          <cell r="I47">
            <v>183.84375</v>
          </cell>
          <cell r="J47">
            <v>183.84375</v>
          </cell>
          <cell r="K47">
            <v>183.84375</v>
          </cell>
        </row>
        <row r="48">
          <cell r="A48" t="str">
            <v>KÖ-15</v>
          </cell>
          <cell r="B48">
            <v>176.25</v>
          </cell>
          <cell r="C48">
            <v>176.25</v>
          </cell>
          <cell r="D48">
            <v>149.8125</v>
          </cell>
          <cell r="E48">
            <v>149.8125</v>
          </cell>
          <cell r="F48">
            <v>149.8125</v>
          </cell>
          <cell r="G48">
            <v>149.8125</v>
          </cell>
          <cell r="H48">
            <v>158.625</v>
          </cell>
          <cell r="I48">
            <v>158.625</v>
          </cell>
          <cell r="J48">
            <v>158.625</v>
          </cell>
          <cell r="K48">
            <v>163.03125</v>
          </cell>
        </row>
        <row r="49">
          <cell r="A49" t="str">
            <v>KÖ-14</v>
          </cell>
          <cell r="B49">
            <v>157.5</v>
          </cell>
          <cell r="C49">
            <v>157.5</v>
          </cell>
          <cell r="D49">
            <v>133.875</v>
          </cell>
          <cell r="E49">
            <v>133.875</v>
          </cell>
          <cell r="F49">
            <v>133.875</v>
          </cell>
          <cell r="G49">
            <v>133.875</v>
          </cell>
          <cell r="H49">
            <v>141.75</v>
          </cell>
          <cell r="I49">
            <v>141.75</v>
          </cell>
          <cell r="J49">
            <v>141.75</v>
          </cell>
          <cell r="K49">
            <v>145.6875</v>
          </cell>
        </row>
        <row r="50">
          <cell r="A50" t="str">
            <v>KÖ-13</v>
          </cell>
          <cell r="B50">
            <v>142.5</v>
          </cell>
          <cell r="C50">
            <v>142.5</v>
          </cell>
          <cell r="D50">
            <v>121.125</v>
          </cell>
          <cell r="E50">
            <v>121.125</v>
          </cell>
          <cell r="F50">
            <v>121.125</v>
          </cell>
          <cell r="G50">
            <v>121.125</v>
          </cell>
          <cell r="H50">
            <v>128.25</v>
          </cell>
          <cell r="I50">
            <v>128.25</v>
          </cell>
          <cell r="J50">
            <v>128.25</v>
          </cell>
          <cell r="K50">
            <v>131.8125</v>
          </cell>
        </row>
        <row r="51">
          <cell r="A51" t="str">
            <v>KÖ-12</v>
          </cell>
          <cell r="B51">
            <v>131.25</v>
          </cell>
          <cell r="C51">
            <v>131.25</v>
          </cell>
          <cell r="D51">
            <v>111.5625</v>
          </cell>
          <cell r="E51">
            <v>111.5625</v>
          </cell>
          <cell r="F51">
            <v>111.5625</v>
          </cell>
          <cell r="G51">
            <v>111.5625</v>
          </cell>
          <cell r="H51">
            <v>118.125</v>
          </cell>
          <cell r="I51">
            <v>118.125</v>
          </cell>
          <cell r="J51">
            <v>118.125</v>
          </cell>
          <cell r="K51">
            <v>121.40625</v>
          </cell>
        </row>
        <row r="52">
          <cell r="A52" t="str">
            <v>KÖ-11</v>
          </cell>
          <cell r="B52">
            <v>116.25</v>
          </cell>
          <cell r="C52">
            <v>116.25</v>
          </cell>
          <cell r="D52">
            <v>98.8125</v>
          </cell>
          <cell r="E52">
            <v>98.8125</v>
          </cell>
          <cell r="F52">
            <v>98.8125</v>
          </cell>
          <cell r="G52">
            <v>98.8125</v>
          </cell>
          <cell r="H52">
            <v>104.625</v>
          </cell>
          <cell r="I52">
            <v>104.625</v>
          </cell>
          <cell r="J52">
            <v>104.625</v>
          </cell>
          <cell r="K52">
            <v>107.53125</v>
          </cell>
        </row>
        <row r="53">
          <cell r="A53" t="str">
            <v>KÖ-10</v>
          </cell>
          <cell r="B53">
            <v>101.25</v>
          </cell>
          <cell r="C53">
            <v>101.25</v>
          </cell>
          <cell r="D53">
            <v>86.0625</v>
          </cell>
          <cell r="E53">
            <v>86.0625</v>
          </cell>
          <cell r="F53">
            <v>86.0625</v>
          </cell>
          <cell r="G53">
            <v>86.0625</v>
          </cell>
          <cell r="H53">
            <v>91.125</v>
          </cell>
          <cell r="I53">
            <v>91.125</v>
          </cell>
          <cell r="J53">
            <v>91.125</v>
          </cell>
          <cell r="K53">
            <v>93.65625</v>
          </cell>
        </row>
        <row r="54">
          <cell r="A54" t="str">
            <v>KÖ-9</v>
          </cell>
          <cell r="B54">
            <v>90</v>
          </cell>
          <cell r="C54">
            <v>90</v>
          </cell>
          <cell r="D54">
            <v>76.5</v>
          </cell>
          <cell r="E54">
            <v>76.5</v>
          </cell>
          <cell r="F54">
            <v>76.5</v>
          </cell>
          <cell r="G54">
            <v>76.5</v>
          </cell>
          <cell r="H54">
            <v>78.75</v>
          </cell>
          <cell r="I54">
            <v>78.75</v>
          </cell>
          <cell r="J54">
            <v>78.75</v>
          </cell>
          <cell r="K54">
            <v>78.75</v>
          </cell>
        </row>
        <row r="55">
          <cell r="A55" t="str">
            <v>KÖ-8</v>
          </cell>
          <cell r="B55">
            <v>82.5</v>
          </cell>
          <cell r="C55">
            <v>82.5</v>
          </cell>
          <cell r="D55">
            <v>70.125</v>
          </cell>
          <cell r="E55">
            <v>70.125</v>
          </cell>
          <cell r="F55">
            <v>70.125</v>
          </cell>
          <cell r="G55">
            <v>70.125</v>
          </cell>
          <cell r="H55">
            <v>72.1875</v>
          </cell>
          <cell r="I55">
            <v>72.1875</v>
          </cell>
          <cell r="J55">
            <v>72.1875</v>
          </cell>
          <cell r="K55">
            <v>72.1875</v>
          </cell>
        </row>
        <row r="56">
          <cell r="A56" t="str">
            <v>KÖ-7</v>
          </cell>
          <cell r="B56">
            <v>67.5</v>
          </cell>
          <cell r="C56">
            <v>67.5</v>
          </cell>
          <cell r="D56">
            <v>57.375</v>
          </cell>
          <cell r="E56">
            <v>57.375</v>
          </cell>
          <cell r="F56">
            <v>57.375</v>
          </cell>
          <cell r="G56">
            <v>57.375</v>
          </cell>
          <cell r="H56">
            <v>59.0625</v>
          </cell>
          <cell r="I56">
            <v>59.0625</v>
          </cell>
          <cell r="J56">
            <v>59.0625</v>
          </cell>
          <cell r="K56">
            <v>59.0625</v>
          </cell>
        </row>
        <row r="57">
          <cell r="A57" t="str">
            <v>KÖ-6</v>
          </cell>
          <cell r="B57">
            <v>56.25</v>
          </cell>
          <cell r="C57">
            <v>56.25</v>
          </cell>
          <cell r="D57">
            <v>47.8125</v>
          </cell>
          <cell r="E57">
            <v>47.8125</v>
          </cell>
          <cell r="F57">
            <v>47.8125</v>
          </cell>
          <cell r="G57">
            <v>47.8125</v>
          </cell>
          <cell r="H57">
            <v>49.21875</v>
          </cell>
          <cell r="I57">
            <v>49.21875</v>
          </cell>
          <cell r="J57">
            <v>49.21875</v>
          </cell>
          <cell r="K57">
            <v>49.21875</v>
          </cell>
        </row>
        <row r="58">
          <cell r="A58" t="str">
            <v>KÖ-5</v>
          </cell>
          <cell r="B58">
            <v>45</v>
          </cell>
          <cell r="C58">
            <v>45</v>
          </cell>
          <cell r="D58">
            <v>38.25</v>
          </cell>
          <cell r="E58">
            <v>38.25</v>
          </cell>
          <cell r="F58">
            <v>38.25</v>
          </cell>
          <cell r="G58">
            <v>38.25</v>
          </cell>
          <cell r="H58">
            <v>39.375</v>
          </cell>
          <cell r="I58">
            <v>39.375</v>
          </cell>
          <cell r="J58">
            <v>39.375</v>
          </cell>
          <cell r="K58">
            <v>39.375</v>
          </cell>
        </row>
        <row r="59">
          <cell r="A59" t="str">
            <v>KÖ-4</v>
          </cell>
          <cell r="B59">
            <v>37.5</v>
          </cell>
          <cell r="C59">
            <v>37.5</v>
          </cell>
          <cell r="D59">
            <v>31.875</v>
          </cell>
          <cell r="E59">
            <v>31.875</v>
          </cell>
          <cell r="F59">
            <v>31.875</v>
          </cell>
          <cell r="G59">
            <v>31.875</v>
          </cell>
          <cell r="H59">
            <v>32.8125</v>
          </cell>
          <cell r="I59">
            <v>32.8125</v>
          </cell>
          <cell r="J59">
            <v>32.8125</v>
          </cell>
          <cell r="K59">
            <v>32.8125</v>
          </cell>
        </row>
        <row r="60">
          <cell r="A60" t="str">
            <v>KÖ-3</v>
          </cell>
          <cell r="B60">
            <v>30</v>
          </cell>
          <cell r="C60">
            <v>30</v>
          </cell>
          <cell r="D60">
            <v>25.5</v>
          </cell>
          <cell r="E60">
            <v>25.5</v>
          </cell>
          <cell r="F60">
            <v>25.5</v>
          </cell>
          <cell r="G60">
            <v>25.5</v>
          </cell>
          <cell r="H60">
            <v>26.25</v>
          </cell>
          <cell r="I60">
            <v>26.25</v>
          </cell>
          <cell r="J60">
            <v>26.25</v>
          </cell>
          <cell r="K60">
            <v>26.25</v>
          </cell>
        </row>
        <row r="61">
          <cell r="A61" t="str">
            <v>KÖ-2</v>
          </cell>
          <cell r="B61">
            <v>22.5</v>
          </cell>
          <cell r="C61">
            <v>22.5</v>
          </cell>
          <cell r="D61">
            <v>19.125</v>
          </cell>
          <cell r="E61">
            <v>19.125</v>
          </cell>
          <cell r="F61">
            <v>19.125</v>
          </cell>
          <cell r="G61">
            <v>19.125</v>
          </cell>
          <cell r="H61">
            <v>19.6875</v>
          </cell>
          <cell r="I61">
            <v>19.6875</v>
          </cell>
          <cell r="J61">
            <v>19.6875</v>
          </cell>
          <cell r="K61">
            <v>19.6875</v>
          </cell>
        </row>
        <row r="62">
          <cell r="A62" t="str">
            <v>KÖ-1</v>
          </cell>
          <cell r="B62">
            <v>15</v>
          </cell>
          <cell r="C62">
            <v>15</v>
          </cell>
          <cell r="D62">
            <v>12.75</v>
          </cell>
          <cell r="E62">
            <v>12.75</v>
          </cell>
          <cell r="F62">
            <v>12.75</v>
          </cell>
          <cell r="G62">
            <v>12.75</v>
          </cell>
          <cell r="H62">
            <v>13.125</v>
          </cell>
          <cell r="I62">
            <v>13.125</v>
          </cell>
          <cell r="J62">
            <v>13.125</v>
          </cell>
          <cell r="K62">
            <v>13.125</v>
          </cell>
        </row>
      </sheetData>
      <sheetData sheetId="2"/>
      <sheetData sheetId="3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</row>
        <row r="2">
          <cell r="A2" t="str">
            <v>KAT</v>
          </cell>
          <cell r="B2" t="str">
            <v>NORMAL SPOT</v>
          </cell>
          <cell r="C2" t="str">
            <v>FREE SPOT</v>
          </cell>
          <cell r="D2" t="str">
            <v>PAKET-1</v>
          </cell>
          <cell r="E2" t="str">
            <v>PAKET-2</v>
          </cell>
          <cell r="F2" t="str">
            <v>PAKET-3</v>
          </cell>
          <cell r="G2" t="str">
            <v>PAKET-4</v>
          </cell>
          <cell r="H2" t="str">
            <v>PAKET-1 EK SPOT</v>
          </cell>
          <cell r="I2" t="str">
            <v>PAKET-2 EK SPOT</v>
          </cell>
          <cell r="J2" t="str">
            <v>PAKET-3 EK SPOT</v>
          </cell>
          <cell r="K2" t="str">
            <v>PAKET-4 EK SPOT</v>
          </cell>
        </row>
        <row r="3">
          <cell r="A3" t="str">
            <v>K-26</v>
          </cell>
          <cell r="B3">
            <v>1250</v>
          </cell>
          <cell r="C3">
            <v>1250</v>
          </cell>
          <cell r="D3">
            <v>1062.5</v>
          </cell>
          <cell r="E3">
            <v>1062.5</v>
          </cell>
          <cell r="F3">
            <v>1062.5</v>
          </cell>
          <cell r="G3">
            <v>1062.5</v>
          </cell>
          <cell r="H3">
            <v>1187.5</v>
          </cell>
          <cell r="I3">
            <v>1187.5</v>
          </cell>
          <cell r="J3">
            <v>1187.5</v>
          </cell>
          <cell r="K3">
            <v>1250</v>
          </cell>
        </row>
        <row r="4">
          <cell r="A4" t="str">
            <v>K-25</v>
          </cell>
          <cell r="B4">
            <v>1100</v>
          </cell>
          <cell r="C4">
            <v>1100</v>
          </cell>
          <cell r="D4">
            <v>935</v>
          </cell>
          <cell r="E4">
            <v>935</v>
          </cell>
          <cell r="F4">
            <v>935</v>
          </cell>
          <cell r="G4">
            <v>935</v>
          </cell>
          <cell r="H4">
            <v>1045</v>
          </cell>
          <cell r="I4">
            <v>1045</v>
          </cell>
          <cell r="J4">
            <v>1045</v>
          </cell>
          <cell r="K4">
            <v>1100</v>
          </cell>
        </row>
        <row r="5">
          <cell r="A5" t="str">
            <v>K-24</v>
          </cell>
          <cell r="B5">
            <v>950</v>
          </cell>
          <cell r="C5">
            <v>950</v>
          </cell>
          <cell r="D5">
            <v>807.5</v>
          </cell>
          <cell r="E5">
            <v>807.5</v>
          </cell>
          <cell r="F5">
            <v>807.5</v>
          </cell>
          <cell r="G5">
            <v>807.5</v>
          </cell>
          <cell r="H5">
            <v>902.5</v>
          </cell>
          <cell r="I5">
            <v>902.5</v>
          </cell>
          <cell r="J5">
            <v>902.5</v>
          </cell>
          <cell r="K5">
            <v>950</v>
          </cell>
        </row>
        <row r="6">
          <cell r="A6" t="str">
            <v>K-23</v>
          </cell>
          <cell r="B6">
            <v>850</v>
          </cell>
          <cell r="C6">
            <v>850</v>
          </cell>
          <cell r="D6">
            <v>722.5</v>
          </cell>
          <cell r="E6">
            <v>722.5</v>
          </cell>
          <cell r="F6">
            <v>722.5</v>
          </cell>
          <cell r="G6">
            <v>722.5</v>
          </cell>
          <cell r="H6">
            <v>807.5</v>
          </cell>
          <cell r="I6">
            <v>807.5</v>
          </cell>
          <cell r="J6">
            <v>807.5</v>
          </cell>
          <cell r="K6">
            <v>850</v>
          </cell>
        </row>
        <row r="7">
          <cell r="A7" t="str">
            <v>K-22</v>
          </cell>
          <cell r="B7">
            <v>725</v>
          </cell>
          <cell r="C7">
            <v>725</v>
          </cell>
          <cell r="D7">
            <v>616.25</v>
          </cell>
          <cell r="E7">
            <v>616.25</v>
          </cell>
          <cell r="F7">
            <v>616.25</v>
          </cell>
          <cell r="G7">
            <v>616.25</v>
          </cell>
          <cell r="H7">
            <v>688.75</v>
          </cell>
          <cell r="I7">
            <v>688.75</v>
          </cell>
          <cell r="J7">
            <v>688.75</v>
          </cell>
          <cell r="K7">
            <v>725</v>
          </cell>
        </row>
        <row r="8">
          <cell r="A8" t="str">
            <v>K-21</v>
          </cell>
          <cell r="B8">
            <v>590</v>
          </cell>
          <cell r="C8">
            <v>590</v>
          </cell>
          <cell r="D8">
            <v>501.5</v>
          </cell>
          <cell r="E8">
            <v>501.5</v>
          </cell>
          <cell r="F8">
            <v>501.5</v>
          </cell>
          <cell r="G8">
            <v>501.5</v>
          </cell>
          <cell r="H8">
            <v>560.5</v>
          </cell>
          <cell r="I8">
            <v>560.5</v>
          </cell>
          <cell r="J8">
            <v>560.5</v>
          </cell>
          <cell r="K8">
            <v>590</v>
          </cell>
        </row>
        <row r="9">
          <cell r="A9" t="str">
            <v>K-20</v>
          </cell>
          <cell r="B9">
            <v>480</v>
          </cell>
          <cell r="C9">
            <v>480</v>
          </cell>
          <cell r="D9">
            <v>408</v>
          </cell>
          <cell r="E9">
            <v>408</v>
          </cell>
          <cell r="F9">
            <v>408</v>
          </cell>
          <cell r="G9">
            <v>408</v>
          </cell>
          <cell r="H9">
            <v>456</v>
          </cell>
          <cell r="I9">
            <v>456</v>
          </cell>
          <cell r="J9">
            <v>456</v>
          </cell>
          <cell r="K9">
            <v>480</v>
          </cell>
        </row>
        <row r="10">
          <cell r="A10" t="str">
            <v>K-19</v>
          </cell>
          <cell r="B10">
            <v>430</v>
          </cell>
          <cell r="C10">
            <v>430</v>
          </cell>
          <cell r="D10">
            <v>365.5</v>
          </cell>
          <cell r="E10">
            <v>365.5</v>
          </cell>
          <cell r="F10">
            <v>365.5</v>
          </cell>
          <cell r="G10">
            <v>365.5</v>
          </cell>
          <cell r="H10">
            <v>397.75</v>
          </cell>
          <cell r="I10">
            <v>397.75</v>
          </cell>
          <cell r="J10">
            <v>397.75</v>
          </cell>
          <cell r="K10">
            <v>397.75</v>
          </cell>
        </row>
        <row r="11">
          <cell r="A11" t="str">
            <v>K-18</v>
          </cell>
          <cell r="B11">
            <v>390</v>
          </cell>
          <cell r="C11">
            <v>390</v>
          </cell>
          <cell r="D11">
            <v>331.5</v>
          </cell>
          <cell r="E11">
            <v>331.5</v>
          </cell>
          <cell r="F11">
            <v>331.5</v>
          </cell>
          <cell r="G11">
            <v>331.5</v>
          </cell>
          <cell r="H11">
            <v>360.75</v>
          </cell>
          <cell r="I11">
            <v>360.75</v>
          </cell>
          <cell r="J11">
            <v>360.75</v>
          </cell>
          <cell r="K11">
            <v>360.75</v>
          </cell>
        </row>
        <row r="12">
          <cell r="A12" t="str">
            <v>K-17</v>
          </cell>
          <cell r="B12">
            <v>320</v>
          </cell>
          <cell r="C12">
            <v>320</v>
          </cell>
          <cell r="D12">
            <v>272</v>
          </cell>
          <cell r="E12">
            <v>272</v>
          </cell>
          <cell r="F12">
            <v>272</v>
          </cell>
          <cell r="G12">
            <v>272</v>
          </cell>
          <cell r="H12">
            <v>296</v>
          </cell>
          <cell r="I12">
            <v>296</v>
          </cell>
          <cell r="J12">
            <v>296</v>
          </cell>
          <cell r="K12">
            <v>296</v>
          </cell>
        </row>
        <row r="13">
          <cell r="A13" t="str">
            <v>K-16</v>
          </cell>
          <cell r="B13">
            <v>265</v>
          </cell>
          <cell r="C13">
            <v>265</v>
          </cell>
          <cell r="D13">
            <v>225.25</v>
          </cell>
          <cell r="E13">
            <v>225.25</v>
          </cell>
          <cell r="F13">
            <v>225.25</v>
          </cell>
          <cell r="G13">
            <v>225.25</v>
          </cell>
          <cell r="H13">
            <v>245.125</v>
          </cell>
          <cell r="I13">
            <v>245.125</v>
          </cell>
          <cell r="J13">
            <v>245.125</v>
          </cell>
          <cell r="K13">
            <v>245.125</v>
          </cell>
        </row>
        <row r="14">
          <cell r="A14" t="str">
            <v>K-15</v>
          </cell>
          <cell r="B14">
            <v>235</v>
          </cell>
          <cell r="C14">
            <v>235</v>
          </cell>
          <cell r="D14">
            <v>199.75</v>
          </cell>
          <cell r="E14">
            <v>199.75</v>
          </cell>
          <cell r="F14">
            <v>199.75</v>
          </cell>
          <cell r="G14">
            <v>199.75</v>
          </cell>
          <cell r="H14">
            <v>211.5</v>
          </cell>
          <cell r="I14">
            <v>211.5</v>
          </cell>
          <cell r="J14">
            <v>211.5</v>
          </cell>
          <cell r="K14">
            <v>217.375</v>
          </cell>
        </row>
        <row r="15">
          <cell r="A15" t="str">
            <v>K-14</v>
          </cell>
          <cell r="B15">
            <v>210</v>
          </cell>
          <cell r="C15">
            <v>210</v>
          </cell>
          <cell r="D15">
            <v>178.5</v>
          </cell>
          <cell r="E15">
            <v>178.5</v>
          </cell>
          <cell r="F15">
            <v>178.5</v>
          </cell>
          <cell r="G15">
            <v>178.5</v>
          </cell>
          <cell r="H15">
            <v>189</v>
          </cell>
          <cell r="I15">
            <v>189</v>
          </cell>
          <cell r="J15">
            <v>189</v>
          </cell>
          <cell r="K15">
            <v>194.25</v>
          </cell>
        </row>
        <row r="16">
          <cell r="A16" t="str">
            <v>K-13</v>
          </cell>
          <cell r="B16">
            <v>190</v>
          </cell>
          <cell r="C16">
            <v>190</v>
          </cell>
          <cell r="D16">
            <v>161.5</v>
          </cell>
          <cell r="E16">
            <v>161.5</v>
          </cell>
          <cell r="F16">
            <v>161.5</v>
          </cell>
          <cell r="G16">
            <v>161.5</v>
          </cell>
          <cell r="H16">
            <v>171</v>
          </cell>
          <cell r="I16">
            <v>171</v>
          </cell>
          <cell r="J16">
            <v>171</v>
          </cell>
          <cell r="K16">
            <v>175.75</v>
          </cell>
        </row>
        <row r="17">
          <cell r="A17" t="str">
            <v>K-12</v>
          </cell>
          <cell r="B17">
            <v>175</v>
          </cell>
          <cell r="C17">
            <v>175</v>
          </cell>
          <cell r="D17">
            <v>148.75</v>
          </cell>
          <cell r="E17">
            <v>148.75</v>
          </cell>
          <cell r="F17">
            <v>148.75</v>
          </cell>
          <cell r="G17">
            <v>148.75</v>
          </cell>
          <cell r="H17">
            <v>157.5</v>
          </cell>
          <cell r="I17">
            <v>157.5</v>
          </cell>
          <cell r="J17">
            <v>157.5</v>
          </cell>
          <cell r="K17">
            <v>161.875</v>
          </cell>
        </row>
        <row r="18">
          <cell r="A18" t="str">
            <v>K-11</v>
          </cell>
          <cell r="B18">
            <v>155</v>
          </cell>
          <cell r="C18">
            <v>155</v>
          </cell>
          <cell r="D18">
            <v>131.75</v>
          </cell>
          <cell r="E18">
            <v>131.75</v>
          </cell>
          <cell r="F18">
            <v>131.75</v>
          </cell>
          <cell r="G18">
            <v>131.75</v>
          </cell>
          <cell r="H18">
            <v>139.5</v>
          </cell>
          <cell r="I18">
            <v>139.5</v>
          </cell>
          <cell r="J18">
            <v>139.5</v>
          </cell>
          <cell r="K18">
            <v>143.375</v>
          </cell>
        </row>
        <row r="19">
          <cell r="A19" t="str">
            <v>K-10</v>
          </cell>
          <cell r="B19">
            <v>135</v>
          </cell>
          <cell r="C19">
            <v>135</v>
          </cell>
          <cell r="D19">
            <v>114.75</v>
          </cell>
          <cell r="E19">
            <v>114.75</v>
          </cell>
          <cell r="F19">
            <v>114.75</v>
          </cell>
          <cell r="G19">
            <v>114.75</v>
          </cell>
          <cell r="H19">
            <v>121.5</v>
          </cell>
          <cell r="I19">
            <v>121.5</v>
          </cell>
          <cell r="J19">
            <v>121.5</v>
          </cell>
          <cell r="K19">
            <v>124.875</v>
          </cell>
        </row>
        <row r="20">
          <cell r="A20" t="str">
            <v>K-9</v>
          </cell>
          <cell r="B20">
            <v>120</v>
          </cell>
          <cell r="C20">
            <v>120</v>
          </cell>
          <cell r="D20">
            <v>102</v>
          </cell>
          <cell r="E20">
            <v>102</v>
          </cell>
          <cell r="F20">
            <v>102</v>
          </cell>
          <cell r="G20">
            <v>102</v>
          </cell>
          <cell r="H20">
            <v>105</v>
          </cell>
          <cell r="I20">
            <v>105</v>
          </cell>
          <cell r="J20">
            <v>105</v>
          </cell>
          <cell r="K20">
            <v>105</v>
          </cell>
        </row>
        <row r="21">
          <cell r="A21" t="str">
            <v>K-8</v>
          </cell>
          <cell r="B21">
            <v>110</v>
          </cell>
          <cell r="C21">
            <v>110</v>
          </cell>
          <cell r="D21">
            <v>93.5</v>
          </cell>
          <cell r="E21">
            <v>93.5</v>
          </cell>
          <cell r="F21">
            <v>93.5</v>
          </cell>
          <cell r="G21">
            <v>93.5</v>
          </cell>
          <cell r="H21">
            <v>96.25</v>
          </cell>
          <cell r="I21">
            <v>96.25</v>
          </cell>
          <cell r="J21">
            <v>96.25</v>
          </cell>
          <cell r="K21">
            <v>96.25</v>
          </cell>
        </row>
        <row r="22">
          <cell r="A22" t="str">
            <v>K-7</v>
          </cell>
          <cell r="B22">
            <v>90</v>
          </cell>
          <cell r="C22">
            <v>90</v>
          </cell>
          <cell r="D22">
            <v>76.5</v>
          </cell>
          <cell r="E22">
            <v>76.5</v>
          </cell>
          <cell r="F22">
            <v>76.5</v>
          </cell>
          <cell r="G22">
            <v>76.5</v>
          </cell>
          <cell r="H22">
            <v>78.75</v>
          </cell>
          <cell r="I22">
            <v>78.75</v>
          </cell>
          <cell r="J22">
            <v>78.75</v>
          </cell>
          <cell r="K22">
            <v>78.75</v>
          </cell>
        </row>
        <row r="23">
          <cell r="A23" t="str">
            <v>K-6</v>
          </cell>
          <cell r="B23">
            <v>75</v>
          </cell>
          <cell r="C23">
            <v>75</v>
          </cell>
          <cell r="D23">
            <v>63.75</v>
          </cell>
          <cell r="E23">
            <v>63.75</v>
          </cell>
          <cell r="F23">
            <v>63.75</v>
          </cell>
          <cell r="G23">
            <v>63.75</v>
          </cell>
          <cell r="H23">
            <v>65.625</v>
          </cell>
          <cell r="I23">
            <v>65.625</v>
          </cell>
          <cell r="J23">
            <v>65.625</v>
          </cell>
          <cell r="K23">
            <v>65.625</v>
          </cell>
        </row>
        <row r="24">
          <cell r="A24" t="str">
            <v>K-5</v>
          </cell>
          <cell r="B24">
            <v>60</v>
          </cell>
          <cell r="C24">
            <v>60</v>
          </cell>
          <cell r="D24">
            <v>51</v>
          </cell>
          <cell r="E24">
            <v>51</v>
          </cell>
          <cell r="F24">
            <v>51</v>
          </cell>
          <cell r="G24">
            <v>51</v>
          </cell>
          <cell r="H24">
            <v>52.5</v>
          </cell>
          <cell r="I24">
            <v>52.5</v>
          </cell>
          <cell r="J24">
            <v>52.5</v>
          </cell>
          <cell r="K24">
            <v>52.5</v>
          </cell>
        </row>
        <row r="25">
          <cell r="A25" t="str">
            <v>K-4</v>
          </cell>
          <cell r="B25">
            <v>50</v>
          </cell>
          <cell r="C25">
            <v>50</v>
          </cell>
          <cell r="D25">
            <v>42.5</v>
          </cell>
          <cell r="E25">
            <v>42.5</v>
          </cell>
          <cell r="F25">
            <v>42.5</v>
          </cell>
          <cell r="G25">
            <v>42.5</v>
          </cell>
          <cell r="H25">
            <v>43.75</v>
          </cell>
          <cell r="I25">
            <v>43.75</v>
          </cell>
          <cell r="J25">
            <v>43.75</v>
          </cell>
          <cell r="K25">
            <v>43.75</v>
          </cell>
        </row>
        <row r="26">
          <cell r="A26" t="str">
            <v>K-3</v>
          </cell>
          <cell r="B26">
            <v>40</v>
          </cell>
          <cell r="C26">
            <v>40</v>
          </cell>
          <cell r="D26">
            <v>34</v>
          </cell>
          <cell r="E26">
            <v>34</v>
          </cell>
          <cell r="F26">
            <v>34</v>
          </cell>
          <cell r="G26">
            <v>34</v>
          </cell>
          <cell r="H26">
            <v>35</v>
          </cell>
          <cell r="I26">
            <v>35</v>
          </cell>
          <cell r="J26">
            <v>35</v>
          </cell>
          <cell r="K26">
            <v>35</v>
          </cell>
        </row>
        <row r="27">
          <cell r="A27" t="str">
            <v>K-2</v>
          </cell>
          <cell r="B27">
            <v>30</v>
          </cell>
          <cell r="C27">
            <v>30</v>
          </cell>
          <cell r="D27">
            <v>25.5</v>
          </cell>
          <cell r="E27">
            <v>25.5</v>
          </cell>
          <cell r="F27">
            <v>25.5</v>
          </cell>
          <cell r="G27">
            <v>25.5</v>
          </cell>
          <cell r="H27">
            <v>26.25</v>
          </cell>
          <cell r="I27">
            <v>26.25</v>
          </cell>
          <cell r="J27">
            <v>26.25</v>
          </cell>
          <cell r="K27">
            <v>26.25</v>
          </cell>
        </row>
        <row r="28">
          <cell r="A28" t="str">
            <v>K-1</v>
          </cell>
          <cell r="B28">
            <v>20</v>
          </cell>
          <cell r="C28">
            <v>20</v>
          </cell>
          <cell r="D28">
            <v>17</v>
          </cell>
          <cell r="E28">
            <v>17</v>
          </cell>
          <cell r="F28">
            <v>17</v>
          </cell>
          <cell r="G28">
            <v>17</v>
          </cell>
          <cell r="H28">
            <v>17.5</v>
          </cell>
          <cell r="I28">
            <v>17.5</v>
          </cell>
          <cell r="J28">
            <v>17.5</v>
          </cell>
          <cell r="K28">
            <v>17.5</v>
          </cell>
        </row>
        <row r="29">
          <cell r="A29" t="str">
            <v>BSÖ</v>
          </cell>
          <cell r="B29">
            <v>331.5</v>
          </cell>
          <cell r="C29">
            <v>331.5</v>
          </cell>
          <cell r="D29">
            <v>281.77499999999998</v>
          </cell>
          <cell r="E29">
            <v>281.77499999999998</v>
          </cell>
          <cell r="F29">
            <v>281.77499999999998</v>
          </cell>
          <cell r="G29">
            <v>281.77499999999998</v>
          </cell>
          <cell r="H29">
            <v>290.0625</v>
          </cell>
          <cell r="I29">
            <v>290.0625</v>
          </cell>
          <cell r="J29">
            <v>290.0625</v>
          </cell>
          <cell r="K29">
            <v>290.0625</v>
          </cell>
        </row>
        <row r="30">
          <cell r="A30" t="str">
            <v>DA-1R</v>
          </cell>
          <cell r="B30">
            <v>800</v>
          </cell>
        </row>
        <row r="31">
          <cell r="A31" t="str">
            <v>MAC</v>
          </cell>
          <cell r="B31">
            <v>500</v>
          </cell>
        </row>
        <row r="32">
          <cell r="A32" t="str">
            <v>MAC1</v>
          </cell>
          <cell r="B32">
            <v>650</v>
          </cell>
        </row>
        <row r="33">
          <cell r="A33" t="str">
            <v>MAC2</v>
          </cell>
          <cell r="B33">
            <v>650</v>
          </cell>
        </row>
        <row r="34">
          <cell r="A34" t="str">
            <v>KÖ17-1</v>
          </cell>
          <cell r="B34">
            <v>300</v>
          </cell>
        </row>
        <row r="35">
          <cell r="A35" t="str">
            <v>GS-MAC</v>
          </cell>
          <cell r="B35">
            <v>1000</v>
          </cell>
          <cell r="C35">
            <v>1000</v>
          </cell>
          <cell r="D35">
            <v>1000</v>
          </cell>
          <cell r="E35">
            <v>1000</v>
          </cell>
          <cell r="F35">
            <v>1000</v>
          </cell>
          <cell r="G35">
            <v>1000</v>
          </cell>
          <cell r="H35">
            <v>1000</v>
          </cell>
          <cell r="I35">
            <v>1000</v>
          </cell>
          <cell r="J35">
            <v>1000</v>
          </cell>
          <cell r="K35">
            <v>1000</v>
          </cell>
        </row>
        <row r="36">
          <cell r="A36" t="str">
            <v>GS-LİVER</v>
          </cell>
          <cell r="B36">
            <v>850</v>
          </cell>
          <cell r="C36">
            <v>850</v>
          </cell>
          <cell r="D36">
            <v>850</v>
          </cell>
          <cell r="E36">
            <v>850</v>
          </cell>
          <cell r="F36">
            <v>850</v>
          </cell>
          <cell r="G36">
            <v>850</v>
          </cell>
          <cell r="H36">
            <v>850</v>
          </cell>
          <cell r="I36">
            <v>850</v>
          </cell>
          <cell r="J36">
            <v>850</v>
          </cell>
          <cell r="K36">
            <v>850</v>
          </cell>
        </row>
        <row r="37">
          <cell r="A37" t="str">
            <v>KÖ-26</v>
          </cell>
          <cell r="B37">
            <v>875</v>
          </cell>
          <cell r="C37">
            <v>875</v>
          </cell>
          <cell r="D37">
            <v>743.75</v>
          </cell>
          <cell r="E37">
            <v>743.75</v>
          </cell>
          <cell r="F37">
            <v>743.75</v>
          </cell>
          <cell r="G37">
            <v>743.75</v>
          </cell>
          <cell r="H37">
            <v>831.25</v>
          </cell>
          <cell r="I37">
            <v>831.25</v>
          </cell>
          <cell r="J37">
            <v>831.25</v>
          </cell>
          <cell r="K37">
            <v>875</v>
          </cell>
        </row>
        <row r="38">
          <cell r="A38" t="str">
            <v>KÖ-25</v>
          </cell>
          <cell r="B38">
            <v>770</v>
          </cell>
          <cell r="C38">
            <v>770</v>
          </cell>
          <cell r="D38">
            <v>654.5</v>
          </cell>
          <cell r="E38">
            <v>654.5</v>
          </cell>
          <cell r="F38">
            <v>654.5</v>
          </cell>
          <cell r="G38">
            <v>654.5</v>
          </cell>
          <cell r="H38">
            <v>731.5</v>
          </cell>
          <cell r="I38">
            <v>731.5</v>
          </cell>
          <cell r="J38">
            <v>731.5</v>
          </cell>
          <cell r="K38">
            <v>770</v>
          </cell>
        </row>
        <row r="39">
          <cell r="A39" t="str">
            <v>KÖ-24</v>
          </cell>
          <cell r="B39">
            <v>665</v>
          </cell>
          <cell r="C39">
            <v>665</v>
          </cell>
          <cell r="D39">
            <v>565.25</v>
          </cell>
          <cell r="E39">
            <v>565.25</v>
          </cell>
          <cell r="F39">
            <v>565.25</v>
          </cell>
          <cell r="G39">
            <v>565.25</v>
          </cell>
          <cell r="H39">
            <v>631.75</v>
          </cell>
          <cell r="I39">
            <v>631.75</v>
          </cell>
          <cell r="J39">
            <v>631.75</v>
          </cell>
          <cell r="K39">
            <v>665</v>
          </cell>
        </row>
        <row r="40">
          <cell r="A40" t="str">
            <v>KÖ-23</v>
          </cell>
          <cell r="B40">
            <v>595</v>
          </cell>
          <cell r="C40">
            <v>595</v>
          </cell>
          <cell r="D40">
            <v>505.75</v>
          </cell>
          <cell r="E40">
            <v>505.75</v>
          </cell>
          <cell r="F40">
            <v>505.75</v>
          </cell>
          <cell r="G40">
            <v>505.75</v>
          </cell>
          <cell r="H40">
            <v>565.25</v>
          </cell>
          <cell r="I40">
            <v>565.25</v>
          </cell>
          <cell r="J40">
            <v>565.25</v>
          </cell>
          <cell r="K40">
            <v>595</v>
          </cell>
        </row>
        <row r="41">
          <cell r="A41" t="str">
            <v>KÖ-22</v>
          </cell>
          <cell r="B41">
            <v>507.49999999999994</v>
          </cell>
          <cell r="C41">
            <v>507.49999999999994</v>
          </cell>
          <cell r="D41">
            <v>431.37499999999994</v>
          </cell>
          <cell r="E41">
            <v>431.37499999999994</v>
          </cell>
          <cell r="F41">
            <v>431.37499999999994</v>
          </cell>
          <cell r="G41">
            <v>431.37499999999994</v>
          </cell>
          <cell r="H41">
            <v>482.12499999999994</v>
          </cell>
          <cell r="I41">
            <v>482.12499999999994</v>
          </cell>
          <cell r="J41">
            <v>482.12499999999994</v>
          </cell>
          <cell r="K41">
            <v>507.49999999999994</v>
          </cell>
        </row>
        <row r="42">
          <cell r="A42" t="str">
            <v>KÖ-21</v>
          </cell>
          <cell r="B42">
            <v>413</v>
          </cell>
          <cell r="C42">
            <v>413</v>
          </cell>
          <cell r="D42">
            <v>351.05</v>
          </cell>
          <cell r="E42">
            <v>351.05</v>
          </cell>
          <cell r="F42">
            <v>351.05</v>
          </cell>
          <cell r="G42">
            <v>351.05</v>
          </cell>
          <cell r="H42">
            <v>392.34999999999997</v>
          </cell>
          <cell r="I42">
            <v>392.34999999999997</v>
          </cell>
          <cell r="J42">
            <v>392.34999999999997</v>
          </cell>
          <cell r="K42">
            <v>413</v>
          </cell>
        </row>
        <row r="43">
          <cell r="A43" t="str">
            <v>KÖ-20</v>
          </cell>
          <cell r="B43">
            <v>336</v>
          </cell>
          <cell r="C43">
            <v>336</v>
          </cell>
          <cell r="D43">
            <v>285.59999999999997</v>
          </cell>
          <cell r="E43">
            <v>285.59999999999997</v>
          </cell>
          <cell r="F43">
            <v>285.59999999999997</v>
          </cell>
          <cell r="G43">
            <v>285.59999999999997</v>
          </cell>
          <cell r="H43">
            <v>319.2</v>
          </cell>
          <cell r="I43">
            <v>319.2</v>
          </cell>
          <cell r="J43">
            <v>319.2</v>
          </cell>
          <cell r="K43">
            <v>336</v>
          </cell>
        </row>
        <row r="44">
          <cell r="A44" t="str">
            <v>KÖ-19</v>
          </cell>
          <cell r="B44">
            <v>301</v>
          </cell>
          <cell r="C44">
            <v>301</v>
          </cell>
          <cell r="D44">
            <v>255.85</v>
          </cell>
          <cell r="E44">
            <v>255.85</v>
          </cell>
          <cell r="F44">
            <v>255.85</v>
          </cell>
          <cell r="G44">
            <v>255.85</v>
          </cell>
          <cell r="H44">
            <v>278.42500000000001</v>
          </cell>
          <cell r="I44">
            <v>278.42500000000001</v>
          </cell>
          <cell r="J44">
            <v>278.42500000000001</v>
          </cell>
          <cell r="K44">
            <v>278.42500000000001</v>
          </cell>
        </row>
        <row r="45">
          <cell r="A45" t="str">
            <v>KÖ-18</v>
          </cell>
          <cell r="B45">
            <v>273</v>
          </cell>
          <cell r="C45">
            <v>273</v>
          </cell>
          <cell r="D45">
            <v>232.04999999999998</v>
          </cell>
          <cell r="E45">
            <v>232.04999999999998</v>
          </cell>
          <cell r="F45">
            <v>232.04999999999998</v>
          </cell>
          <cell r="G45">
            <v>232.04999999999998</v>
          </cell>
          <cell r="H45">
            <v>252.52500000000001</v>
          </cell>
          <cell r="I45">
            <v>252.52500000000001</v>
          </cell>
          <cell r="J45">
            <v>252.52500000000001</v>
          </cell>
          <cell r="K45">
            <v>252.52500000000001</v>
          </cell>
        </row>
        <row r="46">
          <cell r="A46" t="str">
            <v>KÖ-17</v>
          </cell>
          <cell r="B46">
            <v>224</v>
          </cell>
          <cell r="C46">
            <v>224</v>
          </cell>
          <cell r="D46">
            <v>190.4</v>
          </cell>
          <cell r="E46">
            <v>190.4</v>
          </cell>
          <cell r="F46">
            <v>190.4</v>
          </cell>
          <cell r="G46">
            <v>190.4</v>
          </cell>
          <cell r="H46">
            <v>207.20000000000002</v>
          </cell>
          <cell r="I46">
            <v>207.20000000000002</v>
          </cell>
          <cell r="J46">
            <v>207.20000000000002</v>
          </cell>
          <cell r="K46">
            <v>207.20000000000002</v>
          </cell>
        </row>
        <row r="47">
          <cell r="A47" t="str">
            <v>KÖ-16</v>
          </cell>
          <cell r="B47">
            <v>185.5</v>
          </cell>
          <cell r="C47">
            <v>185.5</v>
          </cell>
          <cell r="D47">
            <v>157.67499999999998</v>
          </cell>
          <cell r="E47">
            <v>157.67499999999998</v>
          </cell>
          <cell r="F47">
            <v>157.67499999999998</v>
          </cell>
          <cell r="G47">
            <v>157.67499999999998</v>
          </cell>
          <cell r="H47">
            <v>171.58750000000001</v>
          </cell>
          <cell r="I47">
            <v>171.58750000000001</v>
          </cell>
          <cell r="J47">
            <v>171.58750000000001</v>
          </cell>
          <cell r="K47">
            <v>171.58750000000001</v>
          </cell>
        </row>
        <row r="48">
          <cell r="A48" t="str">
            <v>KÖ-15</v>
          </cell>
          <cell r="B48">
            <v>164.5</v>
          </cell>
          <cell r="C48">
            <v>164.5</v>
          </cell>
          <cell r="D48">
            <v>139.82499999999999</v>
          </cell>
          <cell r="E48">
            <v>139.82499999999999</v>
          </cell>
          <cell r="F48">
            <v>139.82499999999999</v>
          </cell>
          <cell r="G48">
            <v>139.82499999999999</v>
          </cell>
          <cell r="H48">
            <v>148.05000000000001</v>
          </cell>
          <cell r="I48">
            <v>148.05000000000001</v>
          </cell>
          <cell r="J48">
            <v>148.05000000000001</v>
          </cell>
          <cell r="K48">
            <v>152.16249999999999</v>
          </cell>
        </row>
        <row r="49">
          <cell r="A49" t="str">
            <v>KÖ-14</v>
          </cell>
          <cell r="B49">
            <v>147</v>
          </cell>
          <cell r="C49">
            <v>147</v>
          </cell>
          <cell r="D49">
            <v>124.95</v>
          </cell>
          <cell r="E49">
            <v>124.95</v>
          </cell>
          <cell r="F49">
            <v>124.95</v>
          </cell>
          <cell r="G49">
            <v>124.95</v>
          </cell>
          <cell r="H49">
            <v>132.30000000000001</v>
          </cell>
          <cell r="I49">
            <v>132.30000000000001</v>
          </cell>
          <cell r="J49">
            <v>132.30000000000001</v>
          </cell>
          <cell r="K49">
            <v>135.97499999999999</v>
          </cell>
        </row>
        <row r="50">
          <cell r="A50" t="str">
            <v>KÖ-13</v>
          </cell>
          <cell r="B50">
            <v>133</v>
          </cell>
          <cell r="C50">
            <v>133</v>
          </cell>
          <cell r="D50">
            <v>113.05</v>
          </cell>
          <cell r="E50">
            <v>113.05</v>
          </cell>
          <cell r="F50">
            <v>113.05</v>
          </cell>
          <cell r="G50">
            <v>113.05</v>
          </cell>
          <cell r="H50">
            <v>119.7</v>
          </cell>
          <cell r="I50">
            <v>119.7</v>
          </cell>
          <cell r="J50">
            <v>119.7</v>
          </cell>
          <cell r="K50">
            <v>123.02500000000001</v>
          </cell>
        </row>
        <row r="51">
          <cell r="A51" t="str">
            <v>KÖ-12</v>
          </cell>
          <cell r="B51">
            <v>122.49999999999999</v>
          </cell>
          <cell r="C51">
            <v>122.49999999999999</v>
          </cell>
          <cell r="D51">
            <v>104.12499999999999</v>
          </cell>
          <cell r="E51">
            <v>104.12499999999999</v>
          </cell>
          <cell r="F51">
            <v>104.12499999999999</v>
          </cell>
          <cell r="G51">
            <v>104.12499999999999</v>
          </cell>
          <cell r="H51">
            <v>110.24999999999999</v>
          </cell>
          <cell r="I51">
            <v>110.24999999999999</v>
          </cell>
          <cell r="J51">
            <v>110.24999999999999</v>
          </cell>
          <cell r="K51">
            <v>113.31249999999999</v>
          </cell>
        </row>
        <row r="52">
          <cell r="A52" t="str">
            <v>KÖ-11</v>
          </cell>
          <cell r="B52">
            <v>108.5</v>
          </cell>
          <cell r="C52">
            <v>108.5</v>
          </cell>
          <cell r="D52">
            <v>92.224999999999994</v>
          </cell>
          <cell r="E52">
            <v>92.224999999999994</v>
          </cell>
          <cell r="F52">
            <v>92.224999999999994</v>
          </cell>
          <cell r="G52">
            <v>92.224999999999994</v>
          </cell>
          <cell r="H52">
            <v>97.65</v>
          </cell>
          <cell r="I52">
            <v>97.65</v>
          </cell>
          <cell r="J52">
            <v>97.65</v>
          </cell>
          <cell r="K52">
            <v>100.36250000000001</v>
          </cell>
        </row>
        <row r="53">
          <cell r="A53" t="str">
            <v>KÖ-10</v>
          </cell>
          <cell r="B53">
            <v>94.5</v>
          </cell>
          <cell r="C53">
            <v>94.5</v>
          </cell>
          <cell r="D53">
            <v>80.325000000000003</v>
          </cell>
          <cell r="E53">
            <v>80.325000000000003</v>
          </cell>
          <cell r="F53">
            <v>80.325000000000003</v>
          </cell>
          <cell r="G53">
            <v>80.325000000000003</v>
          </cell>
          <cell r="H53">
            <v>85.05</v>
          </cell>
          <cell r="I53">
            <v>85.05</v>
          </cell>
          <cell r="J53">
            <v>85.05</v>
          </cell>
          <cell r="K53">
            <v>87.412500000000009</v>
          </cell>
        </row>
        <row r="54">
          <cell r="A54" t="str">
            <v>KÖ-9</v>
          </cell>
          <cell r="B54">
            <v>84</v>
          </cell>
          <cell r="C54">
            <v>84</v>
          </cell>
          <cell r="D54">
            <v>71.399999999999991</v>
          </cell>
          <cell r="E54">
            <v>71.399999999999991</v>
          </cell>
          <cell r="F54">
            <v>71.399999999999991</v>
          </cell>
          <cell r="G54">
            <v>71.399999999999991</v>
          </cell>
          <cell r="H54">
            <v>73.5</v>
          </cell>
          <cell r="I54">
            <v>73.5</v>
          </cell>
          <cell r="J54">
            <v>73.5</v>
          </cell>
          <cell r="K54">
            <v>73.5</v>
          </cell>
        </row>
        <row r="55">
          <cell r="A55" t="str">
            <v>KÖ-8</v>
          </cell>
          <cell r="B55">
            <v>77</v>
          </cell>
          <cell r="C55">
            <v>77</v>
          </cell>
          <cell r="D55">
            <v>65.45</v>
          </cell>
          <cell r="E55">
            <v>65.45</v>
          </cell>
          <cell r="F55">
            <v>65.45</v>
          </cell>
          <cell r="G55">
            <v>65.45</v>
          </cell>
          <cell r="H55">
            <v>67.375</v>
          </cell>
          <cell r="I55">
            <v>67.375</v>
          </cell>
          <cell r="J55">
            <v>67.375</v>
          </cell>
          <cell r="K55">
            <v>67.375</v>
          </cell>
        </row>
        <row r="56">
          <cell r="A56" t="str">
            <v>KÖ-7</v>
          </cell>
          <cell r="B56">
            <v>62.999999999999993</v>
          </cell>
          <cell r="C56">
            <v>62.999999999999993</v>
          </cell>
          <cell r="D56">
            <v>53.54999999999999</v>
          </cell>
          <cell r="E56">
            <v>53.54999999999999</v>
          </cell>
          <cell r="F56">
            <v>53.54999999999999</v>
          </cell>
          <cell r="G56">
            <v>53.54999999999999</v>
          </cell>
          <cell r="H56">
            <v>55.124999999999993</v>
          </cell>
          <cell r="I56">
            <v>55.124999999999993</v>
          </cell>
          <cell r="J56">
            <v>55.124999999999993</v>
          </cell>
          <cell r="K56">
            <v>55.124999999999993</v>
          </cell>
        </row>
        <row r="57">
          <cell r="A57" t="str">
            <v>KÖ-6</v>
          </cell>
          <cell r="B57">
            <v>52.5</v>
          </cell>
          <cell r="C57">
            <v>52.5</v>
          </cell>
          <cell r="D57">
            <v>44.625</v>
          </cell>
          <cell r="E57">
            <v>44.625</v>
          </cell>
          <cell r="F57">
            <v>44.625</v>
          </cell>
          <cell r="G57">
            <v>44.625</v>
          </cell>
          <cell r="H57">
            <v>45.9375</v>
          </cell>
          <cell r="I57">
            <v>45.9375</v>
          </cell>
          <cell r="J57">
            <v>45.9375</v>
          </cell>
          <cell r="K57">
            <v>45.9375</v>
          </cell>
        </row>
        <row r="58">
          <cell r="A58" t="str">
            <v>KÖ-5</v>
          </cell>
          <cell r="B58">
            <v>42</v>
          </cell>
          <cell r="C58">
            <v>42</v>
          </cell>
          <cell r="D58">
            <v>35.699999999999996</v>
          </cell>
          <cell r="E58">
            <v>35.699999999999996</v>
          </cell>
          <cell r="F58">
            <v>35.699999999999996</v>
          </cell>
          <cell r="G58">
            <v>35.699999999999996</v>
          </cell>
          <cell r="H58">
            <v>36.75</v>
          </cell>
          <cell r="I58">
            <v>36.75</v>
          </cell>
          <cell r="J58">
            <v>36.75</v>
          </cell>
          <cell r="K58">
            <v>36.75</v>
          </cell>
        </row>
        <row r="59">
          <cell r="A59" t="str">
            <v>KÖ-4</v>
          </cell>
          <cell r="B59">
            <v>35</v>
          </cell>
          <cell r="C59">
            <v>35</v>
          </cell>
          <cell r="D59">
            <v>29.75</v>
          </cell>
          <cell r="E59">
            <v>29.75</v>
          </cell>
          <cell r="F59">
            <v>29.75</v>
          </cell>
          <cell r="G59">
            <v>29.75</v>
          </cell>
          <cell r="H59">
            <v>30.625</v>
          </cell>
          <cell r="I59">
            <v>30.625</v>
          </cell>
          <cell r="J59">
            <v>30.625</v>
          </cell>
          <cell r="K59">
            <v>30.625</v>
          </cell>
        </row>
        <row r="60">
          <cell r="A60" t="str">
            <v>KÖ-3</v>
          </cell>
          <cell r="B60">
            <v>28</v>
          </cell>
          <cell r="C60">
            <v>28</v>
          </cell>
          <cell r="D60">
            <v>23.8</v>
          </cell>
          <cell r="E60">
            <v>23.8</v>
          </cell>
          <cell r="F60">
            <v>23.8</v>
          </cell>
          <cell r="G60">
            <v>23.8</v>
          </cell>
          <cell r="H60">
            <v>24.5</v>
          </cell>
          <cell r="I60">
            <v>24.5</v>
          </cell>
          <cell r="J60">
            <v>24.5</v>
          </cell>
          <cell r="K60">
            <v>24.5</v>
          </cell>
        </row>
        <row r="61">
          <cell r="A61" t="str">
            <v>KÖ-2</v>
          </cell>
          <cell r="B61">
            <v>21</v>
          </cell>
          <cell r="C61">
            <v>21</v>
          </cell>
          <cell r="D61">
            <v>17.849999999999998</v>
          </cell>
          <cell r="E61">
            <v>17.849999999999998</v>
          </cell>
          <cell r="F61">
            <v>17.849999999999998</v>
          </cell>
          <cell r="G61">
            <v>17.849999999999998</v>
          </cell>
          <cell r="H61">
            <v>18.375</v>
          </cell>
          <cell r="I61">
            <v>18.375</v>
          </cell>
          <cell r="J61">
            <v>18.375</v>
          </cell>
          <cell r="K61">
            <v>18.375</v>
          </cell>
        </row>
        <row r="62">
          <cell r="A62" t="str">
            <v>KÖ-1</v>
          </cell>
          <cell r="B62">
            <v>14</v>
          </cell>
          <cell r="C62">
            <v>14</v>
          </cell>
          <cell r="D62">
            <v>11.9</v>
          </cell>
          <cell r="E62">
            <v>11.9</v>
          </cell>
          <cell r="F62">
            <v>11.9</v>
          </cell>
          <cell r="G62">
            <v>11.9</v>
          </cell>
          <cell r="H62">
            <v>12.25</v>
          </cell>
          <cell r="I62">
            <v>12.25</v>
          </cell>
          <cell r="J62">
            <v>12.25</v>
          </cell>
          <cell r="K62">
            <v>12.25</v>
          </cell>
        </row>
      </sheetData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>
        <row r="2">
          <cell r="A2" t="str">
            <v>KAT</v>
          </cell>
        </row>
      </sheetData>
      <sheetData sheetId="11">
        <row r="1">
          <cell r="A1">
            <v>1</v>
          </cell>
        </row>
      </sheetData>
      <sheetData sheetId="12">
        <row r="1">
          <cell r="A1">
            <v>1</v>
          </cell>
        </row>
      </sheetData>
      <sheetData sheetId="13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zete teaser"/>
      <sheetName val="Gazete Açılış"/>
      <sheetName val="Gazete Devam"/>
      <sheetName val="Zaman Planı"/>
      <sheetName val="Haftasonu Gazete ek bütçe"/>
      <sheetName val="Tv Teaser"/>
      <sheetName val="Tv Açılış"/>
      <sheetName val="Tv Devam"/>
      <sheetName val="Dergi "/>
      <sheetName val="Radyo Lansman"/>
      <sheetName val="Radyo haftasonu ek bütçe"/>
      <sheetName val="Billboard"/>
      <sheetName val="Wall Billboard"/>
      <sheetName val="Toplam"/>
      <sheetName val="Flow Chart "/>
      <sheetName val="Flow Chart  (16)"/>
      <sheetName val="Flow Chart1  (16)"/>
      <sheetName val="Flow Chart1 "/>
      <sheetName val="Gazete Açılı_"/>
      <sheetName val="Tv Açılı_"/>
      <sheetName val="StartTime"/>
      <sheetName val="plan-gaz1"/>
      <sheetName val="Programlar"/>
      <sheetName val="Kategoriler"/>
      <sheetName val="Köprü"/>
      <sheetName val="Ekim"/>
      <sheetName val="Gazete_teaser"/>
      <sheetName val="Gazete_Açılış"/>
      <sheetName val="Gazete_Devam"/>
      <sheetName val="Zaman_Planı"/>
      <sheetName val="Haftasonu_Gazete_ek_bütçe"/>
      <sheetName val="Tv_Teaser"/>
      <sheetName val="Tv_Açılış"/>
      <sheetName val="Tv_Devam"/>
      <sheetName val="Dergi_"/>
      <sheetName val="Radyo_Lansman"/>
      <sheetName val="Radyo_haftasonu_ek_bütçe"/>
      <sheetName val="Wall_Billboard"/>
      <sheetName val="Flow_Chart_"/>
      <sheetName val="Flow_Chart__(16)"/>
      <sheetName val="Flow_Chart1__(16)"/>
      <sheetName val="Flow_Chart1_"/>
      <sheetName val="Copies"/>
      <sheetName val="Gazete_teaser1"/>
      <sheetName val="Gazete_Açılış1"/>
      <sheetName val="Gazete_Devam1"/>
      <sheetName val="Zaman_Planı1"/>
      <sheetName val="Haftasonu_Gazete_ek_bütçe1"/>
      <sheetName val="Tv_Teaser1"/>
      <sheetName val="Tv_Açılış1"/>
      <sheetName val="Tv_Devam1"/>
      <sheetName val="Dergi_1"/>
      <sheetName val="Radyo_Lansman1"/>
      <sheetName val="Radyo_haftasonu_ek_bütçe1"/>
      <sheetName val="Wall_Billboard1"/>
      <sheetName val="Flow_Chart_1"/>
      <sheetName val="Flow_Chart__(16)1"/>
      <sheetName val="Flow_Chart1__(16)1"/>
      <sheetName val="Flow_Chart1_1"/>
      <sheetName val="Gazete_Açılı_"/>
      <sheetName val="Tv_Açılı_"/>
      <sheetName val="TARİFE (eski)"/>
      <sheetName val="TARİFE (TL)"/>
      <sheetName val="TARİFE (yeni)"/>
      <sheetName val="Gazete_teaser2"/>
      <sheetName val="Gazete_Açılış2"/>
      <sheetName val="Gazete_Devam2"/>
      <sheetName val="Zaman_Planı2"/>
      <sheetName val="Haftasonu_Gazete_ek_bütçe2"/>
      <sheetName val="Tv_Teaser2"/>
      <sheetName val="Tv_Açılış2"/>
      <sheetName val="Tv_Devam2"/>
      <sheetName val="Dergi_2"/>
      <sheetName val="Radyo_Lansman2"/>
      <sheetName val="Radyo_haftasonu_ek_bütçe2"/>
      <sheetName val="Wall_Billboard2"/>
      <sheetName val="Flow_Chart_2"/>
      <sheetName val="Flow_Chart__(16)2"/>
      <sheetName val="Flow_Chart1__(16)2"/>
      <sheetName val="Flow_Chart1_2"/>
      <sheetName val="Gazete_Açılı_1"/>
      <sheetName val="Tv_Açılı_1"/>
      <sheetName val="TARİFE_(eski)"/>
      <sheetName val="TARİFE_(TL)"/>
      <sheetName val="TARİFE_(yeni)"/>
      <sheetName val="tv spot list"/>
      <sheetName val="GAZETE"/>
      <sheetName val="tv_spot_list"/>
      <sheetName val="Клипы (2)"/>
    </sheetNames>
    <sheetDataSet>
      <sheetData sheetId="0" refreshError="1">
        <row r="17">
          <cell r="B17">
            <v>35711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17">
          <cell r="B17">
            <v>35711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/>
      <sheetData sheetId="88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Ref"/>
      <sheetName val="copertina"/>
      <sheetName val="Index"/>
      <sheetName val="Format"/>
      <sheetName val="Mod.A"/>
      <sheetName val="Mod.A1"/>
      <sheetName val="Mod.B"/>
      <sheetName val="Mod.B1"/>
      <sheetName val="XXXX"/>
      <sheetName val="DOLLARO"/>
      <sheetName val="Conta transição_comer"/>
      <sheetName val="86_NOVEMBRO"/>
      <sheetName val="89_NOVEMBRO"/>
      <sheetName val="87_NOVEMBRO"/>
      <sheetName val="Analise_BDG"/>
      <sheetName val="Analise_F6+6"/>
      <sheetName val="Plan4"/>
      <sheetName val="Analise_F10+2"/>
      <sheetName val="FLASH"/>
      <sheetName val="comparativo_Jan_fev"/>
      <sheetName val="EXPLICMES"/>
      <sheetName val="EXPLICANO_3+9"/>
      <sheetName val="EXPLICANO"/>
      <sheetName val="EXPLICANO_BDG"/>
      <sheetName val="EXPLICABERTO"/>
      <sheetName val="FLASH_6+6"/>
      <sheetName val="Juridico"/>
      <sheetName val="CR"/>
      <sheetName val="DAF"/>
      <sheetName val="Diret."/>
      <sheetName val="Comparativo (2)"/>
      <sheetName val="Strfuncionamento.2004"/>
      <sheetName val="86"/>
      <sheetName val="89"/>
      <sheetName val="87"/>
      <sheetName val="Strfuncionamento.2005"/>
      <sheetName val="per paese"/>
      <sheetName val="per modello"/>
      <sheetName val="JATO Worksheet - Pagina 1"/>
      <sheetName val="Guida al foglio"/>
      <sheetName val="Foglio3"/>
      <sheetName val="GENERALE"/>
      <sheetName val="RIEPILOGO (2)"/>
      <sheetName val="stile &quot;93 €&quot;"/>
      <sheetName val="stile ULTERIORI"/>
      <sheetName val="riepilogo CON DETTAGLIO"/>
      <sheetName val="DETTAGLIO ULTERIORI"/>
      <sheetName val="CROMI INTERNI "/>
      <sheetName val="198 CAMBIO M32 SU 1.4 T 120"/>
      <sheetName val="ODM stile"/>
      <sheetName val="dettaglio"/>
      <sheetName val="Foglio1"/>
      <sheetName val="Foglio2"/>
      <sheetName val="SGV"/>
      <sheetName val="Gazete teaser"/>
      <sheetName val="Programlar"/>
      <sheetName val="Kategoriler"/>
      <sheetName val="Ekim"/>
      <sheetName val="TRT FM"/>
      <sheetName val="DUCATO"/>
      <sheetName val="33&quot;"/>
      <sheetName val="Copies"/>
      <sheetName val="Kategori Dizi kanalları"/>
      <sheetName val="VENDAS"/>
      <sheetName val="Hasar Hattı"/>
      <sheetName val="ATV"/>
      <sheetName val="Indice.xls"/>
      <sheetName val=""/>
      <sheetName val="2.대외공문"/>
      <sheetName val="Macro1"/>
      <sheetName val="Macro2"/>
      <sheetName val="Vers_TOP(16)"/>
      <sheetName val="ALBERINIITADIESEL"/>
      <sheetName val="NORME"/>
      <sheetName val="ECOM Periodique"/>
      <sheetName val="All"/>
      <sheetName val="DB"/>
      <sheetName val="PROJE MAL.ANA DOSYA 3.AY"/>
      <sheetName val="TOTALE"/>
      <sheetName val="Sayfa4"/>
      <sheetName val="\sudafrica\Sudafrica 2002\sud a"/>
      <sheetName val="prova"/>
      <sheetName val="Prijzen"/>
      <sheetName val="PA_Weighted"/>
      <sheetName val="Instructions"/>
      <sheetName val="Assumptions"/>
      <sheetName val="Input"/>
      <sheetName val="Cost Impact PA Brand"/>
      <sheetName val="PCO v PA Cost Weighted"/>
      <sheetName val="PCO v PA Cost Weighted KM"/>
      <sheetName val="Details by Model in Euro"/>
      <sheetName val="Cost Impact PA Industrial"/>
      <sheetName val="Milestone vs PA - KM 1"/>
      <sheetName val="Milestone vs PA - KM 2"/>
      <sheetName val="Milestone vs PA - KM 3"/>
      <sheetName val="Milestone vs PA - KM 4"/>
      <sheetName val="Milestone vs PA - KM 5"/>
      <sheetName val="Milestone vs PA - KM 6"/>
      <sheetName val="Milestone vs PA - KM 7"/>
      <sheetName val="Milestone vs PA - KM 8"/>
      <sheetName val="Milestone vs PA - KM 9"/>
      <sheetName val="Milestone vs PA - KM 10"/>
      <sheetName val="Milestone vs PA - KM 11"/>
      <sheetName val="Milestone vs PA - KM 12"/>
      <sheetName val="Milestone vs PA - KM 13"/>
      <sheetName val="Milestone vs PA - KM 14"/>
      <sheetName val="Milestone vs PA - KM 15"/>
      <sheetName val="Milestone vs PA - KM 16"/>
      <sheetName val="Form_8"/>
      <sheetName val="KM Summary PA - backup"/>
      <sheetName val="KM SummaryTC - backup"/>
      <sheetName val="2007"/>
      <sheetName val="2008"/>
      <sheetName val="2009"/>
      <sheetName val="MACRO SETTING"/>
      <sheetName val="IN425C 1B 437 02"/>
      <sheetName val="IN423R 1C 433 01"/>
      <sheetName val="IN425R 1D 433 01"/>
      <sheetName val="IN422C 1D 100 04"/>
      <sheetName val="IN422C 1B 120 04"/>
      <sheetName val="IN423C 1B 145 14"/>
      <sheetName val="IN42N0 1A 120 04"/>
      <sheetName val="IN43N0 1A 140 14"/>
      <sheetName val="IN44N0 1A 140 14"/>
      <sheetName val="IN45N0 1A 140 14"/>
      <sheetName val="IN424C 1D 145 14"/>
      <sheetName val="IN425C 1C 145 14"/>
      <sheetName val="IN45N0 1B 501 06"/>
      <sheetName val="JC077C 1B 780 02"/>
      <sheetName val="JC095R 1A 100 01"/>
      <sheetName val="KS95C4 1A 781 02"/>
      <sheetName val="Cost Impact PI"/>
      <sheetName val="Input - Costs"/>
      <sheetName val="3230B.20AA.01.27 Active 1.4 TRB"/>
      <sheetName val="Mod49 compatto"/>
      <sheetName val="Gest 02"/>
      <sheetName val="ALBERINI GAS"/>
      <sheetName val="EUR GM"/>
      <sheetName val="Mercati&gt;6"/>
      <sheetName val="Base"/>
      <sheetName val="\\$NDS\.PCF_WORK.PCF.DAF.FIASA\"/>
      <sheetName val="Memo Marzo"/>
      <sheetName val="PO"/>
      <sheetName val="Lead"/>
      <sheetName val="Standartwerte"/>
      <sheetName val="Riepilogo"/>
      <sheetName val="Essbase"/>
      <sheetName val="ALTRI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riepilogo 06"/>
      <sheetName val="ANADISP 99"/>
      <sheetName val="NPV"/>
      <sheetName val="BONUS PROP"/>
      <sheetName val="MacroSheet"/>
      <sheetName val="전문품의"/>
      <sheetName val="Panda"/>
      <sheetName val="9124"/>
      <sheetName val="IND9899"/>
      <sheetName val="CAR CASH"/>
      <sheetName val="\\F0236715\condivisi\WINDOWS\TE"/>
      <sheetName val="estraz.apert.2001"/>
      <sheetName val="Mod_A"/>
      <sheetName val="Mod_A1"/>
      <sheetName val="Mod_B"/>
      <sheetName val="Mod_B1"/>
      <sheetName val="Conta_transição_comer"/>
      <sheetName val="Diret_"/>
      <sheetName val="Comparativo_(2)"/>
      <sheetName val="Strfuncionamento_2004"/>
      <sheetName val="Strfuncionamento_2005"/>
      <sheetName val="per_paese"/>
      <sheetName val="per_modello"/>
      <sheetName val="JATO_Worksheet_-_Pagina_1"/>
      <sheetName val="Guida_al_foglio"/>
      <sheetName val="RIEPILOGO_(2)"/>
      <sheetName val="stile_&quot;93_€&quot;"/>
      <sheetName val="stile_ULTERIORI"/>
      <sheetName val="riepilogo_CON_DETTAGLIO"/>
      <sheetName val="DETTAGLIO_ULTERIORI"/>
      <sheetName val="CROMI_INTERNI_"/>
      <sheetName val="198_CAMBIO_M32_SU_1_4_T_120"/>
      <sheetName val="ODM_stile"/>
      <sheetName val="Gazete_teaser"/>
      <sheetName val="LOB_prodn"/>
      <sheetName val="AG"/>
      <sheetName val="AG Calendarization"/>
      <sheetName val="CE Calendarization"/>
      <sheetName val="CE"/>
      <sheetName val="Cost_Impact_PA_Brand"/>
      <sheetName val="PCO_v_PA_Cost_Weighted"/>
      <sheetName val="PCO_v_PA_Cost_Weighted_KM"/>
      <sheetName val="Details_by_Model_in_Euro"/>
      <sheetName val="Cost_Impact_PA_Industrial"/>
      <sheetName val="Milestone_vs_PA_-_KM_1"/>
      <sheetName val="Milestone_vs_PA_-_KM_2"/>
      <sheetName val="Milestone_vs_PA_-_KM_3"/>
      <sheetName val="Milestone_vs_PA_-_KM_4"/>
      <sheetName val="Milestone_vs_PA_-_KM_5"/>
      <sheetName val="Milestone_vs_PA_-_KM_6"/>
      <sheetName val="Milestone_vs_PA_-_KM_7"/>
      <sheetName val="Milestone_vs_PA_-_KM_8"/>
      <sheetName val="Milestone_vs_PA_-_KM_9"/>
      <sheetName val="Milestone_vs_PA_-_KM_10"/>
      <sheetName val="Milestone_vs_PA_-_KM_11"/>
      <sheetName val="Milestone_vs_PA_-_KM_12"/>
      <sheetName val="Milestone_vs_PA_-_KM_13"/>
      <sheetName val="Milestone_vs_PA_-_KM_14"/>
      <sheetName val="Milestone_vs_PA_-_KM_15"/>
      <sheetName val="Milestone_vs_PA_-_KM_16"/>
      <sheetName val="KM_Summary_PA_-_backup"/>
      <sheetName val="KM_SummaryTC_-_backup"/>
      <sheetName val="MACRO_SETTING"/>
      <sheetName val="IN425C_1B_437_02"/>
      <sheetName val="IN423R_1C_433_01"/>
      <sheetName val="IN425R_1D_433_01"/>
      <sheetName val="IN422C_1D_100_04"/>
      <sheetName val="IN422C_1B_120_04"/>
      <sheetName val="IN423C_1B_145_14"/>
      <sheetName val="IN42N0_1A_120_04"/>
      <sheetName val="IN43N0_1A_140_14"/>
      <sheetName val="IN44N0_1A_140_14"/>
      <sheetName val="IN45N0_1A_140_14"/>
      <sheetName val="IN424C_1D_145_14"/>
      <sheetName val="IN425C_1C_145_14"/>
      <sheetName val="IN45N0_1B_501_06"/>
      <sheetName val="JC077C_1B_780_02"/>
      <sheetName val="JC095R_1A_100_01"/>
      <sheetName val="KS95C4_1A_781_02"/>
      <sheetName val="Cost_Impact_PI"/>
      <sheetName val="Input_-_Costs"/>
      <sheetName val="3230B_20AA_01_27_Active_1_4_TRB"/>
      <sheetName val="NA Ford Mgmt Sum"/>
      <sheetName val="PSTRAT."/>
      <sheetName val="MAR99"/>
      <sheetName val="Pivotf3+9_it"/>
      <sheetName val="Pivotf3+9_vc"/>
      <sheetName val="Pivotf3+9_vc_it"/>
      <sheetName val="Pivotf3+9"/>
      <sheetName val="Pivot_seg_it"/>
      <sheetName val="Pivot_seg_vc_it"/>
      <sheetName val="Pivot_mese"/>
      <sheetName val="Pivot_mese_Vc"/>
      <sheetName val="[Indice.xls]_EDU_FECHAMES_JUN_2"/>
      <sheetName val="[Indice.xls]_EDU_FECHAMES_JUN_3"/>
      <sheetName val="SOS_SOV"/>
      <sheetName val="TOPLAM YATIRIM"/>
      <sheetName val="TV YATIRIMI"/>
      <sheetName val="BASIN YATIRIMI"/>
      <sheetName val="\\reganzani\video\operational\T"/>
      <sheetName val="\Users\emret\AppData\Local\Micr"/>
      <sheetName val="\\192.168.1.254\2013\F\Users\em"/>
      <sheetName val="\\192.168.1.254\2013\Users\hayd"/>
      <sheetName val="\\192.168.1.254\2013\L\EDU\FECH"/>
      <sheetName val="\DBI\2011\mediamax\reckit benck"/>
      <sheetName val="[Indice.xls]__csimedya_my_sh_92"/>
      <sheetName val="kicker und TO"/>
      <sheetName val="[Indice.xls]_EDU_FECHAMES_JU_81"/>
      <sheetName val="[Indice.xls]_L_EDU_FECHAMES__81"/>
      <sheetName val="Rules"/>
      <sheetName val="Mod_A2"/>
      <sheetName val="Mod_A11"/>
      <sheetName val="Mod_B2"/>
      <sheetName val="Mod_B11"/>
      <sheetName val="Conta_transição_comer1"/>
      <sheetName val="Diret_1"/>
      <sheetName val="Comparativo_(2)1"/>
      <sheetName val="Strfuncionamento_20041"/>
      <sheetName val="Strfuncionamento_20051"/>
      <sheetName val="per_paese1"/>
      <sheetName val="per_modello1"/>
      <sheetName val="JATO_Worksheet_-_Pagina_11"/>
      <sheetName val="Guida_al_foglio1"/>
      <sheetName val="RIEPILOGO_(2)1"/>
      <sheetName val="stile_&quot;93_€&quot;1"/>
      <sheetName val="stile_ULTERIORI1"/>
      <sheetName val="riepilogo_CON_DETTAGLIO1"/>
      <sheetName val="DETTAGLIO_ULTERIORI1"/>
      <sheetName val="CROMI_INTERNI_1"/>
      <sheetName val="198_CAMBIO_M32_SU_1_4_T_1201"/>
      <sheetName val="ODM_stile1"/>
      <sheetName val="Gazete_teaser1"/>
      <sheetName val="2_대외공문"/>
      <sheetName val="ECOM_Periodique"/>
      <sheetName val="PROJE_MAL_ANA_DOSYA_3_AY"/>
      <sheetName val="Memo_Marzo"/>
      <sheetName val="C_E__2004"/>
      <sheetName val="C_E__2005"/>
      <sheetName val="C_E__2006"/>
      <sheetName val="C_E__2007"/>
      <sheetName val="TOTALE_MERCATI"/>
      <sheetName val="riepilogo_06"/>
      <sheetName val="ANADISP_99"/>
      <sheetName val="BONUS_PROP"/>
      <sheetName val="Kategori_Dizi_kanalları"/>
      <sheetName val="Hasar_Hattı"/>
      <sheetName val="Mod49_compatto"/>
      <sheetName val="Gest_02"/>
      <sheetName val="ALBERINI_GAS"/>
      <sheetName val="EUR_GM"/>
      <sheetName val="Indice_xls"/>
      <sheetName val="TRT_FM"/>
      <sheetName val="\EDU\FECHAMES\JUN99\Indice_xls"/>
      <sheetName val="CAR_CASH"/>
      <sheetName val="estraz_apert_2001"/>
      <sheetName val="FGACODE"/>
      <sheetName val="_EDU_FECHAMES_JUN99_Indice.xls"/>
      <sheetName val="__F0236715_condivisi_WINDOWS_TE"/>
      <sheetName val="personali"/>
      <sheetName val="spares timing"/>
      <sheetName val="Conta transi??o_comer"/>
      <sheetName val="Conta_transi??o_comer"/>
      <sheetName val="Conta_transi??o_comer1"/>
      <sheetName val="\sudafrica\Sudafrica_2002\sud_a"/>
      <sheetName val="\\192_168_1_254\2013\F\Users\em"/>
      <sheetName val="\\192_168_1_254\2013\Users\hayd"/>
      <sheetName val="\\192_168_1_254\2013\L\EDU\FECH"/>
      <sheetName val="\\$NDS\_PCF_WORK_PCF_DAF_FIASA\"/>
      <sheetName val="\DBI\2011\mediamax\reckit_benck"/>
      <sheetName val="\L\EDU\FECHAMES\JUN99\Indice_xl"/>
      <sheetName val="TOPLAM_YATIRIM"/>
      <sheetName val="TV_YATIRIMI"/>
      <sheetName val="BASIN_YATIRIMI"/>
      <sheetName val="[Indice.xls]\sudafrica\Sudafric"/>
      <sheetName val="[Indice.xls]\\$NDS\.PCF_WORK.PC"/>
      <sheetName val="[Indice.xls]\EDU\FECHAMES\JUN99"/>
      <sheetName val="[Indice.xls]\\reganzani\video\o"/>
      <sheetName val="[Indice.xls]\Users\emret\AppDat"/>
      <sheetName val="[Indice.xls]\\192.168.1.254\201"/>
      <sheetName val="[Indice.xls]\DBI\2011\mediamax\"/>
      <sheetName val="[Indice.xls]\L\EDU\FECHAMES\JUN"/>
      <sheetName val="[Indice.xls]//csimedya-my.share"/>
      <sheetName val="[Indice.xls]__csimedya_my_sh_29"/>
      <sheetName val="[Indice.xls]_EDU_FECHAMES_JU_41"/>
      <sheetName val="[Indice.xls]_L_EDU_FECHAMES__41"/>
      <sheetName val="[Indice.xls]__csimedya_my_sh_28"/>
      <sheetName val="[Indice.xls]_EDU_FECHAMES_JU_40"/>
      <sheetName val="[Indice.xls]_L_EDU_FECHAMES__40"/>
      <sheetName val="[Indice.xls]__csimedya_my_sha_2"/>
      <sheetName val="[Indice.xls]_L_EDU_FECHAMES_J_2"/>
      <sheetName val="[Indice.xls]__csimedya_my_sh_14"/>
      <sheetName val="[Indice.xls]_L_EDU_FECHAMES_J_3"/>
      <sheetName val="[Indice.xls]_EDU_FECHAMES_JUN_5"/>
      <sheetName val="[Indice.xls]_L_EDU_FECHAMES_J_5"/>
      <sheetName val="[Indice.xls]_EDU_FECHAMES_JUN_4"/>
      <sheetName val="[Indice.xls]_L_EDU_FECHAMES_J_4"/>
      <sheetName val="[Indice.xls]_EDU_FECHAMES_JUN_6"/>
      <sheetName val="[Indice.xls]_L_EDU_FECHAMES_J_6"/>
      <sheetName val="[Indice.xls]_EDU_FECHAMES_JUN_8"/>
      <sheetName val="[Indice.xls]_L_EDU_FECHAMES_J_8"/>
      <sheetName val="[Indice.xls]_EDU_FECHAMES_JUN_7"/>
      <sheetName val="[Indice.xls]_L_EDU_FECHAMES_J_7"/>
      <sheetName val="[Indice.xls]_EDU_FECHAMES_JU_10"/>
      <sheetName val="[Indice.xls]_L_EDU_FECHAMES__10"/>
      <sheetName val="[Indice.xls]_EDU_FECHAMES_JUN_9"/>
      <sheetName val="[Indice.xls]_L_EDU_FECHAMES_J_9"/>
      <sheetName val="[Indice.xls]_EDU_FECHAMES_JU_11"/>
      <sheetName val="[Indice.xls]_L_EDU_FECHAMES__11"/>
      <sheetName val="[Indice.xls]_EDU_FECHAMES_JU_12"/>
      <sheetName val="[Indice.xls]_L_EDU_FECHAMES__12"/>
      <sheetName val="[Indice.xls]_EDU_FECHAMES_JU_13"/>
      <sheetName val="[Indice.xls]_L_EDU_FECHAMES__13"/>
      <sheetName val="[Indice.xls]_EDU_FECHAMES_JU_14"/>
      <sheetName val="[Indice.xls]_L_EDU_FECHAMES__14"/>
      <sheetName val="[Indice.xls]_EDU_FECHAMES_JU_16"/>
      <sheetName val="[Indice.xls]_L_EDU_FECHAMES__16"/>
      <sheetName val="[Indice.xls]_EDU_FECHAMES_JU_15"/>
      <sheetName val="[Indice.xls]_L_EDU_FECHAMES__15"/>
      <sheetName val="[Indice.xls]_EDU_FECHAMES_JU_17"/>
      <sheetName val="[Indice.xls]_L_EDU_FECHAMES__17"/>
      <sheetName val="[Indice.xls]_EDU_FECHAMES_JU_18"/>
      <sheetName val="[Indice.xls]_L_EDU_FECHAMES__18"/>
      <sheetName val="[Indice.xls]_EDU_FECHAMES_JU_19"/>
      <sheetName val="[Indice.xls]_L_EDU_FECHAMES__19"/>
      <sheetName val="[Indice.xls]_EDU_FECHAMES_JU_21"/>
      <sheetName val="[Indice.xls]_L_EDU_FECHAMES__21"/>
      <sheetName val="[Indice.xls]_EDU_FECHAMES_JU_20"/>
      <sheetName val="[Indice.xls]_L_EDU_FECHAMES__20"/>
      <sheetName val="[Indice.xls]_EDU_FECHAMES_JU_22"/>
      <sheetName val="[Indice.xls]_L_EDU_FECHAMES__22"/>
      <sheetName val="[Indice.xls]__csimedya_my_sha_4"/>
      <sheetName val="[Indice.xls]__csimedya_my_sha_3"/>
      <sheetName val="[Indice.xls]__csimedya_my_sha_5"/>
      <sheetName val="[Indice.xls]__csimedya_my_sh_12"/>
      <sheetName val="[Indice.xls]_EDU_FECHAMES_JU_33"/>
      <sheetName val="[Indice.xls]_L_EDU_FECHAMES__33"/>
      <sheetName val="[Indice.xls]__csimedya_my_sh_11"/>
      <sheetName val="[Indice.xls]_EDU_FECHAMES_JU_32"/>
      <sheetName val="[Indice.xls]_L_EDU_FECHAMES__32"/>
      <sheetName val="[Indice.xls]__csimedya_my_sh_10"/>
      <sheetName val="[Indice.xls]_EDU_FECHAMES_JU_31"/>
      <sheetName val="[Indice.xls]_L_EDU_FECHAMES__31"/>
      <sheetName val="[Indice.xls]__csimedya_my_sha_6"/>
      <sheetName val="[Indice.xls]_EDU_FECHAMES_JU_25"/>
      <sheetName val="[Indice.xls]_L_EDU_FECHAMES__25"/>
      <sheetName val="[Indice.xls]_EDU_FECHAMES_JU_23"/>
      <sheetName val="[Indice.xls]_L_EDU_FECHAMES__23"/>
      <sheetName val="[Indice.xls]_EDU_FECHAMES_JU_24"/>
      <sheetName val="[Indice.xls]_L_EDU_FECHAMES__24"/>
      <sheetName val="[Indice.xls]_EDU_FECHAMES_JU_26"/>
      <sheetName val="[Indice.xls]_L_EDU_FECHAMES__26"/>
      <sheetName val="[Indice.xls]_EDU_FECHAMES_JU_27"/>
      <sheetName val="[Indice.xls]_L_EDU_FECHAMES__27"/>
      <sheetName val="[Indice.xls]_EDU_FECHAMES_JU_28"/>
      <sheetName val="[Indice.xls]_L_EDU_FECHAMES__28"/>
      <sheetName val="[Indice.xls]__csimedya_my_sha_7"/>
      <sheetName val="[Indice.xls]__csimedya_my_sha_9"/>
      <sheetName val="[Indice.xls]_EDU_FECHAMES_JU_30"/>
      <sheetName val="[Indice.xls]_L_EDU_FECHAMES__30"/>
      <sheetName val="[Indice.xls]__csimedya_my_sha_8"/>
      <sheetName val="[Indice.xls]_EDU_FECHAMES_JU_29"/>
      <sheetName val="[Indice.xls]_L_EDU_FECHAMES__29"/>
      <sheetName val="[Indice.xls]_EDU_FECHAMES_JU_34"/>
      <sheetName val="[Indice.xls]_L_EDU_FECHAMES__34"/>
      <sheetName val="[Indice.xls]_EDU_FECHAMES_JU_35"/>
      <sheetName val="[Indice.xls]_L_EDU_FECHAMES__35"/>
      <sheetName val="[Indice.xls]__csimedya_my_sh_13"/>
      <sheetName val="[Indice.xls]__csimedya_my_sh_19"/>
      <sheetName val="[Indice.xls]__csimedya_my_sh_15"/>
      <sheetName val="[Indice.xls]__csimedya_my_sh_16"/>
      <sheetName val="[Indice.xls]_EDU_FECHAMES_JU_39"/>
      <sheetName val="[Indice.xls]_L_EDU_FECHAMES__39"/>
      <sheetName val="[Indice.xls]_EDU_FECHAMES_JU_36"/>
      <sheetName val="[Indice.xls]_L_EDU_FECHAMES__36"/>
      <sheetName val="[Indice.xls]_EDU_FECHAMES_JU_37"/>
      <sheetName val="[Indice.xls]_L_EDU_FECHAMES__37"/>
      <sheetName val="[Indice.xls]_EDU_FECHAMES_JU_38"/>
      <sheetName val="[Indice.xls]_L_EDU_FECHAMES__38"/>
      <sheetName val="[Indice.xls]__csimedya_my_sh_17"/>
      <sheetName val="[Indice.xls]__csimedya_my_sh_18"/>
      <sheetName val="[Indice.xls]__csimedya_my_sh_21"/>
      <sheetName val="[Indice.xls]__csimedya_my_sh_20"/>
      <sheetName val="[Indice.xls]__csimedya_my_sh_24"/>
      <sheetName val="[Indice.xls]__csimedya_my_sh_23"/>
      <sheetName val="[Indice.xls]__csimedya_my_sh_22"/>
      <sheetName val="[Indice.xls]__csimedya_my_sh_25"/>
      <sheetName val="[Indice.xls]__csimedya_my_sh_26"/>
      <sheetName val="[Indice.xls]__csimedya_my_sh_27"/>
      <sheetName val="[Indice.xls]_EDU_FECHAMES_JU_42"/>
      <sheetName val="[Indice.xls]_L_EDU_FECHAMES__42"/>
      <sheetName val="[Indice.xls]_EDU_FECHAMES_JU_43"/>
      <sheetName val="[Indice.xls]_L_EDU_FECHAMES__43"/>
      <sheetName val="[Indice.xls]_EDU_FECHAMES_JU_44"/>
      <sheetName val="[Indice.xls]_L_EDU_FECHAMES__44"/>
      <sheetName val="[Indice.xls]__csimedya_my_sh_33"/>
      <sheetName val="[Indice.xls]__csimedya_my_sh_31"/>
      <sheetName val="[Indice.xls]__csimedya_my_sh_30"/>
      <sheetName val="[Indice.xls]__csimedya_my_sh_32"/>
      <sheetName val="[Indice.xls]__csimedya_my_sh_34"/>
      <sheetName val="[Indice.xls]__csimedya_my_sh_47"/>
      <sheetName val="[Indice.xls]__csimedya_my_sh_43"/>
      <sheetName val="[Indice.xls]__csimedya_my_sh_35"/>
      <sheetName val="[Indice.xls]_EDU_FECHAMES_JU_45"/>
      <sheetName val="[Indice.xls]_L_EDU_FECHAMES__45"/>
      <sheetName val="[Indice.xls]__csimedya_my_sh_36"/>
      <sheetName val="[Indice.xls]_EDU_FECHAMES_JU_46"/>
      <sheetName val="[Indice.xls]_L_EDU_FECHAMES__46"/>
      <sheetName val="[Indice.xls]__csimedya_my_sh_37"/>
      <sheetName val="[Indice.xls]__csimedya_my_sh_38"/>
      <sheetName val="[Indice.xls]__csimedya_my_sh_39"/>
      <sheetName val="[Indice.xls]__csimedya_my_sh_40"/>
      <sheetName val="[Indice.xls]__csimedya_my_sh_41"/>
      <sheetName val="[Indice.xls]__csimedya_my_sh_42"/>
      <sheetName val="[Indice.xls]__csimedya_my_sh_46"/>
      <sheetName val="[Indice.xls]__csimedya_my_sh_44"/>
      <sheetName val="[Indice.xls]__csimedya_my_sh_45"/>
      <sheetName val="[Indice.xls]_EDU_FECHAMES_JU_48"/>
      <sheetName val="[Indice.xls]_L_EDU_FECHAMES__48"/>
      <sheetName val="[Indice.xls]_EDU_FECHAMES_JU_47"/>
      <sheetName val="[Indice.xls]_L_EDU_FECHAMES__47"/>
      <sheetName val="[Indice.xls]__csimedya_my_sh_48"/>
      <sheetName val="[Indice.xls]__csimedya_my_sh_51"/>
      <sheetName val="[Indice.xls]__csimedya_my_sh_49"/>
      <sheetName val="[Indice.xls]_EDU_FECHAMES_JU_49"/>
      <sheetName val="[Indice.xls]_L_EDU_FECHAMES__49"/>
      <sheetName val="[Indice.xls]__csimedya_my_sh_50"/>
      <sheetName val="[Indice.xls]__csimedya_my_sh_53"/>
      <sheetName val="[Indice.xls]_EDU_FECHAMES_JU_51"/>
      <sheetName val="[Indice.xls]_L_EDU_FECHAMES__51"/>
      <sheetName val="[Indice.xls]__csimedya_my_sh_52"/>
      <sheetName val="[Indice.xls]_EDU_FECHAMES_JU_50"/>
      <sheetName val="[Indice.xls]_L_EDU_FECHAMES__50"/>
      <sheetName val="[Indice.xls]__csimedya_my_sh_56"/>
      <sheetName val="[Indice.xls]__csimedya_my_sh_54"/>
      <sheetName val="[Indice.xls]__csimedya_my_sh_55"/>
      <sheetName val="[Indice.xls]__csimedya_my_sh_57"/>
      <sheetName val="[Indice.xls]__csimedya_my_sh_60"/>
      <sheetName val="[Indice.xls]__csimedya_my_sh_58"/>
      <sheetName val="[Indice.xls]__csimedya_my_sh_59"/>
      <sheetName val="[Indice.xls]__csimedya_my_sh_63"/>
      <sheetName val="[Indice.xls]_EDU_FECHAMES_JU_57"/>
      <sheetName val="[Indice.xls]_L_EDU_FECHAMES__57"/>
      <sheetName val="[Indice.xls]_EDU_FECHAMES_JU_52"/>
      <sheetName val="[Indice.xls]_L_EDU_FECHAMES__52"/>
      <sheetName val="[Indice.xls]__csimedya_my_sh_61"/>
      <sheetName val="[Indice.xls]_EDU_FECHAMES_JU_53"/>
      <sheetName val="[Indice.xls]_L_EDU_FECHAMES__53"/>
      <sheetName val="[Indice.xls]__csimedya_my_sh_62"/>
      <sheetName val="[Indice.xls]_EDU_FECHAMES_JU_54"/>
      <sheetName val="[Indice.xls]_L_EDU_FECHAMES__54"/>
      <sheetName val="[Indice.xls]_EDU_FECHAMES_JU_55"/>
      <sheetName val="[Indice.xls]_L_EDU_FECHAMES__55"/>
      <sheetName val="[Indice.xls]_EDU_FECHAMES_JU_56"/>
      <sheetName val="[Indice.xls]_L_EDU_FECHAMES__56"/>
      <sheetName val="[Indice.xls]__csimedya_my_sh_64"/>
      <sheetName val="[Indice.xls]_EDU_FECHAMES_JU_58"/>
      <sheetName val="[Indice.xls]_L_EDU_FECHAMES__58"/>
      <sheetName val="[Indice.xls]__csimedya_my_sh_68"/>
      <sheetName val="[Indice.xls]_EDU_FECHAMES_JU_63"/>
      <sheetName val="[Indice.xls]_L_EDU_FECHAMES__63"/>
      <sheetName val="[Indice.xls]__csimedya_my_sh_65"/>
      <sheetName val="[Indice.xls]__csimedya_my_sh_66"/>
      <sheetName val="[Indice.xls]_EDU_FECHAMES_JU_59"/>
      <sheetName val="[Indice.xls]_L_EDU_FECHAMES__59"/>
      <sheetName val="[Indice.xls]_EDU_FECHAMES_JU_60"/>
      <sheetName val="[Indice.xls]_L_EDU_FECHAMES__60"/>
      <sheetName val="[Indice.xls]_EDU_FECHAMES_JU_61"/>
      <sheetName val="[Indice.xls]_L_EDU_FECHAMES__61"/>
      <sheetName val="[Indice.xls]_EDU_FECHAMES_JU_62"/>
      <sheetName val="[Indice.xls]_L_EDU_FECHAMES__62"/>
      <sheetName val="[Indice.xls]__csimedya_my_sh_67"/>
      <sheetName val="[Indice.xls]__csimedya_my_sh_69"/>
      <sheetName val="[Indice.xls]_EDU_FECHAMES_JU_64"/>
      <sheetName val="[Indice.xls]_L_EDU_FECHAMES__64"/>
      <sheetName val="[Indice.xls]_EDU_FECHAMES_JU_65"/>
      <sheetName val="[Indice.xls]_L_EDU_FECHAMES__65"/>
      <sheetName val="[Indice.xls]__csimedya_my_sh_70"/>
      <sheetName val="[Indice.xls]_EDU_FECHAMES_JU_66"/>
      <sheetName val="[Indice.xls]_L_EDU_FECHAMES__66"/>
      <sheetName val="[Indice.xls]__csimedya_my_sh_71"/>
      <sheetName val="[Indice.xls]_EDU_FECHAMES_JU_67"/>
      <sheetName val="[Indice.xls]_L_EDU_FECHAMES__67"/>
      <sheetName val="[Indice.xls]__csimedya_my_sh_73"/>
      <sheetName val="[Indice.xls]__csimedya_my_sh_72"/>
      <sheetName val="[Indice.xls]__csimedya_my_sh_74"/>
      <sheetName val="[Indice.xls]_EDU_FECHAMES_JU_68"/>
      <sheetName val="[Indice.xls]_L_EDU_FECHAMES__68"/>
      <sheetName val="[Indice.xls]__csimedya_my_sh_75"/>
      <sheetName val="[Indice.xls]_EDU_FECHAMES_JU_69"/>
      <sheetName val="[Indice.xls]_L_EDU_FECHAMES__69"/>
      <sheetName val="[Indice.xls]__csimedya_my_sh_76"/>
      <sheetName val="[Indice.xls]_EDU_FECHAMES_JU_70"/>
      <sheetName val="[Indice.xls]_L_EDU_FECHAMES__70"/>
      <sheetName val="현금흐름표"/>
      <sheetName val="SUP'S PASS DOM"/>
      <sheetName val="INPUT_PO"/>
      <sheetName val="[Indice.xls]__csimedya_my_sh_78"/>
      <sheetName val="[Indice.xls]_EDU_FECHAMES_JU_72"/>
      <sheetName val="[Indice.xls]_L_EDU_FECHAMES__72"/>
      <sheetName val="[Indice.xls]__csimedya_my_sh_77"/>
      <sheetName val="[Indice.xls]_EDU_FECHAMES_JU_71"/>
      <sheetName val="[Indice.xls]_L_EDU_FECHAMES__71"/>
      <sheetName val="[Indice.xls]__csimedya_my_sh_82"/>
      <sheetName val="[Indice.xls]_EDU_FECHAMES_JU_78"/>
      <sheetName val="[Indice.xls]_L_EDU_FECHAMES__78"/>
      <sheetName val="[Indice.xls]__csimedya_my_sh_81"/>
      <sheetName val="[Indice.xls]_EDU_FECHAMES_JU_77"/>
      <sheetName val="[Indice.xls]_L_EDU_FECHAMES__77"/>
      <sheetName val="[Indice.xls]__csimedya_my_sh_80"/>
      <sheetName val="[Indice.xls]_EDU_FECHAMES_JU_76"/>
      <sheetName val="[Indice.xls]_L_EDU_FECHAMES__76"/>
      <sheetName val="[Indice.xls]_EDU_FECHAMES_JU_73"/>
      <sheetName val="[Indice.xls]_L_EDU_FECHAMES__73"/>
      <sheetName val="[Indice.xls]_EDU_FECHAMES_JU_74"/>
      <sheetName val="[Indice.xls]_L_EDU_FECHAMES__74"/>
      <sheetName val="[Indice.xls]__csimedya_my_sh_79"/>
      <sheetName val="[Indice.xls]_EDU_FECHAMES_JU_75"/>
      <sheetName val="[Indice.xls]_L_EDU_FECHAMES__75"/>
      <sheetName val="[Indice.xls]__csimedya_my_sh_86"/>
      <sheetName val="[Indice.xls]__csimedya_my_sh_83"/>
      <sheetName val="[Indice.xls]__csimedya_my_sh_84"/>
      <sheetName val="[Indice.xls]__csimedya_my_sh_85"/>
      <sheetName val="[Indice.xls]__csimedya_my_sh_87"/>
      <sheetName val="[Indice.xls]_EDU_FECHAMES_JU_79"/>
      <sheetName val="[Indice.xls]_L_EDU_FECHAMES__79"/>
      <sheetName val="[Indice.xls]__csimedya_my_sh_89"/>
      <sheetName val="[Indice.xls]__csimedya_my_sh_88"/>
      <sheetName val="[Indice.xls][Indice.xls][Indice"/>
      <sheetName val="[Indice.xls]_sudafrica_Sudafr_2"/>
      <sheetName val="[Indice.xls]___NDS__PCF_WORK__2"/>
      <sheetName val="[Indice.xls]__reganzani_video_2"/>
      <sheetName val="[Indice.xls]_Users_emret_AppD_2"/>
      <sheetName val="[Indice.xls]__192_168_1_254_2_2"/>
      <sheetName val="[Indice.xls]__192_168_1_254_2_3"/>
      <sheetName val="[Indice.xls]__192_168_1_254_2_4"/>
      <sheetName val="[Indice.xls]_DBI_2011_mediama_2"/>
      <sheetName val="[Indice.xls]__F0236715_condiv_2"/>
      <sheetName val="[Indice.xls]__csimedya_my_sh_90"/>
      <sheetName val="[Indice.xls]__csimedya_my_sh_91"/>
      <sheetName val="[Indice.xls]_EDU_FECHAMES_JU_80"/>
      <sheetName val="[Indice.xls]_L_EDU_FECHAMES__80"/>
      <sheetName val="[Indice.xls]__csimedya_my_sh_93"/>
      <sheetName val="[Indice.xls]_EDU_FECHAMES_JU_82"/>
      <sheetName val="[Indice.xls]_L_EDU_FECHAMES__82"/>
      <sheetName val="[Indice.xls]__csimedya_my_sh_94"/>
      <sheetName val="[Indice.xls]_EDU_FECHAMES_JU_83"/>
      <sheetName val="[Indice.xls]_L_EDU_FECHAMES__83"/>
      <sheetName val="[Indice.xls]__csimedya_my_sh_95"/>
      <sheetName val="[Indice.xls]_EDU_FECHAMES_JU_84"/>
      <sheetName val="[Indice.xls]_L_EDU_FECHAMES__84"/>
      <sheetName val="\\Server\ortak\Volumes\ORTAK\T1"/>
      <sheetName val="[Indice.xls][Indice.xls]\sudafr"/>
      <sheetName val="[Indice.xls][Indice.xls]\\$NDS\"/>
      <sheetName val="[Indice.xls][Indice.xls]\EDU\FE"/>
      <sheetName val="[Indice.xls][Indice.xls]\\regan"/>
      <sheetName val="[Indice.xls][Indice.xls]\Users\"/>
      <sheetName val="[Indice.xls][Indice.xls]\\192.1"/>
      <sheetName val="[Indice.xls][Indice.xls]\DBI\20"/>
      <sheetName val="[Indice.xls][Indice.xls]\L\EDU\"/>
      <sheetName val="[Indice.xls][Indice.xls]//csime"/>
      <sheetName val="[Indice.xls][Indice.xls]\\Serve"/>
      <sheetName val="[Indice.xls][Indice.xls]\\192_1"/>
      <sheetName val="[Indice.xls][Indice.xls]\\F0236"/>
      <sheetName val="[Indice.xls]\\Server\ortak\Volu"/>
      <sheetName val="[Indice.xls]\\192_168_1_254\201"/>
      <sheetName val="[Indice.xls]\\$NDS\_PCF_WORK_PC"/>
      <sheetName val="[Indice.xls]\\F0236715\condivis"/>
      <sheetName val="Köprü"/>
      <sheetName val="[Indice.xls]__csimedya_my_sh_96"/>
      <sheetName val="[Indice.xls]_EDU_FECHAMES_JU_85"/>
      <sheetName val="[Indice.xls]_L_EDU_FECHAMES__85"/>
      <sheetName val="[Indice.xls]__csimedya_my_sh_97"/>
      <sheetName val="[Indice.xls]_EDU_FECHAMES_JU_86"/>
      <sheetName val="[Indice.xls]_L_EDU_FECHAMES__86"/>
      <sheetName val="[Indice.xls]__csimedya_my_sh_98"/>
      <sheetName val="[Indice.xls]_EDU_FECHAMES_JU_87"/>
      <sheetName val="[Indice.xls]_L_EDU_FECHAMES__87"/>
      <sheetName val="StartTime"/>
      <sheetName val="[Indice.xls]__csimedya_my_sh_99"/>
      <sheetName val="[Indice.xls]_EDU_FECHAMES_JU_88"/>
      <sheetName val="[Indice.xls]_L_EDU_FECHAMES__88"/>
    </sheetNames>
    <definedNames>
      <definedName name="Anno"/>
      <definedName name="Mese" sheetId="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">
          <cell r="B1" t="str">
            <v>FIAT AUTO SUD AFRICA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B1" t="str">
            <v>FIAT AUTO SUD AFRICA</v>
          </cell>
        </row>
      </sheetData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>
        <row r="8">
          <cell r="B8" t="str">
            <v>ASPETTI COMMERCIALI</v>
          </cell>
        </row>
      </sheetData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>
        <row r="8">
          <cell r="B8" t="str">
            <v>COMMERCIAL</v>
          </cell>
        </row>
      </sheetData>
      <sheetData sheetId="552">
        <row r="8">
          <cell r="B8" t="str">
            <v>COMMERCIAL</v>
          </cell>
        </row>
      </sheetData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ies"/>
      <sheetName val="ATV-REZ"/>
      <sheetName val="KAND-REZ"/>
      <sheetName val="SHOW-REZ"/>
      <sheetName val="STAR-REZ"/>
      <sheetName val="DIGER-REZ"/>
      <sheetName val="ATV-DEG"/>
      <sheetName val="KAND-DEG"/>
      <sheetName val="SHOW-DEG"/>
      <sheetName val="STAR-DEG"/>
      <sheetName val="DIGER-DEG"/>
      <sheetName val="Revision (3)"/>
      <sheetName val="Revision (2)"/>
      <sheetName val="SpotList (2)"/>
      <sheetName val="SpotList"/>
      <sheetName val="Prices"/>
      <sheetName val="Exchange"/>
      <sheetName val="Payments"/>
      <sheetName val="Stations"/>
      <sheetName val="BuySheet"/>
      <sheetName val="CalcSheet"/>
      <sheetName val="Revision"/>
      <sheetName val="Summary"/>
      <sheetName val="Module1"/>
      <sheetName val="Foglio1"/>
    </sheetNames>
    <sheetDataSet>
      <sheetData sheetId="0" refreshError="1">
        <row r="12">
          <cell r="A12" t="str">
            <v>Bonus</v>
          </cell>
          <cell r="K12" t="str">
            <v>Film</v>
          </cell>
        </row>
        <row r="13">
          <cell r="K13" t="str">
            <v>Kültürel</v>
          </cell>
        </row>
        <row r="14">
          <cell r="K14" t="str">
            <v>Spor</v>
          </cell>
        </row>
        <row r="15">
          <cell r="K15" t="str">
            <v>Dizi</v>
          </cell>
        </row>
        <row r="16">
          <cell r="K16" t="str">
            <v>Çocuk</v>
          </cell>
        </row>
        <row r="17">
          <cell r="K17" t="str">
            <v>Magazin</v>
          </cell>
        </row>
        <row r="18">
          <cell r="K18" t="str">
            <v>Dini</v>
          </cell>
        </row>
        <row r="19">
          <cell r="K19" t="str">
            <v>Eğlence</v>
          </cell>
        </row>
        <row r="20">
          <cell r="K20" t="str">
            <v>Haber</v>
          </cell>
        </row>
        <row r="21">
          <cell r="K21" t="str">
            <v>Diğer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1">
          <cell r="A11" t="str">
            <v>K-1</v>
          </cell>
        </row>
      </sheetData>
      <sheetData sheetId="16">
        <row r="10">
          <cell r="B10" t="str">
            <v>ATV</v>
          </cell>
        </row>
      </sheetData>
      <sheetData sheetId="17">
        <row r="11">
          <cell r="A11" t="str">
            <v>Normal</v>
          </cell>
        </row>
      </sheetData>
      <sheetData sheetId="18">
        <row r="11">
          <cell r="A11" t="str">
            <v>ATV</v>
          </cell>
        </row>
      </sheetData>
      <sheetData sheetId="19"/>
      <sheetData sheetId="20"/>
      <sheetData sheetId="21"/>
      <sheetData sheetId="22"/>
      <sheetData sheetId="23" refreshError="1"/>
      <sheetData sheetId="24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Ölçülen Özet"/>
      <sheetName val="Ölçülen Spotlist"/>
      <sheetName val="Tematik Özet"/>
      <sheetName val="Tematik Spotlist 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Ref"/>
      <sheetName val="Format"/>
      <sheetName val="Mod.A"/>
      <sheetName val="Mod.A1"/>
      <sheetName val="Mod.B"/>
      <sheetName val="Mod.B1"/>
      <sheetName val="XXXX"/>
      <sheetName val="DOLLARO"/>
      <sheetName val="copertina"/>
      <sheetName val="Indice"/>
      <sheetName val="per paese"/>
      <sheetName val="per modello"/>
      <sheetName val="JATO Worksheet - Pagina 1"/>
      <sheetName val="Guida al foglio"/>
      <sheetName val="Foglio3"/>
      <sheetName val="GENERALE"/>
      <sheetName val="RIEPILOGO (2)"/>
      <sheetName val="stile &quot;93 €&quot;"/>
      <sheetName val="stile ULTERIORI"/>
      <sheetName val="riepilogo CON DETTAGLIO"/>
      <sheetName val="DETTAGLIO ULTERIORI"/>
      <sheetName val="CROMI INTERNI "/>
      <sheetName val="198 CAMBIO M32 SU 1.4 T 120"/>
      <sheetName val="ODM stile"/>
      <sheetName val="dettaglio"/>
      <sheetName val="Foglio1"/>
      <sheetName val="Foglio2"/>
      <sheetName val="DUCATO"/>
      <sheetName val="33&quot;"/>
      <sheetName val="Copies"/>
      <sheetName val="Kategori Dizi kanalları"/>
      <sheetName val="Hasar Hattı"/>
      <sheetName val="VENDAS"/>
      <sheetName val="ATV"/>
      <sheetName val="Indice.xls"/>
      <sheetName val="SGV"/>
      <sheetName val="Ekim"/>
      <sheetName val="Kategoriler"/>
      <sheetName val="TRT FM"/>
      <sheetName val="Conta transição_comer"/>
      <sheetName val="86_NOVEMBRO"/>
      <sheetName val="89_NOVEMBRO"/>
      <sheetName val="87_NOVEMBRO"/>
      <sheetName val="Analise_BDG"/>
      <sheetName val="Analise_F6+6"/>
      <sheetName val="Plan4"/>
      <sheetName val="Analise_F10+2"/>
      <sheetName val="FLASH"/>
      <sheetName val="comparativo_Jan_fev"/>
      <sheetName val="EXPLICMES"/>
      <sheetName val="EXPLICANO_3+9"/>
      <sheetName val="EXPLICANO"/>
      <sheetName val="EXPLICANO_BDG"/>
      <sheetName val="EXPLICABERTO"/>
      <sheetName val="FLASH_6+6"/>
      <sheetName val="Juridico"/>
      <sheetName val="CR"/>
      <sheetName val="DAF"/>
      <sheetName val="Diret."/>
      <sheetName val="Comparativo (2)"/>
      <sheetName val="Strfuncionamento.2004"/>
      <sheetName val="86"/>
      <sheetName val="89"/>
      <sheetName val="87"/>
      <sheetName val="Strfuncionamento.2005"/>
      <sheetName val="Gazete teaser"/>
      <sheetName val="Programlar"/>
      <sheetName val=""/>
      <sheetName val="2.대외공문"/>
      <sheetName val="Macro1"/>
      <sheetName val="Macro2"/>
      <sheetName val="Vers_TOP(16)"/>
      <sheetName val="ALBERINIITADIESEL"/>
      <sheetName val="NORME"/>
      <sheetName val="ECOM Periodique"/>
      <sheetName val="All"/>
      <sheetName val="DB"/>
      <sheetName val="Sayfa4"/>
      <sheetName val="prova"/>
      <sheetName val="Prijzen"/>
      <sheetName val="PA_Weighted"/>
      <sheetName val="Instructions"/>
      <sheetName val="Assumptions"/>
      <sheetName val="Input"/>
      <sheetName val="Cost Impact PA Brand"/>
      <sheetName val="PCO v PA Cost Weighted"/>
      <sheetName val="PCO v PA Cost Weighted KM"/>
      <sheetName val="Details by Model in Euro"/>
      <sheetName val="Cost Impact PA Industrial"/>
      <sheetName val="Milestone vs PA - KM 1"/>
      <sheetName val="Milestone vs PA - KM 2"/>
      <sheetName val="Milestone vs PA - KM 3"/>
      <sheetName val="Milestone vs PA - KM 4"/>
      <sheetName val="Milestone vs PA - KM 5"/>
      <sheetName val="Milestone vs PA - KM 6"/>
      <sheetName val="Milestone vs PA - KM 7"/>
      <sheetName val="Milestone vs PA - KM 8"/>
      <sheetName val="Milestone vs PA - KM 9"/>
      <sheetName val="Milestone vs PA - KM 10"/>
      <sheetName val="Milestone vs PA - KM 11"/>
      <sheetName val="Milestone vs PA - KM 12"/>
      <sheetName val="Milestone vs PA - KM 13"/>
      <sheetName val="Milestone vs PA - KM 14"/>
      <sheetName val="Milestone vs PA - KM 15"/>
      <sheetName val="Milestone vs PA - KM 16"/>
      <sheetName val="Form_8"/>
      <sheetName val="KM Summary PA - backup"/>
      <sheetName val="KM SummaryTC - backup"/>
      <sheetName val="2007"/>
      <sheetName val="2008"/>
      <sheetName val="2009"/>
      <sheetName val="MACRO SETTING"/>
      <sheetName val="IN425C 1B 437 02"/>
      <sheetName val="IN423R 1C 433 01"/>
      <sheetName val="IN425R 1D 433 01"/>
      <sheetName val="IN422C 1D 100 04"/>
      <sheetName val="IN422C 1B 120 04"/>
      <sheetName val="IN423C 1B 145 14"/>
      <sheetName val="IN42N0 1A 120 04"/>
      <sheetName val="IN43N0 1A 140 14"/>
      <sheetName val="IN44N0 1A 140 14"/>
      <sheetName val="IN45N0 1A 140 14"/>
      <sheetName val="IN424C 1D 145 14"/>
      <sheetName val="IN425C 1C 145 14"/>
      <sheetName val="IN45N0 1B 501 06"/>
      <sheetName val="JC077C 1B 780 02"/>
      <sheetName val="JC095R 1A 100 01"/>
      <sheetName val="KS95C4 1A 781 02"/>
      <sheetName val="Cost Impact PI"/>
      <sheetName val="Input - Costs"/>
      <sheetName val="3230B.20AA.01.27 Active 1.4 TRB"/>
      <sheetName val="Mod49 compatto"/>
      <sheetName val="Gest 02"/>
      <sheetName val="ALBERINI GAS"/>
      <sheetName val="EUR GM"/>
      <sheetName val="Mercati&gt;6"/>
      <sheetName val="\sudafrica\Sudafrica 2002\sud a"/>
      <sheetName val="Base"/>
      <sheetName val="IND9899"/>
      <sheetName val="ALTRI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NPV"/>
      <sheetName val="ANADISP 99"/>
      <sheetName val="riepilogo 06"/>
      <sheetName val="PO"/>
      <sheetName val="Lead"/>
      <sheetName val="Standartwerte"/>
      <sheetName val="Essbase"/>
      <sheetName val="Riepilogo"/>
      <sheetName val="BONUS PROP"/>
      <sheetName val="\\$NDS\.PCF_WORK.PCF.DAF.FIASA\"/>
      <sheetName val="\\reganzani\video\operational\T"/>
      <sheetName val="\Users\emret\AppData\Local\Micr"/>
      <sheetName val="\\192.168.1.254\2013\F\Users\em"/>
      <sheetName val="\\192.168.1.254\2013\Users\hayd"/>
      <sheetName val="\\192.168.1.254\2013\L\EDU\FECH"/>
      <sheetName val="\DBI\2011\mediamax\reckit benck"/>
      <sheetName val="SOS_SOV"/>
      <sheetName val="TOPLAM YATIRIM"/>
      <sheetName val="TV YATIRIMI"/>
      <sheetName val="BASIN YATIRIMI"/>
      <sheetName val="PROJE MAL.ANA DOSYA 3.AY"/>
      <sheetName val="TOTALE"/>
      <sheetName val="MacroSheet"/>
      <sheetName val="전문품의"/>
      <sheetName val="Panda"/>
      <sheetName val="9124"/>
      <sheetName val="kicker und TO"/>
      <sheetName val="[Indice.xls]_EDU_FECHAMES_JUN_2"/>
      <sheetName val="[Indice.xls]_L_EDU_FECHAMES_J_2"/>
      <sheetName val="[Indice.xls]_EDU_FECHAMES_JUN_3"/>
      <sheetName val="[Indice.xls]_L_EDU_FECHAMES_J_3"/>
      <sheetName val="[Indice.xls]_EDU_FECHAMES_JUN_4"/>
      <sheetName val="[Indice.xls]_L_EDU_FECHAMES_J_4"/>
      <sheetName val="[Indice.xls]__csimedya_my_sha_7"/>
      <sheetName val="Mod_A"/>
      <sheetName val="Mod_A1"/>
      <sheetName val="Mod_B"/>
      <sheetName val="Mod_B1"/>
      <sheetName val="per_paese"/>
      <sheetName val="per_modello"/>
      <sheetName val="JATO_Worksheet_-_Pagina_1"/>
      <sheetName val="Guida_al_foglio"/>
      <sheetName val="RIEPILOGO_(2)"/>
      <sheetName val="stile_&quot;93_€&quot;"/>
      <sheetName val="stile_ULTERIORI"/>
      <sheetName val="riepilogo_CON_DETTAGLIO"/>
      <sheetName val="DETTAGLIO_ULTERIORI"/>
      <sheetName val="CROMI_INTERNI_"/>
      <sheetName val="198_CAMBIO_M32_SU_1_4_T_120"/>
      <sheetName val="ODM_stile"/>
      <sheetName val="Conta_transição_comer"/>
      <sheetName val="Diret_"/>
      <sheetName val="Comparativo_(2)"/>
      <sheetName val="Strfuncionamento_2004"/>
      <sheetName val="Strfuncionamento_2005"/>
      <sheetName val="\\F0236715\condivisi\WINDOWS\TE"/>
      <sheetName val="LOB_prodn"/>
      <sheetName val="AG"/>
      <sheetName val="AG Calendarization"/>
      <sheetName val="CE Calendarization"/>
      <sheetName val="CE"/>
      <sheetName val="Gazete_teaser"/>
      <sheetName val="Memo Marzo"/>
      <sheetName val="CAR CASH"/>
      <sheetName val="estraz.apert.2001"/>
      <sheetName val="Cost_Impact_PA_Brand"/>
      <sheetName val="PCO_v_PA_Cost_Weighted"/>
      <sheetName val="PCO_v_PA_Cost_Weighted_KM"/>
      <sheetName val="Details_by_Model_in_Euro"/>
      <sheetName val="Cost_Impact_PA_Industrial"/>
      <sheetName val="Milestone_vs_PA_-_KM_1"/>
      <sheetName val="Milestone_vs_PA_-_KM_2"/>
      <sheetName val="Milestone_vs_PA_-_KM_3"/>
      <sheetName val="Milestone_vs_PA_-_KM_4"/>
      <sheetName val="Milestone_vs_PA_-_KM_5"/>
      <sheetName val="Milestone_vs_PA_-_KM_6"/>
      <sheetName val="Milestone_vs_PA_-_KM_7"/>
      <sheetName val="Milestone_vs_PA_-_KM_8"/>
      <sheetName val="Milestone_vs_PA_-_KM_9"/>
      <sheetName val="Milestone_vs_PA_-_KM_10"/>
      <sheetName val="Milestone_vs_PA_-_KM_11"/>
      <sheetName val="Milestone_vs_PA_-_KM_12"/>
      <sheetName val="Milestone_vs_PA_-_KM_13"/>
      <sheetName val="Milestone_vs_PA_-_KM_14"/>
      <sheetName val="Milestone_vs_PA_-_KM_15"/>
      <sheetName val="Milestone_vs_PA_-_KM_16"/>
      <sheetName val="KM_Summary_PA_-_backup"/>
      <sheetName val="KM_SummaryTC_-_backup"/>
      <sheetName val="MACRO_SETTING"/>
      <sheetName val="IN425C_1B_437_02"/>
      <sheetName val="IN423R_1C_433_01"/>
      <sheetName val="IN425R_1D_433_01"/>
      <sheetName val="IN422C_1D_100_04"/>
      <sheetName val="IN422C_1B_120_04"/>
      <sheetName val="IN423C_1B_145_14"/>
      <sheetName val="IN42N0_1A_120_04"/>
      <sheetName val="IN43N0_1A_140_14"/>
      <sheetName val="IN44N0_1A_140_14"/>
      <sheetName val="IN45N0_1A_140_14"/>
      <sheetName val="IN424C_1D_145_14"/>
      <sheetName val="IN425C_1C_145_14"/>
      <sheetName val="IN45N0_1B_501_06"/>
      <sheetName val="JC077C_1B_780_02"/>
      <sheetName val="JC095R_1A_100_01"/>
      <sheetName val="KS95C4_1A_781_02"/>
      <sheetName val="Cost_Impact_PI"/>
      <sheetName val="Input_-_Costs"/>
      <sheetName val="3230B_20AA_01_27_Active_1_4_TRB"/>
      <sheetName val="NA Ford Mgmt Sum"/>
      <sheetName val="PSTRAT."/>
      <sheetName val="MAR99"/>
      <sheetName val="Pivotf3+9_it"/>
      <sheetName val="Pivotf3+9_vc"/>
      <sheetName val="Pivotf3+9_vc_it"/>
      <sheetName val="Pivotf3+9"/>
      <sheetName val="Pivot_seg_it"/>
      <sheetName val="Pivot_seg_vc_it"/>
      <sheetName val="Pivot_mese"/>
      <sheetName val="Pivot_mese_Vc"/>
      <sheetName val="현금흐름표"/>
      <sheetName val="SUP'S PASS DOM"/>
      <sheetName val="INPUT_PO"/>
      <sheetName val="Mod_A2"/>
      <sheetName val="Mod_A11"/>
      <sheetName val="Mod_B2"/>
      <sheetName val="Mod_B11"/>
      <sheetName val="Conta_transição_comer1"/>
      <sheetName val="Diret_1"/>
      <sheetName val="Comparativo_(2)1"/>
      <sheetName val="Strfuncionamento_20041"/>
      <sheetName val="Strfuncionamento_20051"/>
      <sheetName val="per_paese1"/>
      <sheetName val="per_modello1"/>
      <sheetName val="JATO_Worksheet_-_Pagina_11"/>
      <sheetName val="Guida_al_foglio1"/>
      <sheetName val="RIEPILOGO_(2)1"/>
      <sheetName val="stile_&quot;93_€&quot;1"/>
      <sheetName val="stile_ULTERIORI1"/>
      <sheetName val="riepilogo_CON_DETTAGLIO1"/>
      <sheetName val="DETTAGLIO_ULTERIORI1"/>
      <sheetName val="CROMI_INTERNI_1"/>
      <sheetName val="198_CAMBIO_M32_SU_1_4_T_1201"/>
      <sheetName val="ODM_stile1"/>
      <sheetName val="Gazete_teaser1"/>
      <sheetName val="2_대외공문"/>
      <sheetName val="ECOM_Periodique"/>
      <sheetName val="PROJE_MAL_ANA_DOSYA_3_AY"/>
      <sheetName val="Memo_Marzo"/>
      <sheetName val="C_E__2004"/>
      <sheetName val="C_E__2005"/>
      <sheetName val="C_E__2006"/>
      <sheetName val="C_E__2007"/>
      <sheetName val="TOTALE_MERCATI"/>
      <sheetName val="riepilogo_06"/>
      <sheetName val="ANADISP_99"/>
      <sheetName val="BONUS_PROP"/>
      <sheetName val="Kategori_Dizi_kanalları"/>
      <sheetName val="Hasar_Hattı"/>
      <sheetName val="Mod49_compatto"/>
      <sheetName val="Gest_02"/>
      <sheetName val="ALBERINI_GAS"/>
      <sheetName val="EUR_GM"/>
      <sheetName val="Indice_xls"/>
      <sheetName val="TRT_FM"/>
      <sheetName val="\EDU\FECHAMES\JUN99\Indice_xls"/>
      <sheetName val="CAR_CASH"/>
      <sheetName val="estraz_apert_2001"/>
      <sheetName val="Rules"/>
      <sheetName val="_EDU_FECHAMES_JUN99_Indice.xls"/>
      <sheetName val="__F0236715_condivisi_WINDOWS_TE"/>
      <sheetName val="spares timing"/>
      <sheetName val="MISforgeforging"/>
      <sheetName val="Cost_Redn"/>
      <sheetName val="MAREA"/>
      <sheetName val="Marea MY"/>
      <sheetName val="ULYSSE"/>
      <sheetName val="Brava-o MY"/>
      <sheetName val="SEI"/>
      <sheetName val="MULTIPLA"/>
      <sheetName val="P.TO"/>
      <sheetName val="COUPE"/>
      <sheetName val="MENSUAL"/>
      <sheetName val="sch. prodotto sed. ant."/>
      <sheetName val="EST-REP=AMP"/>
      <sheetName val="Conta transi??o_comer"/>
      <sheetName val="FGACODE"/>
      <sheetName val="personali"/>
      <sheetName val="[Indice.xls]__csimedya_my_sha_2"/>
      <sheetName val="[Indice.xls]__csimedya_my_sha_3"/>
      <sheetName val="[Indice.xls]__csimedya_my_sha_4"/>
      <sheetName val="[Indice.xls]__csimedya_my_sha_5"/>
      <sheetName val="[Indice.xls]__csimedya_my_sha_6"/>
      <sheetName val="\sudafrica\Sudafrica_2002\sud_a"/>
      <sheetName val="\\192_168_1_254\2013\F\Users\em"/>
      <sheetName val="\\192_168_1_254\2013\Users\hayd"/>
      <sheetName val="\\192_168_1_254\2013\L\EDU\FECH"/>
      <sheetName val="\\$NDS\_PCF_WORK_PCF_DAF_FIASA\"/>
      <sheetName val="\DBI\2011\mediamax\reckit_benck"/>
      <sheetName val="\L\EDU\FECHAMES\JUN99\Indice_xl"/>
      <sheetName val="TOPLAM_YATIRIM"/>
      <sheetName val="TV_YATIRIMI"/>
      <sheetName val="BASIN_YATIRIMI"/>
      <sheetName val="PlanSheet"/>
      <sheetName val="Conta_transi??o_comer"/>
      <sheetName val="Conta_transi??o_comer1"/>
      <sheetName val="\\Server\ortak\Volumes\ORTAK\T1"/>
      <sheetName val="[Indice.xls]//csimedya-my.share"/>
      <sheetName val="[Indice.xls]\EDU\FECHAMES\JUN99"/>
      <sheetName val="[Indice.xls]\L\EDU\FECHAMES\JUN"/>
      <sheetName val="[Indice.xls]__csimedya_my_sha_8"/>
      <sheetName val="[Indice.xls]__csimedya_my_sha_9"/>
      <sheetName val="[Indice.xls]__csimedya_my_sh_10"/>
      <sheetName val="[Indice.xls]__csimedya_my_sh_11"/>
      <sheetName val="Cross-Shop"/>
      <sheetName val="[Indice.xls]_EDU_FECHAMES_JU_16"/>
      <sheetName val="[Indice.xls]_L_EDU_FECHAMES__16"/>
      <sheetName val="[Indice.xls]__csimedya_my_sh_18"/>
      <sheetName val="1998"/>
      <sheetName val="[Indice.xls]_EDU_FECHAMES_JUN_8"/>
      <sheetName val="[Indice.xls]_L_EDU_FECHAMES_J_8"/>
      <sheetName val="[Indice.xls]_EDU_FECHAMES_JUN_7"/>
      <sheetName val="[Indice.xls]_L_EDU_FECHAMES_J_7"/>
      <sheetName val="[Indice.xls]_EDU_FECHAMES_JUN_6"/>
      <sheetName val="[Indice.xls]_L_EDU_FECHAMES_J_6"/>
      <sheetName val="[Indice.xls]_EDU_FECHAMES_JUN_5"/>
      <sheetName val="[Indice.xls]_L_EDU_FECHAMES_J_5"/>
      <sheetName val="[Indice.xls]_EDU_FECHAMES_JU_10"/>
      <sheetName val="[Indice.xls]_L_EDU_FECHAMES__10"/>
      <sheetName val="[Indice.xls]_EDU_FECHAMES_JUN_9"/>
      <sheetName val="[Indice.xls]_L_EDU_FECHAMES_J_9"/>
      <sheetName val="[Indice.xls]_EDU_FECHAMES_JU_12"/>
      <sheetName val="[Indice.xls]_L_EDU_FECHAMES__12"/>
      <sheetName val="[Indice.xls]__csimedya_my_sh_13"/>
      <sheetName val="[Indice.xls]__csimedya_my_sh_12"/>
      <sheetName val="[Indice.xls]__csimedya_my_sh_14"/>
      <sheetName val="[Indice.xls]__csimedya_my_sh_15"/>
      <sheetName val="[Indice.xls]_EDU_FECHAMES_JU_11"/>
      <sheetName val="[Indice.xls]_L_EDU_FECHAMES__11"/>
      <sheetName val="[Indice.xls]__csimedya_my_sh_16"/>
      <sheetName val="Köprü"/>
      <sheetName val="[Indice.xls]_EDU_FECHAMES_JU_13"/>
      <sheetName val="[Indice.xls]_L_EDU_FECHAMES__13"/>
      <sheetName val="[Indice.xls]_EDU_FECHAMES_JU_14"/>
      <sheetName val="[Indice.xls]_L_EDU_FECHAMES__14"/>
      <sheetName val="[Indice.xls]__csimedya_my_sh_17"/>
      <sheetName val="[Indice.xls][Indice.xls][Indice"/>
      <sheetName val="[Indice.xls]\sudafrica\Sudafric"/>
      <sheetName val="[Indice.xls]\\$NDS\.PCF_WORK.PC"/>
      <sheetName val="[Indice.xls]\\reganzani\video\o"/>
      <sheetName val="[Indice.xls]\Users\emret\AppDat"/>
      <sheetName val="[Indice.xls]\\192.168.1.254\201"/>
      <sheetName val="[Indice.xls]\DBI\2011\mediamax\"/>
      <sheetName val="[Indice.xls]\\192_168_1_254\201"/>
      <sheetName val="[Indice.xls]\\$NDS\_PCF_WORK_PC"/>
      <sheetName val="[Indice.xls]\\F0236715\condivis"/>
      <sheetName val="[Indice.xls]\\Server\ortak\Volu"/>
      <sheetName val="[Indice.xls][Indice.xls]\sudafr"/>
      <sheetName val="[Indice.xls][Indice.xls]\\$NDS\"/>
      <sheetName val="[Indice.xls][Indice.xls]\EDU\FE"/>
      <sheetName val="[Indice.xls][Indice.xls]\\regan"/>
      <sheetName val="[Indice.xls][Indice.xls]\Users\"/>
      <sheetName val="[Indice.xls][Indice.xls]\\192.1"/>
      <sheetName val="[Indice.xls][Indice.xls]\DBI\20"/>
      <sheetName val="[Indice.xls][Indice.xls]\L\EDU\"/>
      <sheetName val="[Indice.xls][Indice.xls]//csime"/>
      <sheetName val="[Indice.xls][Indice.xls]\\192_1"/>
      <sheetName val="[Indice.xls][Indice.xls]\\F0236"/>
      <sheetName val="[Indice.xls][Indice.xls]\\Serve"/>
      <sheetName val="D.TAKİP"/>
      <sheetName val="[Indice.xls]_EDU_FECHAMES_JU_15"/>
      <sheetName val="[Indice.xls]_L_EDU_FECHAMES__15"/>
      <sheetName val="[Indice.xls]__csimedya_my_sh_19"/>
      <sheetName val="[Indice.xls]__csimedya_my_sh_33"/>
      <sheetName val="[Indice.xls]__csimedya_my_sh_20"/>
      <sheetName val="[Indice.xls]__csimedya_my_sh_24"/>
      <sheetName val="[Indice.xls]__csimedya_my_sh_22"/>
      <sheetName val="[Indice.xls]__csimedya_my_sh_21"/>
      <sheetName val="[Indice.xls]__csimedya_my_sh_23"/>
      <sheetName val="[Indice.xls]__csimedya_my_sh_25"/>
      <sheetName val="[Indice.xls]__csimedya_my_sh_27"/>
      <sheetName val="[Indice.xls]__csimedya_my_sh_26"/>
      <sheetName val="[Indice.xls]__csimedya_my_sh_28"/>
      <sheetName val="[Indice.xls]__csimedya_my_sh_29"/>
      <sheetName val="[Indice.xls]__csimedya_my_sh_30"/>
      <sheetName val="[Indice.xls]__csimedya_my_sh_31"/>
      <sheetName val="[Indice.xls]__csimedya_my_sh_32"/>
      <sheetName val="[Indice.xls]__csimedya_my_sh_35"/>
      <sheetName val="[Indice.xls]__csimedya_my_sh_34"/>
      <sheetName val="[Indice.xls]__csimedya_my_sh_36"/>
      <sheetName val="[Indice.xls]__csimedya_my_sh_37"/>
      <sheetName val="[Indice.xls]__csimedya_my_sh_39"/>
      <sheetName val="[Indice.xls]__csimedya_my_sh_38"/>
      <sheetName val="[Indice.xls]__csimedya_my_sh_42"/>
      <sheetName val="[Indice.xls]__csimedya_my_sh_40"/>
      <sheetName val="[Indice.xls]__csimedya_my_sh_41"/>
      <sheetName val="[Indice.xls]__csimedya_my_sh_47"/>
      <sheetName val="[Indice.xls]__csimedya_my_sh_43"/>
      <sheetName val="[Indice.xls]__csimedya_my_sh_44"/>
      <sheetName val="[Indice.xls]__csimedya_my_sh_45"/>
      <sheetName val="[Indice.xls]__csimedya_my_sh_46"/>
      <sheetName val="[Indice.xls]__csimedya_my_sh_51"/>
      <sheetName val="[Indice.xls]__csimedya_my_sh_48"/>
      <sheetName val="[Indice.xls]__csimedya_my_sh_49"/>
      <sheetName val="[Indice.xls]__csimedya_my_sh_50"/>
      <sheetName val="[Indice.xls]__csimedya_my_sh_52"/>
      <sheetName val="[Indice.xls]__csimedya_my_sh_53"/>
      <sheetName val="[Indice.xls]__csimedya_my_sh_54"/>
      <sheetName val="[Indice.xls]__csimedya_my_sh_55"/>
      <sheetName val="[Indice.xls]__csimedya_my_sh_60"/>
      <sheetName val="[Indice.xls]__csimedya_my_sh_56"/>
      <sheetName val="[Indice.xls]__csimedya_my_sh_57"/>
      <sheetName val="[Indice.xls]__csimedya_my_sh_58"/>
      <sheetName val="[Indice.xls]__csimedya_my_sh_59"/>
      <sheetName val="[Indice.xls]__csimedya_my_sh_61"/>
      <sheetName val="[Indice.xls]__csimedya_my_sh_64"/>
      <sheetName val="[Indice.xls]__csimedya_my_sh_62"/>
      <sheetName val="[Indice.xls]__csimedya_my_sh_63"/>
      <sheetName val="[Indice.xls]__csimedya_my_sh_68"/>
      <sheetName val="[Indice.xls]__csimedya_my_sh_65"/>
      <sheetName val="[Indice.xls]__csimedya_my_sh_66"/>
      <sheetName val="[Indice.xls]__csimedya_my_sh_67"/>
      <sheetName val="[Indice.xls]__csimedya_my_sh_73"/>
      <sheetName val="[Indice.xls]__csimedya_my_sh_69"/>
      <sheetName val="[Indice.xls]__csimedya_my_sh_70"/>
      <sheetName val="[Indice.xls]__csimedya_my_sh_71"/>
      <sheetName val="[Indice.xls]__csimedya_my_sh_72"/>
      <sheetName val="[Indice.xls]__csimedya_my_sh_74"/>
      <sheetName val="[Indice.xls]__csimedya_my_sh_80"/>
      <sheetName val="[Indice.xls]__csimedya_my_sh_78"/>
      <sheetName val="[Indice.xls]__csimedya_my_sh_75"/>
      <sheetName val="[Indice.xls]__csimedya_my_sh_76"/>
      <sheetName val="[Indice.xls]__csimedya_my_sh_77"/>
      <sheetName val="[Indice.xls]__csimedya_my_sh_79"/>
      <sheetName val="[Indice.xls]__csimedya_my_sh_86"/>
      <sheetName val="[Indice.xls]__csimedya_my_sh_81"/>
      <sheetName val="[Indice.xls]__csimedya_my_sh_82"/>
      <sheetName val="[Indice.xls]__csimedya_my_sh_83"/>
      <sheetName val="[Indice.xls]__csimedya_my_sh_84"/>
      <sheetName val="[Indice.xls]__csimedya_my_sh_85"/>
      <sheetName val="[Indice.xls]__csimedya_my_sh_87"/>
      <sheetName val="[Indice.xls]_EDU_FECHAMES_JU_21"/>
      <sheetName val="[Indice.xls]_L_EDU_FECHAMES__21"/>
      <sheetName val="[Indice.xls]__csimedya_my_sh_88"/>
      <sheetName val="[Indice.xls]_EDU_FECHAMES_JU_18"/>
      <sheetName val="[Indice.xls]_L_EDU_FECHAMES__18"/>
      <sheetName val="[Indice.xls]_EDU_FECHAMES_JU_17"/>
      <sheetName val="[Indice.xls]_L_EDU_FECHAMES__17"/>
      <sheetName val="[Indice.xls]_EDU_FECHAMES_JU_19"/>
      <sheetName val="[Indice.xls]_L_EDU_FECHAMES__19"/>
      <sheetName val="[Indice.xls]_EDU_FECHAMES_JU_20"/>
      <sheetName val="[Indice.xls]_L_EDU_FECHAMES__20"/>
      <sheetName val="의견종합서"/>
      <sheetName val="H2412"/>
      <sheetName val="AMMORTAMENTI CESPITI DA TARGARE"/>
      <sheetName val="Settings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Input Stock"/>
      <sheetName val="Spider Preiseingabe"/>
      <sheetName val="Cost_Impact_PA_Brand1"/>
      <sheetName val="PCO_v_PA_Cost_Weighted1"/>
      <sheetName val="PCO_v_PA_Cost_Weighted_KM1"/>
      <sheetName val="Details_by_Model_in_Euro1"/>
      <sheetName val="Cost_Impact_PA_Industrial1"/>
      <sheetName val="Milestone_vs_PA_-_KM_17"/>
      <sheetName val="Milestone_vs_PA_-_KM_21"/>
      <sheetName val="Milestone_vs_PA_-_KM_31"/>
      <sheetName val="Milestone_vs_PA_-_KM_41"/>
      <sheetName val="Milestone_vs_PA_-_KM_51"/>
      <sheetName val="Milestone_vs_PA_-_KM_61"/>
      <sheetName val="Milestone_vs_PA_-_KM_71"/>
      <sheetName val="Milestone_vs_PA_-_KM_81"/>
      <sheetName val="Milestone_vs_PA_-_KM_91"/>
      <sheetName val="Milestone_vs_PA_-_KM_101"/>
      <sheetName val="Milestone_vs_PA_-_KM_111"/>
      <sheetName val="Milestone_vs_PA_-_KM_121"/>
      <sheetName val="Milestone_vs_PA_-_KM_131"/>
      <sheetName val="Milestone_vs_PA_-_KM_141"/>
      <sheetName val="Milestone_vs_PA_-_KM_151"/>
      <sheetName val="Milestone_vs_PA_-_KM_161"/>
      <sheetName val="KM_Summary_PA_-_backup1"/>
      <sheetName val="KM_SummaryTC_-_backup1"/>
      <sheetName val="MACRO_SETTING1"/>
      <sheetName val="IN425C_1B_437_021"/>
      <sheetName val="IN423R_1C_433_011"/>
      <sheetName val="IN425R_1D_433_011"/>
      <sheetName val="IN422C_1D_100_041"/>
      <sheetName val="IN422C_1B_120_041"/>
      <sheetName val="IN423C_1B_145_141"/>
      <sheetName val="IN42N0_1A_120_041"/>
      <sheetName val="IN43N0_1A_140_141"/>
      <sheetName val="IN44N0_1A_140_141"/>
      <sheetName val="IN45N0_1A_140_141"/>
      <sheetName val="IN424C_1D_145_141"/>
      <sheetName val="IN425C_1C_145_141"/>
      <sheetName val="IN45N0_1B_501_061"/>
      <sheetName val="JC077C_1B_780_021"/>
      <sheetName val="JC095R_1A_100_011"/>
      <sheetName val="KS95C4_1A_781_021"/>
      <sheetName val="Cost_Impact_PI1"/>
      <sheetName val="Input_-_Costs1"/>
      <sheetName val="3230B_20AA_01_27_Active_1_4_TR1"/>
      <sheetName val="Kategori_Dizi_kanalları1"/>
      <sheetName val="Mod49_compatto1"/>
      <sheetName val="Gest_021"/>
      <sheetName val="ALBERINI_GAS1"/>
      <sheetName val="EUR_GM1"/>
      <sheetName val="2_대외공문1"/>
      <sheetName val="Hasar_Hattı1"/>
      <sheetName val="Indice_xls1"/>
      <sheetName val="NA_Ford_Mgmt_Sum"/>
      <sheetName val="PSTRAT_"/>
      <sheetName val="Mod_A3"/>
      <sheetName val="Mod_A12"/>
      <sheetName val="Mod_B3"/>
      <sheetName val="Mod_B12"/>
      <sheetName val="per_paese2"/>
      <sheetName val="per_modello2"/>
      <sheetName val="JATO_Worksheet_-_Pagina_12"/>
      <sheetName val="Guida_al_foglio2"/>
      <sheetName val="RIEPILOGO_(2)2"/>
      <sheetName val="stile_&quot;93_€&quot;2"/>
      <sheetName val="stile_ULTERIORI2"/>
      <sheetName val="riepilogo_CON_DETTAGLIO2"/>
      <sheetName val="DETTAGLIO_ULTERIORI2"/>
      <sheetName val="CROMI_INTERNI_2"/>
      <sheetName val="198_CAMBIO_M32_SU_1_4_T_1202"/>
      <sheetName val="ODM_stile2"/>
      <sheetName val="Cost_Impact_PA_Brand2"/>
      <sheetName val="PCO_v_PA_Cost_Weighted2"/>
      <sheetName val="PCO_v_PA_Cost_Weighted_KM2"/>
      <sheetName val="Details_by_Model_in_Euro2"/>
      <sheetName val="Cost_Impact_PA_Industrial2"/>
      <sheetName val="Milestone_vs_PA_-_KM_18"/>
      <sheetName val="Milestone_vs_PA_-_KM_22"/>
      <sheetName val="Milestone_vs_PA_-_KM_32"/>
      <sheetName val="Milestone_vs_PA_-_KM_42"/>
      <sheetName val="Milestone_vs_PA_-_KM_52"/>
      <sheetName val="Milestone_vs_PA_-_KM_62"/>
      <sheetName val="Milestone_vs_PA_-_KM_72"/>
      <sheetName val="Milestone_vs_PA_-_KM_82"/>
      <sheetName val="Milestone_vs_PA_-_KM_92"/>
      <sheetName val="Milestone_vs_PA_-_KM_102"/>
      <sheetName val="Milestone_vs_PA_-_KM_112"/>
      <sheetName val="Milestone_vs_PA_-_KM_122"/>
      <sheetName val="Milestone_vs_PA_-_KM_132"/>
      <sheetName val="Milestone_vs_PA_-_KM_142"/>
      <sheetName val="Milestone_vs_PA_-_KM_152"/>
      <sheetName val="Milestone_vs_PA_-_KM_162"/>
      <sheetName val="KM_Summary_PA_-_backup2"/>
      <sheetName val="KM_SummaryTC_-_backup2"/>
      <sheetName val="MACRO_SETTING2"/>
      <sheetName val="IN425C_1B_437_022"/>
      <sheetName val="IN423R_1C_433_012"/>
      <sheetName val="IN425R_1D_433_012"/>
      <sheetName val="IN422C_1D_100_042"/>
      <sheetName val="IN422C_1B_120_042"/>
      <sheetName val="IN423C_1B_145_142"/>
      <sheetName val="IN42N0_1A_120_042"/>
      <sheetName val="IN43N0_1A_140_142"/>
      <sheetName val="IN44N0_1A_140_142"/>
      <sheetName val="IN45N0_1A_140_142"/>
      <sheetName val="IN424C_1D_145_142"/>
      <sheetName val="IN425C_1C_145_142"/>
      <sheetName val="IN45N0_1B_501_062"/>
      <sheetName val="JC077C_1B_780_022"/>
      <sheetName val="JC095R_1A_100_012"/>
      <sheetName val="KS95C4_1A_781_022"/>
      <sheetName val="Cost_Impact_PI2"/>
      <sheetName val="Input_-_Costs2"/>
      <sheetName val="3230B_20AA_01_27_Active_1_4_TR2"/>
      <sheetName val="Kategori_Dizi_kanalları2"/>
      <sheetName val="Mod49_compatto2"/>
      <sheetName val="Gest_022"/>
      <sheetName val="ALBERINI_GAS2"/>
      <sheetName val="EUR_GM2"/>
      <sheetName val="2_대외공문2"/>
      <sheetName val="Hasar_Hattı2"/>
      <sheetName val="Indice_xls2"/>
      <sheetName val="NA_Ford_Mgmt_Sum1"/>
      <sheetName val="ECOM_Periodique1"/>
      <sheetName val="C_E__20041"/>
      <sheetName val="C_E__20051"/>
      <sheetName val="C_E__20061"/>
      <sheetName val="C_E__20071"/>
      <sheetName val="TOTALE_MERCATI1"/>
      <sheetName val="ANADISP_991"/>
      <sheetName val="riepilogo_061"/>
      <sheetName val="BONUS_PROP1"/>
      <sheetName val="\EDU\FECHAMES\JUN99\Indice_xls1"/>
      <sheetName val="TRT_FM1"/>
      <sheetName val="PROJE_MAL_ANA_DOSYA_3_AY1"/>
      <sheetName val="CAR_CASH1"/>
      <sheetName val="Memo_Marzo1"/>
      <sheetName val="PSTRAT_1"/>
      <sheetName val="Conta_transição_comer2"/>
      <sheetName val="Diret_2"/>
      <sheetName val="Comparativo_(2)2"/>
      <sheetName val="Strfuncionamento_20042"/>
      <sheetName val="Strfuncionamento_20052"/>
      <sheetName val="Gazete_teaser2"/>
      <sheetName val="AG_Calendarization"/>
      <sheetName val="CE_Calendarization"/>
      <sheetName val="estraz_apert_20011"/>
      <sheetName val="sch__prodotto_sed__ant_"/>
      <sheetName val="Conta_transi??o_comer2"/>
      <sheetName val="SUP'S_PASS_DOM"/>
      <sheetName val="_EDU_FECHAMES_JUN99_Indice_xls"/>
      <sheetName val="spares_timing"/>
      <sheetName val="Marea_MY"/>
      <sheetName val="Brava-o_MY"/>
      <sheetName val="P_TO"/>
      <sheetName val="OPT_xxx"/>
      <sheetName val="Transport_I"/>
      <sheetName val="CMU_CR"/>
      <sheetName val="CMU_SR"/>
      <sheetName val="Input_Stock"/>
      <sheetName val="AMMORTAMENTI_CESPITI_DA_TARGARE"/>
      <sheetName val="Spider_Preiseingabe"/>
      <sheetName val="Mod_A4"/>
      <sheetName val="Mod_A13"/>
      <sheetName val="Mod_B4"/>
      <sheetName val="Mod_B13"/>
      <sheetName val="per_paese3"/>
      <sheetName val="per_modello3"/>
      <sheetName val="JATO_Worksheet_-_Pagina_13"/>
      <sheetName val="Guida_al_foglio3"/>
      <sheetName val="RIEPILOGO_(2)3"/>
      <sheetName val="stile_&quot;93_€&quot;3"/>
      <sheetName val="stile_ULTERIORI3"/>
      <sheetName val="riepilogo_CON_DETTAGLIO3"/>
      <sheetName val="DETTAGLIO_ULTERIORI3"/>
      <sheetName val="CROMI_INTERNI_3"/>
      <sheetName val="198_CAMBIO_M32_SU_1_4_T_1203"/>
      <sheetName val="ODM_stile3"/>
      <sheetName val="Conta_transição_comer3"/>
      <sheetName val="Diret_3"/>
      <sheetName val="Comparativo_(2)3"/>
      <sheetName val="Strfuncionamento_20043"/>
      <sheetName val="Strfuncionamento_20053"/>
      <sheetName val="Gazete_teaser3"/>
      <sheetName val="ECOM_Periodique2"/>
      <sheetName val="C_E__20042"/>
      <sheetName val="C_E__20052"/>
      <sheetName val="C_E__20062"/>
      <sheetName val="C_E__20072"/>
      <sheetName val="TOTALE_MERCATI2"/>
      <sheetName val="ANADISP_992"/>
      <sheetName val="riepilogo_062"/>
      <sheetName val="BONUS_PROP2"/>
      <sheetName val="TRT_FM2"/>
      <sheetName val="\EDU\FECHAMES\JUN99\Indice_xls2"/>
      <sheetName val="PROJE_MAL_ANA_DOSYA_3_AY2"/>
      <sheetName val="CAR_CASH2"/>
      <sheetName val="Memo_Marzo2"/>
      <sheetName val="AG_Calendarization1"/>
      <sheetName val="CE_Calendarization1"/>
      <sheetName val="estraz_apert_20012"/>
      <sheetName val="sch__prodotto_sed__ant_1"/>
      <sheetName val="Conta_transi??o_comer3"/>
      <sheetName val="Cons_p_6m"/>
      <sheetName val="Obt_a_6m"/>
      <sheetName val="Marea_MY1"/>
      <sheetName val="Brava-o_MY1"/>
      <sheetName val="P_TO1"/>
      <sheetName val="Audit B"/>
      <sheetName val="Extras!"/>
      <sheetName val="COSINCR"/>
      <sheetName val="COSMAN"/>
      <sheetName val="Reduzierter CBD"/>
      <sheetName val="Mod_A5"/>
      <sheetName val="Mod_A14"/>
      <sheetName val="Mod_B5"/>
      <sheetName val="Mod_B14"/>
      <sheetName val="per_paese4"/>
      <sheetName val="per_modello4"/>
      <sheetName val="JATO_Worksheet_-_Pagina_14"/>
      <sheetName val="Guida_al_foglio4"/>
      <sheetName val="RIEPILOGO_(2)4"/>
      <sheetName val="stile_&quot;93_€&quot;4"/>
      <sheetName val="stile_ULTERIORI4"/>
      <sheetName val="riepilogo_CON_DETTAGLIO4"/>
      <sheetName val="DETTAGLIO_ULTERIORI4"/>
      <sheetName val="CROMI_INTERNI_4"/>
      <sheetName val="198_CAMBIO_M32_SU_1_4_T_1204"/>
      <sheetName val="ODM_stile4"/>
      <sheetName val="Cost_Impact_PA_Brand3"/>
      <sheetName val="PCO_v_PA_Cost_Weighted3"/>
      <sheetName val="PCO_v_PA_Cost_Weighted_KM3"/>
      <sheetName val="Details_by_Model_in_Euro3"/>
      <sheetName val="Cost_Impact_PA_Industrial3"/>
      <sheetName val="Milestone_vs_PA_-_KM_19"/>
      <sheetName val="Milestone_vs_PA_-_KM_23"/>
      <sheetName val="Milestone_vs_PA_-_KM_33"/>
      <sheetName val="Milestone_vs_PA_-_KM_43"/>
      <sheetName val="Milestone_vs_PA_-_KM_53"/>
      <sheetName val="Milestone_vs_PA_-_KM_63"/>
      <sheetName val="Milestone_vs_PA_-_KM_73"/>
      <sheetName val="Milestone_vs_PA_-_KM_83"/>
      <sheetName val="Milestone_vs_PA_-_KM_93"/>
      <sheetName val="Milestone_vs_PA_-_KM_103"/>
      <sheetName val="Milestone_vs_PA_-_KM_113"/>
      <sheetName val="Milestone_vs_PA_-_KM_123"/>
      <sheetName val="Milestone_vs_PA_-_KM_133"/>
      <sheetName val="Milestone_vs_PA_-_KM_143"/>
      <sheetName val="Milestone_vs_PA_-_KM_153"/>
      <sheetName val="Milestone_vs_PA_-_KM_163"/>
      <sheetName val="KM_Summary_PA_-_backup3"/>
      <sheetName val="KM_SummaryTC_-_backup3"/>
      <sheetName val="MACRO_SETTING3"/>
      <sheetName val="IN425C_1B_437_023"/>
      <sheetName val="IN423R_1C_433_013"/>
      <sheetName val="IN425R_1D_433_013"/>
      <sheetName val="IN422C_1D_100_043"/>
      <sheetName val="IN422C_1B_120_043"/>
      <sheetName val="IN423C_1B_145_143"/>
      <sheetName val="IN42N0_1A_120_043"/>
      <sheetName val="IN43N0_1A_140_143"/>
      <sheetName val="IN44N0_1A_140_143"/>
      <sheetName val="IN45N0_1A_140_143"/>
      <sheetName val="IN424C_1D_145_143"/>
      <sheetName val="IN425C_1C_145_143"/>
      <sheetName val="IN45N0_1B_501_063"/>
      <sheetName val="JC077C_1B_780_023"/>
      <sheetName val="JC095R_1A_100_013"/>
      <sheetName val="KS95C4_1A_781_023"/>
      <sheetName val="Cost_Impact_PI3"/>
      <sheetName val="Input_-_Costs3"/>
      <sheetName val="3230B_20AA_01_27_Active_1_4_TR3"/>
      <sheetName val="Kategori_Dizi_kanalları3"/>
      <sheetName val="2_대외공문3"/>
      <sheetName val="Mod49_compatto3"/>
      <sheetName val="Gest_023"/>
      <sheetName val="ALBERINI_GAS3"/>
      <sheetName val="EUR_GM3"/>
      <sheetName val="Hasar_Hattı3"/>
      <sheetName val="Indice_xls3"/>
      <sheetName val="Conta_transição_comer4"/>
      <sheetName val="Diret_4"/>
      <sheetName val="Comparativo_(2)4"/>
      <sheetName val="Strfuncionamento_20044"/>
      <sheetName val="Strfuncionamento_20054"/>
      <sheetName val="Gazete_teaser4"/>
      <sheetName val="ECOM_Periodique3"/>
      <sheetName val="C_E__20043"/>
      <sheetName val="C_E__20053"/>
      <sheetName val="C_E__20063"/>
      <sheetName val="C_E__20073"/>
      <sheetName val="TOTALE_MERCATI3"/>
      <sheetName val="ANADISP_993"/>
      <sheetName val="riepilogo_063"/>
      <sheetName val="BONUS_PROP3"/>
      <sheetName val="TRT_FM3"/>
      <sheetName val="\EDU\FECHAMES\JUN99\Indice_xls3"/>
      <sheetName val="PROJE_MAL_ANA_DOSYA_3_AY3"/>
      <sheetName val="CAR_CASH3"/>
      <sheetName val="Memo_Marzo3"/>
      <sheetName val="NA_Ford_Mgmt_Sum2"/>
      <sheetName val="PSTRAT_2"/>
      <sheetName val="AG_Calendarization2"/>
      <sheetName val="CE_Calendarization2"/>
      <sheetName val="estraz_apert_20013"/>
      <sheetName val="sch__prodotto_sed__ant_2"/>
      <sheetName val="Conta_transi??o_comer4"/>
      <sheetName val="SUP'S_PASS_DOM1"/>
      <sheetName val="_EDU_FECHAMES_JUN99_Indice_xls1"/>
      <sheetName val="spares_timing1"/>
      <sheetName val="\sudafrica\Sudafrica_2002\sud_1"/>
      <sheetName val="\\$NDS\_PCF_WORK_PCF_DAF_FIASA1"/>
      <sheetName val="TOPLAM_YATIRIM1"/>
      <sheetName val="TV_YATIRIMI1"/>
      <sheetName val="BASIN_YATIRIMI1"/>
      <sheetName val="OPT_xxx1"/>
      <sheetName val="Transport_I1"/>
      <sheetName val="CMU_CR1"/>
      <sheetName val="CMU_SR1"/>
      <sheetName val="Input_Stock1"/>
      <sheetName val="AMMORTAMENTI_CESPITI_DA_TARGAR1"/>
      <sheetName val="\\192_168_1_254\2013\F\Users\e1"/>
      <sheetName val="\\192_168_1_254\2013\Users\hay1"/>
      <sheetName val="\\192_168_1_254\2013\L\EDU\FEC1"/>
      <sheetName val="\DBI\2011\mediamax\reckit_benc1"/>
      <sheetName val="\L\EDU\FECHAMES\JUN99\Indice_x1"/>
      <sheetName val="Spider_Preiseingabe1"/>
      <sheetName val="_EDU_FECHAMES_JUN99_Indice_xls2"/>
      <sheetName val="spares_timing2"/>
      <sheetName val="FXrates"/>
      <sheetName val="Receiv-liabil"/>
      <sheetName val="Cassino"/>
      <sheetName val="Actual &amp; Achieved"/>
      <sheetName val="Q2 Walk - vs PY"/>
      <sheetName val="PS &amp; IC summary page"/>
      <sheetName val="#REF"/>
      <sheetName val="[Indice.xls]_EDU_FECHAMES_JU_41"/>
      <sheetName val="[Indice.xls]_L_EDU_FECHAMES__41"/>
      <sheetName val="[Indice.xls]_EDU_FECHAMES_JU_23"/>
      <sheetName val="[Indice.xls]_L_EDU_FECHAMES__23"/>
      <sheetName val="[Indice.xls]_EDU_FECHAMES_JU_22"/>
      <sheetName val="[Indice.xls]_L_EDU_FECHAMES__22"/>
      <sheetName val="[Indice.xls]_EDU_FECHAMES_JU_24"/>
      <sheetName val="[Indice.xls]_L_EDU_FECHAMES__24"/>
      <sheetName val="[Indice.xls]_EDU_FECHAMES_JU_28"/>
      <sheetName val="[Indice.xls]_L_EDU_FECHAMES__28"/>
      <sheetName val="[Indice.xls]_EDU_FECHAMES_JU_25"/>
      <sheetName val="[Indice.xls]_L_EDU_FECHAMES__25"/>
      <sheetName val="[Indice.xls]_EDU_FECHAMES_JU_27"/>
      <sheetName val="[Indice.xls]_L_EDU_FECHAMES__27"/>
      <sheetName val="[Indice.xls]_EDU_FECHAMES_JU_26"/>
      <sheetName val="[Indice.xls]_L_EDU_FECHAMES__26"/>
      <sheetName val="[Indice.xls]_EDU_FECHAMES_JU_29"/>
      <sheetName val="[Indice.xls]_L_EDU_FECHAMES__29"/>
      <sheetName val="[Indice.xls]_EDU_FECHAMES_JU_30"/>
      <sheetName val="[Indice.xls]_L_EDU_FECHAMES__30"/>
      <sheetName val="[Indice.xls]_EDU_FECHAMES_JU_32"/>
      <sheetName val="[Indice.xls]_L_EDU_FECHAMES__32"/>
      <sheetName val="[Indice.xls]_EDU_FECHAMES_JU_31"/>
      <sheetName val="[Indice.xls]_L_EDU_FECHAMES__31"/>
      <sheetName val="[Indice.xls]_EDU_FECHAMES_JU_33"/>
      <sheetName val="[Indice.xls]_L_EDU_FECHAMES__33"/>
      <sheetName val="[Indice.xls]_EDU_FECHAMES_JU_34"/>
      <sheetName val="[Indice.xls]_L_EDU_FECHAMES__34"/>
      <sheetName val="[Indice.xls]_EDU_FECHAMES_JU_35"/>
      <sheetName val="[Indice.xls]_L_EDU_FECHAMES__35"/>
      <sheetName val="[Indice.xls]_EDU_FECHAMES_JU_38"/>
      <sheetName val="[Indice.xls]_L_EDU_FECHAMES__38"/>
      <sheetName val="[Indice.xls]_EDU_FECHAMES_JU_36"/>
      <sheetName val="[Indice.xls]_L_EDU_FECHAMES__36"/>
      <sheetName val="[Indice.xls]_EDU_FECHAMES_JU_37"/>
      <sheetName val="[Indice.xls]_L_EDU_FECHAMES__37"/>
      <sheetName val="[Indice.xls]_EDU_FECHAMES_JU_40"/>
      <sheetName val="[Indice.xls]_L_EDU_FECHAMES__40"/>
      <sheetName val="[Indice.xls]_EDU_FECHAMES_JU_39"/>
      <sheetName val="[Indice.xls]_L_EDU_FECHAMES__39"/>
      <sheetName val="[Indice.xls]_EDU_FECHAMES_JU_42"/>
      <sheetName val="[Indice.xls]_L_EDU_FECHAMES__42"/>
      <sheetName val="[Indice.xls]_EDU_FECHAMES_JU_43"/>
      <sheetName val="[Indice.xls]_L_EDU_FECHAMES__43"/>
      <sheetName val="[Indice.xls]_EDU_FECHAMES_JU_44"/>
      <sheetName val="[Indice.xls]_L_EDU_FECHAMES__44"/>
      <sheetName val="[Indice.xls]_EDU_FECHAMES_JU_45"/>
      <sheetName val="[Indice.xls]_L_EDU_FECHAMES__45"/>
      <sheetName val="[Indice.xls]__csimedya_my_sh_92"/>
      <sheetName val="[Indice.xls]_EDU_FECHAMES_JU_81"/>
      <sheetName val="[Indice.xls]_L_EDU_FECHAMES__81"/>
      <sheetName val="[Indice.xls]_EDU_FECHAMES_JU_46"/>
      <sheetName val="[Indice.xls]_L_EDU_FECHAMES__46"/>
      <sheetName val="[Indice.xls]_EDU_FECHAMES_JU_48"/>
      <sheetName val="[Indice.xls]_L_EDU_FECHAMES__48"/>
      <sheetName val="[Indice.xls]_EDU_FECHAMES_JU_47"/>
      <sheetName val="[Indice.xls]_L_EDU_FECHAMES__47"/>
      <sheetName val="[Indice.xls]_EDU_FECHAMES_JU_49"/>
      <sheetName val="[Indice.xls]_L_EDU_FECHAMES__49"/>
      <sheetName val="[Indice.xls]_EDU_FECHAMES_JU_51"/>
      <sheetName val="[Indice.xls]_L_EDU_FECHAMES__51"/>
      <sheetName val="[Indice.xls]_EDU_FECHAMES_JU_50"/>
      <sheetName val="[Indice.xls]_L_EDU_FECHAMES__50"/>
      <sheetName val="[Indice.xls]_EDU_FECHAMES_JU_57"/>
      <sheetName val="[Indice.xls]_L_EDU_FECHAMES__57"/>
      <sheetName val="[Indice.xls]_EDU_FECHAMES_JU_52"/>
      <sheetName val="[Indice.xls]_L_EDU_FECHAMES__52"/>
      <sheetName val="[Indice.xls]_EDU_FECHAMES_JU_53"/>
      <sheetName val="[Indice.xls]_L_EDU_FECHAMES__53"/>
      <sheetName val="[Indice.xls]_EDU_FECHAMES_JU_54"/>
      <sheetName val="[Indice.xls]_L_EDU_FECHAMES__54"/>
      <sheetName val="[Indice.xls]_EDU_FECHAMES_JU_55"/>
      <sheetName val="[Indice.xls]_L_EDU_FECHAMES__55"/>
      <sheetName val="[Indice.xls]_EDU_FECHAMES_JU_56"/>
      <sheetName val="[Indice.xls]_L_EDU_FECHAMES__56"/>
      <sheetName val="[Indice.xls]_EDU_FECHAMES_JU_58"/>
      <sheetName val="[Indice.xls]_L_EDU_FECHAMES__58"/>
      <sheetName val="[Indice.xls]_EDU_FECHAMES_JU_63"/>
      <sheetName val="[Indice.xls]_L_EDU_FECHAMES__63"/>
      <sheetName val="[Indice.xls]_EDU_FECHAMES_JU_59"/>
      <sheetName val="[Indice.xls]_L_EDU_FECHAMES__59"/>
      <sheetName val="[Indice.xls]_EDU_FECHAMES_JU_60"/>
      <sheetName val="[Indice.xls]_L_EDU_FECHAMES__60"/>
      <sheetName val="[Indice.xls]_EDU_FECHAMES_JU_61"/>
      <sheetName val="[Indice.xls]_L_EDU_FECHAMES__61"/>
      <sheetName val="[Indice.xls]_EDU_FECHAMES_JU_62"/>
      <sheetName val="[Indice.xls]_L_EDU_FECHAMES__62"/>
      <sheetName val="[Indice.xls]_EDU_FECHAMES_JU_64"/>
      <sheetName val="[Indice.xls]_L_EDU_FECHAMES__64"/>
      <sheetName val="[Indice.xls]_EDU_FECHAMES_JU_65"/>
      <sheetName val="[Indice.xls]_L_EDU_FECHAMES__65"/>
      <sheetName val="[Indice.xls]_EDU_FECHAMES_JU_66"/>
      <sheetName val="[Indice.xls]_L_EDU_FECHAMES__66"/>
      <sheetName val="[Indice.xls]_EDU_FECHAMES_JU_67"/>
      <sheetName val="[Indice.xls]_L_EDU_FECHAMES__67"/>
      <sheetName val="[Indice.xls]_EDU_FECHAMES_JU_68"/>
      <sheetName val="[Indice.xls]_L_EDU_FECHAMES__68"/>
      <sheetName val="[Indice.xls]_EDU_FECHAMES_JU_69"/>
      <sheetName val="[Indice.xls]_L_EDU_FECHAMES__69"/>
      <sheetName val="[Indice.xls]_EDU_FECHAMES_JU_70"/>
      <sheetName val="[Indice.xls]_L_EDU_FECHAMES__70"/>
      <sheetName val="[Indice.xls]_EDU_FECHAMES_JU_72"/>
      <sheetName val="[Indice.xls]_L_EDU_FECHAMES__72"/>
      <sheetName val="[Indice.xls]_EDU_FECHAMES_JU_71"/>
      <sheetName val="[Indice.xls]_L_EDU_FECHAMES__71"/>
      <sheetName val="[Indice.xls]_EDU_FECHAMES_JU_78"/>
      <sheetName val="[Indice.xls]_L_EDU_FECHAMES__78"/>
      <sheetName val="[Indice.xls]_EDU_FECHAMES_JU_77"/>
      <sheetName val="[Indice.xls]_L_EDU_FECHAMES__77"/>
      <sheetName val="[Indice.xls]_EDU_FECHAMES_JU_76"/>
      <sheetName val="[Indice.xls]_L_EDU_FECHAMES__76"/>
      <sheetName val="[Indice.xls]_EDU_FECHAMES_JU_73"/>
      <sheetName val="[Indice.xls]_L_EDU_FECHAMES__73"/>
      <sheetName val="[Indice.xls]_EDU_FECHAMES_JU_74"/>
      <sheetName val="[Indice.xls]_L_EDU_FECHAMES__74"/>
      <sheetName val="[Indice.xls]_EDU_FECHAMES_JU_75"/>
      <sheetName val="[Indice.xls]_L_EDU_FECHAMES__75"/>
      <sheetName val="[Indice.xls]_EDU_FECHAMES_JU_79"/>
      <sheetName val="[Indice.xls]_L_EDU_FECHAMES__79"/>
      <sheetName val="[Indice.xls]__csimedya_my_sh_89"/>
      <sheetName val="[Indice.xls]_sudafrica_Sudafr_2"/>
      <sheetName val="[Indice.xls]___NDS__PCF_WORK__2"/>
      <sheetName val="[Indice.xls]__reganzani_video_2"/>
      <sheetName val="[Indice.xls]_Users_emret_AppD_2"/>
      <sheetName val="[Indice.xls]__192_168_1_254_2_2"/>
      <sheetName val="[Indice.xls]__192_168_1_254_2_3"/>
      <sheetName val="[Indice.xls]__192_168_1_254_2_4"/>
      <sheetName val="[Indice.xls]_DBI_2011_mediama_2"/>
      <sheetName val="[Indice.xls]_sudafrica_Sudafr_3"/>
      <sheetName val="[Indice.xls]__192_168_1_254_2_5"/>
      <sheetName val="[Indice.xls]__192_168_1_254_2_6"/>
      <sheetName val="[Indice.xls]__192_168_1_254_2_7"/>
      <sheetName val="[Indice.xls]___NDS__PCF_WORK__3"/>
      <sheetName val="[Indice.xls]_DBI_2011_mediama_3"/>
      <sheetName val="[Indice.xls]__F0236715_condiv_2"/>
      <sheetName val="[Indice.xls]__csimedya_my_sh_90"/>
      <sheetName val="[Indice.xls]__csimedya_my_sh_91"/>
      <sheetName val="[Indice.xls]_EDU_FECHAMES_JU_80"/>
      <sheetName val="[Indice.xls]_L_EDU_FECHAMES__80"/>
      <sheetName val="Dropdown"/>
      <sheetName val="[Indice.xls]__csimedya_my_sh_97"/>
      <sheetName val="[Indice.xls]__csimedya_my_sh_93"/>
      <sheetName val="[Indice.xls]__csimedya_my_sh_94"/>
      <sheetName val="[Indice.xls]__csimedya_my_sh_95"/>
      <sheetName val="[Indice.xls]__csimedya_my_sh_96"/>
      <sheetName val="[Indice.xls]__csimedya_my_sh_98"/>
      <sheetName val="[Indice.xls]_EDU_FECHAMES_JU_82"/>
      <sheetName val="[Indice.xls]_L_EDU_FECHAMES__82"/>
      <sheetName val="[Indice.xls]__csimedya_my_sh_99"/>
      <sheetName val="[Indice.xls]_EDU_FECHAMES_JU_83"/>
      <sheetName val="[Indice.xls]_L_EDU_FECHAMES__83"/>
      <sheetName val="[Indice.xls]__csimedya_my_s_100"/>
      <sheetName val="[Indice.xls]_EDU_FECHAMES_JU_84"/>
      <sheetName val="[Indice.xls]_L_EDU_FECHAMES__84"/>
      <sheetName val="[Indice.xls]__csimedya_my_s_101"/>
      <sheetName val="[Indice.xls]_EDU_FECHAMES_JU_85"/>
      <sheetName val="[Indice.xls]_L_EDU_FECHAMES__85"/>
      <sheetName val="[Indice.xls]__csimedya_my_s_102"/>
      <sheetName val="[Indice.xls]_EDU_FECHAMES_JU_86"/>
      <sheetName val="[Indice.xls]_L_EDU_FECHAMES__86"/>
      <sheetName val="[Indice.xls]__csimedya_my_s_103"/>
      <sheetName val="[Indice.xls]_EDU_FECHAMES_JU_87"/>
      <sheetName val="[Indice.xls]_L_EDU_FECHAMES__87"/>
      <sheetName val="kuşak data"/>
      <sheetName val="KANAL DATA"/>
      <sheetName val="[Indice.xls]__csimedya_my_s_104"/>
      <sheetName val="[Indice.xls]_EDU_FECHAMES_JU_88"/>
      <sheetName val="[Indice.xls]_L_EDU_FECHAMES__88"/>
      <sheetName val="[Indice.xls]_EDU_FECHAMES_JU_89"/>
      <sheetName val="[Indice.xls]_L_EDU_FECHAMES__89"/>
      <sheetName val="[Indice.xls]_EDU_FECHAMES_JU_90"/>
      <sheetName val="[Indice.xls]_L_EDU_FECHAMES__90"/>
      <sheetName val="[Indice.xls]__csimedya_my_s_105"/>
      <sheetName val="[Indice.xls]_EDU_FECHAMES_JU_91"/>
      <sheetName val="[Indice.xls]_L_EDU_FECHAMES__91"/>
      <sheetName val="[Indice.xls]__csimedya_my_s_106"/>
      <sheetName val="[Indice.xls]_EDU_FECHAMES_JU_92"/>
      <sheetName val="[Indice.xls]_L_EDU_FECHAMES__92"/>
      <sheetName val="[Indice.xls]__csimedya_my_s_107"/>
      <sheetName val="[Indice.xls]_EDU_FECHAMES_JU_93"/>
      <sheetName val="[Indice.xls]_L_EDU_FECHAMES__93"/>
      <sheetName val="[Indice.xls]_EDU_FECHAMES_JU_94"/>
      <sheetName val="[Indice.xls]_L_EDU_FECHAMES__94"/>
      <sheetName val="[Indice.xls]__csimedya_my_s_108"/>
      <sheetName val="[Indice.xls]_EDU_FECHAMES_JU_96"/>
      <sheetName val="[Indice.xls]_L_EDU_FECHAMES__96"/>
      <sheetName val="[Indice.xls]__csimedya_my_s_110"/>
      <sheetName val="[Indice.xls]_EDU_FECHAMES_JU_95"/>
      <sheetName val="[Indice.xls]_L_EDU_FECHAMES__95"/>
      <sheetName val="[Indice.xls]__csimedya_my_s_109"/>
      <sheetName val="[Indice.xls]_EDU_FECHAMES_JU_97"/>
      <sheetName val="[Indice.xls]_L_EDU_FECHAMES__97"/>
      <sheetName val="[Indice.xls]__csimedya_my_s_111"/>
      <sheetName val="[Indice.xls]__csimedya_my_s_112"/>
      <sheetName val="[Indice.xls]__csimedya_my_s_113"/>
      <sheetName val="[Indice.xls]_EDU_FECHAMES_JU_98"/>
      <sheetName val="[Indice.xls]_L_EDU_FECHAMES__98"/>
      <sheetName val="[Indice.xls]_EDU_FECHAMES_JU_99"/>
      <sheetName val="[Indice.xls]_L_EDU_FECHAMES__99"/>
      <sheetName val="[Indice.xls]__csimedya_my_s_114"/>
      <sheetName val="[Indice.xls]__csimedya_my_s_115"/>
      <sheetName val="[Indice.xls]_EDU_FECHAMES_J_100"/>
      <sheetName val="[Indice.xls]_L_EDU_FECHAMES_100"/>
      <sheetName val="[Indice.xls]__csimedya_my_s_130"/>
      <sheetName val="[Indice.xls]__csimedya_my_s_120"/>
      <sheetName val="[Indice.xls]__csimedya_my_s_116"/>
      <sheetName val="[Indice.xls]__csimedya_my_s_117"/>
      <sheetName val="[Indice.xls]__csimedya_my_s_118"/>
      <sheetName val="[Indice.xls]__csimedya_my_s_119"/>
      <sheetName val="[Indice.xls]__csimedya_my_s_121"/>
      <sheetName val="[Indice.xls]__csimedya_my_s_122"/>
      <sheetName val="[Indice.xls]__csimedya_my_s_123"/>
      <sheetName val="[Indice.xls]__csimedya_my_s_124"/>
      <sheetName val="[Indice.xls]__csimedya_my_s_128"/>
      <sheetName val="[Indice.xls]__csimedya_my_s_125"/>
      <sheetName val="[Indice.xls]__csimedya_my_s_126"/>
      <sheetName val="[Indice.xls]__csimedya_my_s_127"/>
      <sheetName val="[Indice.xls]__csimedya_my_s_129"/>
      <sheetName val="[Indice.xls]__csimedya_my_s_131"/>
      <sheetName val="[Indice.xls]_EDU_FECHAMES_J_101"/>
      <sheetName val="[Indice.xls]_L_EDU_FECHAMES_101"/>
      <sheetName val="[Indice.xls]__csimedya_my_s_132"/>
      <sheetName val="[Indice.xls]__csimedya_my_s_134"/>
      <sheetName val="[Indice.xls]__csimedya_my_s_133"/>
      <sheetName val="[Indice.xls]_EDU_FECHAMES_J_102"/>
      <sheetName val="[Indice.xls]_L_EDU_FECHAMES_102"/>
      <sheetName val="[Indice.xls]_EDU_FECHAMES_J_103"/>
      <sheetName val="[Indice.xls]_L_EDU_FECHAMES_103"/>
      <sheetName val="[Indice.xls]_EDU_FECHAMES_J_104"/>
      <sheetName val="[Indice.xls]_L_EDU_FECHAMES_104"/>
      <sheetName val="[Indice.xls]__csimedya_my_s_135"/>
      <sheetName val="[Indice.xls]_EDU_FECHAMES_J_105"/>
      <sheetName val="[Indice.xls]_L_EDU_FECHAMES_105"/>
      <sheetName val="[Indice.xls]__csimedya_my_s_136"/>
      <sheetName val="[Indice.xls]_EDU_FECHAMES_J_106"/>
      <sheetName val="[Indice.xls]_L_EDU_FECHAMES_106"/>
      <sheetName val="[Indice.xls]__csimedya_my_s_137"/>
      <sheetName val="[Indice.xls]__csimedya_my_s_138"/>
      <sheetName val="[Indice.xls]_EDU_FECHAMES_J_107"/>
      <sheetName val="[Indice.xls]_L_EDU_FECHAMES_107"/>
      <sheetName val="[Indice.xls]_EDU_FECHAMES_J_108"/>
      <sheetName val="[Indice.xls]_L_EDU_FECHAMES_108"/>
      <sheetName val="[Indice.xls]__csimedya_my_s_139"/>
      <sheetName val="[Indice.xls]__csimedya_my_s_140"/>
      <sheetName val="[Indice.xls]_EDU_FECHAMES_J_109"/>
      <sheetName val="[Indice.xls]_L_EDU_FECHAMES_109"/>
      <sheetName val="plan-gaz1"/>
      <sheetName val="StartTime"/>
      <sheetName val="[Indice.xls]_EDU_FECHAMES_J_110"/>
      <sheetName val="[Indice.xls]_L_EDU_FECHAMES_110"/>
      <sheetName val="[Indice.xls]_EDU_FECHAMES_J_113"/>
      <sheetName val="[Indice.xls]_L_EDU_FECHAMES_113"/>
      <sheetName val="[Indice.xls]_EDU_FECHAMES_J_111"/>
      <sheetName val="[Indice.xls]_L_EDU_FECHAMES_111"/>
      <sheetName val="[Indice.xls]_EDU_FECHAMES_J_112"/>
      <sheetName val="[Indice.xls]_L_EDU_FECHAMES_112"/>
      <sheetName val="[Indice.xls]_EDU_FECHAMES_J_117"/>
      <sheetName val="[Indice.xls]_L_EDU_FECHAMES_117"/>
      <sheetName val="[Indice.xls]_EDU_FECHAMES_J_114"/>
      <sheetName val="[Indice.xls]_L_EDU_FECHAMES_114"/>
      <sheetName val="[Indice.xls]_EDU_FECHAMES_J_115"/>
      <sheetName val="[Indice.xls]_L_EDU_FECHAMES_115"/>
      <sheetName val="[Indice.xls]_EDU_FECHAMES_J_116"/>
      <sheetName val="[Indice.xls]_L_EDU_FECHAMES_116"/>
      <sheetName val="[Indice.xls]_EDU_FECHAMES_J_128"/>
      <sheetName val="[Indice.xls]_L_EDU_FECHAMES_128"/>
      <sheetName val="[Indice.xls]__csimedya_my_s_148"/>
      <sheetName val="[Indice.xls]_EDU_FECHAMES_J_118"/>
      <sheetName val="[Indice.xls]_L_EDU_FECHAMES_118"/>
      <sheetName val="[Indice.xls]_EDU_FECHAMES_J_119"/>
      <sheetName val="[Indice.xls]_L_EDU_FECHAMES_119"/>
      <sheetName val="[Indice.xls]_EDU_FECHAMES_J_120"/>
      <sheetName val="[Indice.xls]_L_EDU_FECHAMES_120"/>
      <sheetName val="[Indice.xls]_EDU_FECHAMES_J_121"/>
      <sheetName val="[Indice.xls]_L_EDU_FECHAMES_121"/>
      <sheetName val="[Indice.xls]__csimedya_my_s_141"/>
      <sheetName val="[Indice.xls]_EDU_FECHAMES_J_122"/>
      <sheetName val="[Indice.xls]_L_EDU_FECHAMES_122"/>
      <sheetName val="[Indice.xls]__csimedya_my_s_142"/>
      <sheetName val="[Indice.xls]_EDU_FECHAMES_J_123"/>
      <sheetName val="[Indice.xls]_L_EDU_FECHAMES_123"/>
      <sheetName val="[Indice.xls]__csimedya_my_s_143"/>
      <sheetName val="[Indice.xls]_EDU_FECHAMES_J_124"/>
      <sheetName val="[Indice.xls]_L_EDU_FECHAMES_124"/>
      <sheetName val="[Indice.xls]__csimedya_my_s_144"/>
      <sheetName val="[Indice.xls]_EDU_FECHAMES_J_125"/>
      <sheetName val="[Indice.xls]_L_EDU_FECHAMES_125"/>
      <sheetName val="[Indice.xls]__csimedya_my_s_145"/>
      <sheetName val="[Indice.xls]_EDU_FECHAMES_J_126"/>
      <sheetName val="[Indice.xls]_L_EDU_FECHAMES_126"/>
      <sheetName val="[Indice.xls]__csimedya_my_s_146"/>
      <sheetName val="[Indice.xls]_EDU_FECHAMES_J_127"/>
      <sheetName val="[Indice.xls]_L_EDU_FECHAMES_127"/>
      <sheetName val="[Indice.xls]__csimedya_my_s_147"/>
      <sheetName val="[Indice.xls]_EDU_FECHAMES_J_129"/>
      <sheetName val="[Indice.xls]_L_EDU_FECHAMES_129"/>
      <sheetName val="[Indice.xls]__csimedya_my_s_149"/>
      <sheetName val="TİRAJ"/>
    </sheetNames>
    <definedNames>
      <definedName name="Anno" refersTo="='Ref'!$B$19"/>
      <definedName name="Mese" refersTo="='Ref'!$B$18" sheetId="1"/>
    </definedNames>
    <sheetDataSet>
      <sheetData sheetId="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" refreshError="1">
        <row r="1">
          <cell r="B1" t="str">
            <v>FIAT AUTO SUD AFRICA</v>
          </cell>
        </row>
        <row r="18">
          <cell r="B18">
            <v>1.86</v>
          </cell>
        </row>
        <row r="19">
          <cell r="B19" t="str">
            <v>=Ref!$B$1</v>
          </cell>
        </row>
      </sheetData>
      <sheetData sheetId="3" refreshError="1">
        <row r="1">
          <cell r="B1" t="str">
            <v>FIAT AUTO SUD AFRICA</v>
          </cell>
        </row>
        <row r="18">
          <cell r="B18">
            <v>1.86</v>
          </cell>
        </row>
        <row r="19">
          <cell r="B19">
            <v>0.3</v>
          </cell>
        </row>
      </sheetData>
      <sheetData sheetId="4" refreshError="1">
        <row r="1">
          <cell r="B1" t="str">
            <v>FIAT AUTO SUD AFRICA</v>
          </cell>
        </row>
        <row r="18">
          <cell r="B18">
            <v>-1.07</v>
          </cell>
        </row>
        <row r="19">
          <cell r="B19">
            <v>0</v>
          </cell>
        </row>
      </sheetData>
      <sheetData sheetId="5" refreshError="1">
        <row r="1">
          <cell r="B1" t="str">
            <v>FIAT AUTO SUD AFRICA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6" refreshError="1">
        <row r="1">
          <cell r="B1" t="str">
            <v>FIAT AUTO SUD AFRICA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8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9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0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1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2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6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0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1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2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4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6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9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1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2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3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4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0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4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6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5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5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58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59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1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3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4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6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8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9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7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1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3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4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6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8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9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8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3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84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8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9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9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94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9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9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8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99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00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0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2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0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4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0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0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9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1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1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16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1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1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2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6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2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2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3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34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3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6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3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4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4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4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4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4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3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6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6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6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6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6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6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6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6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17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8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9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9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9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9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1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1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7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8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2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2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23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3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9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6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6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6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6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6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6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6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6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6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6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7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7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7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73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7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7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7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7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7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7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8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8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8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83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8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8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8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8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8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8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9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1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93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9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9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9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9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9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9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0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0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0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03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04" refreshError="1"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0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>BILANCIAMENTO PRODUZIONE / VENDITA</v>
          </cell>
        </row>
      </sheetData>
      <sheetData sheetId="30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3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2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2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30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33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3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33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3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3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4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4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3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5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4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9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50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5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52" refreshError="1"/>
      <sheetData sheetId="35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3" refreshError="1"/>
      <sheetData sheetId="3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6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36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6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8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8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9"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9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9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9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9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9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9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9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9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9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9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00" refreshError="1">
        <row r="18">
          <cell r="B18" t="str">
            <v>ASPETTI PRODUTTIVI</v>
          </cell>
        </row>
        <row r="19">
          <cell r="B19">
            <v>1999</v>
          </cell>
        </row>
      </sheetData>
      <sheetData sheetId="40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02" refreshError="1"/>
      <sheetData sheetId="403" refreshError="1"/>
      <sheetData sheetId="404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405"/>
      <sheetData sheetId="40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0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0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0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1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11" refreshError="1"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12" refreshError="1"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13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414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415" refreshError="1"/>
      <sheetData sheetId="416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417" refreshError="1"/>
      <sheetData sheetId="418" refreshError="1"/>
      <sheetData sheetId="41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4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4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4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91" refreshError="1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2" refreshError="1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94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9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98" refreshError="1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0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>
        <row r="8">
          <cell r="B8">
            <v>36312</v>
          </cell>
        </row>
      </sheetData>
      <sheetData sheetId="517">
        <row r="8">
          <cell r="B8">
            <v>36312</v>
          </cell>
        </row>
      </sheetData>
      <sheetData sheetId="518">
        <row r="8">
          <cell r="B8">
            <v>36312</v>
          </cell>
        </row>
      </sheetData>
      <sheetData sheetId="519">
        <row r="8">
          <cell r="B8">
            <v>36312</v>
          </cell>
        </row>
      </sheetData>
      <sheetData sheetId="520">
        <row r="8">
          <cell r="B8">
            <v>36312</v>
          </cell>
        </row>
      </sheetData>
      <sheetData sheetId="521">
        <row r="8">
          <cell r="B8">
            <v>36312</v>
          </cell>
        </row>
      </sheetData>
      <sheetData sheetId="522">
        <row r="8">
          <cell r="B8">
            <v>36312</v>
          </cell>
        </row>
      </sheetData>
      <sheetData sheetId="523">
        <row r="8">
          <cell r="B8">
            <v>36312</v>
          </cell>
        </row>
      </sheetData>
      <sheetData sheetId="524">
        <row r="1">
          <cell r="B1" t="str">
            <v>FIAT AUTO SUD AFRICA</v>
          </cell>
        </row>
      </sheetData>
      <sheetData sheetId="525">
        <row r="8">
          <cell r="B8">
            <v>36312</v>
          </cell>
        </row>
      </sheetData>
      <sheetData sheetId="526">
        <row r="1">
          <cell r="B1" t="str">
            <v>TOFAS BUSINESS UNIT</v>
          </cell>
        </row>
      </sheetData>
      <sheetData sheetId="527">
        <row r="1">
          <cell r="B1" t="str">
            <v>TOFAS BUSINESS UNIT</v>
          </cell>
        </row>
      </sheetData>
      <sheetData sheetId="528">
        <row r="1">
          <cell r="B1" t="str">
            <v>FIAT AUTO SUD AFRICA</v>
          </cell>
        </row>
      </sheetData>
      <sheetData sheetId="529">
        <row r="1">
          <cell r="B1" t="str">
            <v>TOFAS BUSINESS UNIT</v>
          </cell>
        </row>
      </sheetData>
      <sheetData sheetId="530">
        <row r="1">
          <cell r="B1" t="str">
            <v>FIAT AUTO SUD AFRICA</v>
          </cell>
        </row>
      </sheetData>
      <sheetData sheetId="531">
        <row r="1">
          <cell r="B1" t="str">
            <v>TOFAS BUSINESS UNIT</v>
          </cell>
        </row>
      </sheetData>
      <sheetData sheetId="532">
        <row r="1">
          <cell r="B1" t="str">
            <v>FIAT AUTO SUD AFRICA</v>
          </cell>
        </row>
      </sheetData>
      <sheetData sheetId="533">
        <row r="1">
          <cell r="B1" t="str">
            <v>TOFAS BUSINESS UNIT</v>
          </cell>
        </row>
      </sheetData>
      <sheetData sheetId="534">
        <row r="1">
          <cell r="B1" t="str">
            <v>FIAT AUTO SUD AFRICA</v>
          </cell>
        </row>
      </sheetData>
      <sheetData sheetId="535">
        <row r="1">
          <cell r="B1" t="str">
            <v>TOFAS BUSINESS UNIT</v>
          </cell>
        </row>
      </sheetData>
      <sheetData sheetId="536">
        <row r="1">
          <cell r="B1" t="str">
            <v>TOFAS BUSINESS UNIT</v>
          </cell>
        </row>
      </sheetData>
      <sheetData sheetId="537">
        <row r="1">
          <cell r="B1" t="str">
            <v>TOFAS BUSINESS UNIT</v>
          </cell>
        </row>
      </sheetData>
      <sheetData sheetId="538">
        <row r="1">
          <cell r="B1" t="str">
            <v>TOFAS BUSINESS UNIT</v>
          </cell>
        </row>
      </sheetData>
      <sheetData sheetId="539">
        <row r="1">
          <cell r="B1" t="str">
            <v>TOFAS BUSINESS UNIT</v>
          </cell>
        </row>
      </sheetData>
      <sheetData sheetId="540">
        <row r="1">
          <cell r="B1" t="str">
            <v>TOFAS BUSINESS UNIT</v>
          </cell>
        </row>
      </sheetData>
      <sheetData sheetId="541">
        <row r="1">
          <cell r="B1" t="str">
            <v>FIAT AUTO SUD AFRICA</v>
          </cell>
        </row>
      </sheetData>
      <sheetData sheetId="542">
        <row r="1">
          <cell r="B1" t="str">
            <v>TOFAS BUSINESS UNIT</v>
          </cell>
        </row>
      </sheetData>
      <sheetData sheetId="543">
        <row r="1">
          <cell r="B1" t="str">
            <v>FIAT AUTO SUD AFRICA</v>
          </cell>
        </row>
      </sheetData>
      <sheetData sheetId="544">
        <row r="1">
          <cell r="B1" t="str">
            <v>TOFAS BUSINESS UNIT</v>
          </cell>
        </row>
      </sheetData>
      <sheetData sheetId="545">
        <row r="1">
          <cell r="B1" t="str">
            <v>FIAT AUTO SUD AFRICA</v>
          </cell>
        </row>
      </sheetData>
      <sheetData sheetId="546">
        <row r="1">
          <cell r="B1" t="str">
            <v>FIAT AUTO SUD AFRICA</v>
          </cell>
        </row>
      </sheetData>
      <sheetData sheetId="547">
        <row r="1">
          <cell r="B1" t="str">
            <v>FIAT AUTO SUD AFRICA</v>
          </cell>
        </row>
      </sheetData>
      <sheetData sheetId="548">
        <row r="1">
          <cell r="B1" t="str">
            <v>FIAT AUTO SUD AFRICA</v>
          </cell>
        </row>
      </sheetData>
      <sheetData sheetId="549">
        <row r="1">
          <cell r="B1" t="str">
            <v>FIAT AUTO SUD AFRICA</v>
          </cell>
        </row>
      </sheetData>
      <sheetData sheetId="550">
        <row r="1">
          <cell r="B1" t="str">
            <v>FIAT AUTO SUD AFRICA</v>
          </cell>
        </row>
      </sheetData>
      <sheetData sheetId="551">
        <row r="1">
          <cell r="B1" t="str">
            <v>FIAT AUTO SUD AFRICA</v>
          </cell>
        </row>
      </sheetData>
      <sheetData sheetId="552">
        <row r="1">
          <cell r="B1" t="str">
            <v>FIAT AUTO SUD AFRICA</v>
          </cell>
        </row>
      </sheetData>
      <sheetData sheetId="553">
        <row r="1">
          <cell r="B1" t="str">
            <v>FIAT AUTO SUD AFRICA</v>
          </cell>
        </row>
      </sheetData>
      <sheetData sheetId="554">
        <row r="1">
          <cell r="B1" t="str">
            <v>FIAT AUTO SUD AFRICA</v>
          </cell>
        </row>
      </sheetData>
      <sheetData sheetId="555">
        <row r="1">
          <cell r="B1" t="str">
            <v>FIAT AUTO SUD AFRICA</v>
          </cell>
        </row>
      </sheetData>
      <sheetData sheetId="556">
        <row r="1">
          <cell r="B1" t="str">
            <v>FIAT AUTO SUD AFRICA</v>
          </cell>
        </row>
      </sheetData>
      <sheetData sheetId="557">
        <row r="1">
          <cell r="B1" t="str">
            <v>FIAT AUTO SUD AFRICA</v>
          </cell>
        </row>
      </sheetData>
      <sheetData sheetId="558">
        <row r="1">
          <cell r="B1" t="str">
            <v>FIAT AUTO SUD AFRICA</v>
          </cell>
        </row>
      </sheetData>
      <sheetData sheetId="559">
        <row r="1">
          <cell r="B1" t="str">
            <v>FIAT AUTO SUD AFRICA</v>
          </cell>
        </row>
      </sheetData>
      <sheetData sheetId="560">
        <row r="1">
          <cell r="B1" t="str">
            <v>FIAT AUTO SUD AFRICA</v>
          </cell>
        </row>
      </sheetData>
      <sheetData sheetId="561">
        <row r="1">
          <cell r="B1" t="str">
            <v>FIAT AUTO SUD AFRICA</v>
          </cell>
        </row>
      </sheetData>
      <sheetData sheetId="562">
        <row r="1">
          <cell r="B1" t="str">
            <v>FIAT AUTO SUD AFRICA</v>
          </cell>
        </row>
      </sheetData>
      <sheetData sheetId="563">
        <row r="1">
          <cell r="B1" t="str">
            <v>FIAT AUTO SUD AFRICA</v>
          </cell>
        </row>
      </sheetData>
      <sheetData sheetId="564">
        <row r="1">
          <cell r="B1" t="str">
            <v>FIAT AUTO SUD AFRICA</v>
          </cell>
        </row>
      </sheetData>
      <sheetData sheetId="565">
        <row r="1">
          <cell r="B1" t="str">
            <v>FIAT AUTO SUD AFRICA</v>
          </cell>
        </row>
      </sheetData>
      <sheetData sheetId="566">
        <row r="1">
          <cell r="B1" t="str">
            <v>FIAT AUTO SUD AFRICA</v>
          </cell>
        </row>
      </sheetData>
      <sheetData sheetId="567">
        <row r="1">
          <cell r="B1" t="str">
            <v>TOFAS BUSINESS UNIT</v>
          </cell>
        </row>
      </sheetData>
      <sheetData sheetId="568">
        <row r="1">
          <cell r="B1" t="str">
            <v>FIAT AUTO SUD AFRICA</v>
          </cell>
        </row>
      </sheetData>
      <sheetData sheetId="569">
        <row r="1">
          <cell r="B1" t="str">
            <v>TOFAS BUSINESS UNIT</v>
          </cell>
        </row>
      </sheetData>
      <sheetData sheetId="570">
        <row r="1">
          <cell r="B1" t="str">
            <v>TOFAS BUSINESS UNIT</v>
          </cell>
        </row>
      </sheetData>
      <sheetData sheetId="571">
        <row r="1">
          <cell r="B1" t="str">
            <v>TOFAS BUSINESS UNIT</v>
          </cell>
        </row>
      </sheetData>
      <sheetData sheetId="572">
        <row r="1">
          <cell r="B1" t="str">
            <v>TOFAS BUSINESS UNIT</v>
          </cell>
        </row>
      </sheetData>
      <sheetData sheetId="573">
        <row r="1">
          <cell r="B1" t="str">
            <v>FIAT AUTO SUD AFRICA</v>
          </cell>
        </row>
      </sheetData>
      <sheetData sheetId="574">
        <row r="1">
          <cell r="B1" t="str">
            <v>FIAT AUTO SUD AFRICA</v>
          </cell>
        </row>
      </sheetData>
      <sheetData sheetId="575">
        <row r="1">
          <cell r="B1" t="str">
            <v>FIAT AUTO SUD AFRICA</v>
          </cell>
        </row>
      </sheetData>
      <sheetData sheetId="576">
        <row r="1">
          <cell r="B1" t="str">
            <v>FIAT AUTO SUD AFRICA</v>
          </cell>
        </row>
      </sheetData>
      <sheetData sheetId="577">
        <row r="1">
          <cell r="B1" t="str">
            <v>TOFAS BUSINESS UNIT</v>
          </cell>
        </row>
      </sheetData>
      <sheetData sheetId="578">
        <row r="1">
          <cell r="B1" t="str">
            <v>FIAT AUTO SUD AFRICA</v>
          </cell>
        </row>
      </sheetData>
      <sheetData sheetId="579">
        <row r="1">
          <cell r="B1" t="str">
            <v>TOFAS BUSINESS UNIT</v>
          </cell>
        </row>
      </sheetData>
      <sheetData sheetId="580">
        <row r="1">
          <cell r="B1" t="str">
            <v>FIAT AUTO SUD AFRICA</v>
          </cell>
        </row>
      </sheetData>
      <sheetData sheetId="581">
        <row r="1">
          <cell r="B1" t="str">
            <v>FIAT AUTO SUD AFRICA</v>
          </cell>
        </row>
      </sheetData>
      <sheetData sheetId="582">
        <row r="1">
          <cell r="B1" t="str">
            <v>FIAT AUTO SUD AFRICA</v>
          </cell>
        </row>
      </sheetData>
      <sheetData sheetId="583">
        <row r="1">
          <cell r="B1" t="str">
            <v>FIAT AUTO SUD AFRICA</v>
          </cell>
        </row>
      </sheetData>
      <sheetData sheetId="584">
        <row r="1">
          <cell r="B1" t="str">
            <v>FIAT AUTO SUD AFRICA</v>
          </cell>
        </row>
      </sheetData>
      <sheetData sheetId="585">
        <row r="1">
          <cell r="B1" t="str">
            <v>FIAT AUTO SUD AFRICA</v>
          </cell>
        </row>
      </sheetData>
      <sheetData sheetId="586">
        <row r="1">
          <cell r="B1" t="str">
            <v>FIAT AUTO SUD AFRICA</v>
          </cell>
        </row>
      </sheetData>
      <sheetData sheetId="587">
        <row r="1">
          <cell r="B1" t="str">
            <v>FIAT AUTO SUD AFRICA</v>
          </cell>
        </row>
      </sheetData>
      <sheetData sheetId="588">
        <row r="1">
          <cell r="B1" t="str">
            <v>FIAT AUTO SUD AFRICA</v>
          </cell>
        </row>
      </sheetData>
      <sheetData sheetId="589">
        <row r="1">
          <cell r="B1" t="str">
            <v>FIAT AUTO SUD AFRICA</v>
          </cell>
        </row>
      </sheetData>
      <sheetData sheetId="590">
        <row r="1">
          <cell r="B1" t="str">
            <v>FIAT AUTO SUD AFRICA</v>
          </cell>
        </row>
      </sheetData>
      <sheetData sheetId="591">
        <row r="1">
          <cell r="B1" t="str">
            <v>FIAT AUTO SUD AFRICA</v>
          </cell>
        </row>
      </sheetData>
      <sheetData sheetId="592">
        <row r="1">
          <cell r="B1" t="str">
            <v>FIAT AUTO SUD AFRICA</v>
          </cell>
        </row>
      </sheetData>
      <sheetData sheetId="593">
        <row r="1">
          <cell r="B1" t="str">
            <v>FIAT AUTO SUD AFRICA</v>
          </cell>
        </row>
      </sheetData>
      <sheetData sheetId="594">
        <row r="1">
          <cell r="B1" t="str">
            <v>FIAT AUTO SUD AFRICA</v>
          </cell>
        </row>
      </sheetData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>
        <row r="8">
          <cell r="B8">
            <v>36312</v>
          </cell>
        </row>
      </sheetData>
      <sheetData sheetId="638">
        <row r="8">
          <cell r="B8">
            <v>36312</v>
          </cell>
        </row>
      </sheetData>
      <sheetData sheetId="639">
        <row r="1">
          <cell r="B1" t="str">
            <v>TOFAS BUSINESS UNIT</v>
          </cell>
        </row>
      </sheetData>
      <sheetData sheetId="640">
        <row r="1">
          <cell r="B1" t="str">
            <v>TOFAS BUSINESS UNIT</v>
          </cell>
        </row>
      </sheetData>
      <sheetData sheetId="641">
        <row r="1">
          <cell r="B1" t="str">
            <v>TOFAS BUSINESS UNIT</v>
          </cell>
        </row>
      </sheetData>
      <sheetData sheetId="642">
        <row r="1">
          <cell r="B1" t="str">
            <v>TOFAS BUSINESS UNIT</v>
          </cell>
        </row>
      </sheetData>
      <sheetData sheetId="643">
        <row r="1">
          <cell r="B1" t="str">
            <v>TOFAS BUSINESS UNIT</v>
          </cell>
        </row>
      </sheetData>
      <sheetData sheetId="644">
        <row r="1">
          <cell r="B1" t="str">
            <v>TOFAS BUSINESS UNIT</v>
          </cell>
        </row>
      </sheetData>
      <sheetData sheetId="645">
        <row r="1">
          <cell r="B1" t="str">
            <v>TOFAS BUSINESS UNIT</v>
          </cell>
        </row>
      </sheetData>
      <sheetData sheetId="646">
        <row r="1">
          <cell r="B1" t="str">
            <v>TOFAS BUSINESS UNIT</v>
          </cell>
        </row>
      </sheetData>
      <sheetData sheetId="647">
        <row r="1">
          <cell r="B1" t="str">
            <v>TOFAS BUSINESS UNIT</v>
          </cell>
        </row>
      </sheetData>
      <sheetData sheetId="648">
        <row r="1">
          <cell r="B1" t="str">
            <v>TOFAS BUSINESS UNIT</v>
          </cell>
        </row>
      </sheetData>
      <sheetData sheetId="649">
        <row r="1">
          <cell r="B1" t="str">
            <v>TOFAS BUSINESS UNIT</v>
          </cell>
        </row>
      </sheetData>
      <sheetData sheetId="650">
        <row r="1">
          <cell r="B1" t="str">
            <v>TOFAS BUSINESS UNIT</v>
          </cell>
        </row>
      </sheetData>
      <sheetData sheetId="651">
        <row r="1">
          <cell r="B1" t="str">
            <v>TOFAS BUSINESS UNIT</v>
          </cell>
        </row>
      </sheetData>
      <sheetData sheetId="652">
        <row r="1">
          <cell r="B1" t="str">
            <v>TOFAS BUSINESS UNIT</v>
          </cell>
        </row>
      </sheetData>
      <sheetData sheetId="653">
        <row r="1">
          <cell r="B1" t="str">
            <v>TOFAS BUSINESS UNIT</v>
          </cell>
        </row>
      </sheetData>
      <sheetData sheetId="654">
        <row r="1">
          <cell r="B1" t="str">
            <v>FIAT AUTO SUD AFRICA</v>
          </cell>
        </row>
      </sheetData>
      <sheetData sheetId="655">
        <row r="1">
          <cell r="B1" t="str">
            <v>FIAT AUTO SUD AFRICA</v>
          </cell>
        </row>
      </sheetData>
      <sheetData sheetId="656">
        <row r="1">
          <cell r="B1" t="str">
            <v>FIAT AUTO SUD AFRICA</v>
          </cell>
        </row>
      </sheetData>
      <sheetData sheetId="657">
        <row r="1">
          <cell r="B1" t="str">
            <v>FIAT AUTO SUD AFRICA</v>
          </cell>
        </row>
      </sheetData>
      <sheetData sheetId="658">
        <row r="1">
          <cell r="B1" t="str">
            <v>TOFAS BUSINESS UNIT</v>
          </cell>
        </row>
      </sheetData>
      <sheetData sheetId="659">
        <row r="1">
          <cell r="B1" t="str">
            <v>TOFAS BUSINESS UNIT</v>
          </cell>
        </row>
      </sheetData>
      <sheetData sheetId="660">
        <row r="1">
          <cell r="B1" t="str">
            <v>TOFAS BUSINESS UNIT</v>
          </cell>
        </row>
      </sheetData>
      <sheetData sheetId="661">
        <row r="1">
          <cell r="B1" t="str">
            <v>TOFAS BUSINESS UNIT</v>
          </cell>
        </row>
      </sheetData>
      <sheetData sheetId="662">
        <row r="1">
          <cell r="B1" t="str">
            <v>TOFAS BUSINESS UNIT</v>
          </cell>
        </row>
      </sheetData>
      <sheetData sheetId="663">
        <row r="1">
          <cell r="B1" t="str">
            <v>TOFAS BUSINESS UNIT</v>
          </cell>
        </row>
      </sheetData>
      <sheetData sheetId="664">
        <row r="1">
          <cell r="B1" t="str">
            <v>TOFAS BUSINESS UNIT</v>
          </cell>
        </row>
      </sheetData>
      <sheetData sheetId="665">
        <row r="1">
          <cell r="B1" t="str">
            <v>TOFAS BUSINESS UNIT</v>
          </cell>
        </row>
      </sheetData>
      <sheetData sheetId="666">
        <row r="1">
          <cell r="B1" t="str">
            <v>TOFAS BUSINESS UNIT</v>
          </cell>
        </row>
      </sheetData>
      <sheetData sheetId="667">
        <row r="1">
          <cell r="B1" t="str">
            <v>TOFAS BUSINESS UNIT</v>
          </cell>
        </row>
      </sheetData>
      <sheetData sheetId="668">
        <row r="1">
          <cell r="B1" t="str">
            <v>TOFAS BUSINESS UNIT</v>
          </cell>
        </row>
      </sheetData>
      <sheetData sheetId="669">
        <row r="1">
          <cell r="B1" t="str">
            <v>TOFAS BUSINESS UNIT</v>
          </cell>
        </row>
      </sheetData>
      <sheetData sheetId="670">
        <row r="1">
          <cell r="B1" t="str">
            <v>TOFAS BUSINESS UNIT</v>
          </cell>
        </row>
      </sheetData>
      <sheetData sheetId="671">
        <row r="8">
          <cell r="B8" t="str">
            <v>ASPETTI COMMERCIALI</v>
          </cell>
        </row>
      </sheetData>
      <sheetData sheetId="672">
        <row r="1">
          <cell r="B1" t="str">
            <v>TOFAS BUSINESS UNIT</v>
          </cell>
        </row>
      </sheetData>
      <sheetData sheetId="673">
        <row r="8">
          <cell r="B8" t="str">
            <v>ASPETTI COMMERCIALI</v>
          </cell>
        </row>
      </sheetData>
      <sheetData sheetId="674">
        <row r="1">
          <cell r="B1" t="str">
            <v>TOFAS BUSINESS UNIT</v>
          </cell>
        </row>
        <row r="18">
          <cell r="B18" t="str">
            <v>Giugno</v>
          </cell>
        </row>
      </sheetData>
      <sheetData sheetId="675">
        <row r="8">
          <cell r="B8" t="str">
            <v>ASPETTI COMMERCIALI</v>
          </cell>
        </row>
      </sheetData>
      <sheetData sheetId="676">
        <row r="1">
          <cell r="B1" t="str">
            <v>TOFAS BUSINESS UNIT</v>
          </cell>
        </row>
        <row r="18">
          <cell r="B18" t="str">
            <v>Giugno</v>
          </cell>
        </row>
      </sheetData>
      <sheetData sheetId="677">
        <row r="8">
          <cell r="B8" t="str">
            <v>ASPETTI COMMERCIALI</v>
          </cell>
        </row>
      </sheetData>
      <sheetData sheetId="678">
        <row r="8">
          <cell r="B8" t="str">
            <v>ASPETTI COMMERCIALI</v>
          </cell>
        </row>
        <row r="18">
          <cell r="B18" t="str">
            <v>Giugno</v>
          </cell>
        </row>
      </sheetData>
      <sheetData sheetId="679"/>
      <sheetData sheetId="680">
        <row r="18">
          <cell r="B18" t="str">
            <v>Giugno</v>
          </cell>
        </row>
      </sheetData>
      <sheetData sheetId="681"/>
      <sheetData sheetId="682">
        <row r="18">
          <cell r="B18" t="str">
            <v>Giugno</v>
          </cell>
        </row>
      </sheetData>
      <sheetData sheetId="683"/>
      <sheetData sheetId="684">
        <row r="18">
          <cell r="B18" t="str">
            <v>Giugno</v>
          </cell>
        </row>
      </sheetData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>
        <row r="8">
          <cell r="B8">
            <v>36312</v>
          </cell>
        </row>
      </sheetData>
      <sheetData sheetId="717" refreshError="1"/>
      <sheetData sheetId="718" refreshError="1"/>
      <sheetData sheetId="719">
        <row r="1">
          <cell r="B1" t="str">
            <v>TOFAS BUSINESS UNIT</v>
          </cell>
        </row>
      </sheetData>
      <sheetData sheetId="720">
        <row r="8">
          <cell r="B8" t="str">
            <v>ASPETTI COMMERCIALI</v>
          </cell>
        </row>
      </sheetData>
      <sheetData sheetId="721">
        <row r="1">
          <cell r="B1" t="str">
            <v>TOFAS BUSINESS UNIT</v>
          </cell>
        </row>
      </sheetData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>
        <row r="1">
          <cell r="B1" t="str">
            <v>TOFAS BUSINESS UNIT</v>
          </cell>
        </row>
      </sheetData>
      <sheetData sheetId="728">
        <row r="1">
          <cell r="B1" t="str">
            <v>TOFAS BUSINESS UNIT</v>
          </cell>
        </row>
      </sheetData>
      <sheetData sheetId="729">
        <row r="1">
          <cell r="B1" t="str">
            <v>TOFAS BUSINESS UNIT</v>
          </cell>
        </row>
      </sheetData>
      <sheetData sheetId="730">
        <row r="1">
          <cell r="B1" t="str">
            <v>TOFAS BUSINESS UNIT</v>
          </cell>
        </row>
      </sheetData>
      <sheetData sheetId="731">
        <row r="1">
          <cell r="B1" t="str">
            <v>FIAT AUTO SUD AFRICA</v>
          </cell>
        </row>
      </sheetData>
      <sheetData sheetId="732">
        <row r="1">
          <cell r="B1" t="str">
            <v>FIAT AUTO SUD AFRICA</v>
          </cell>
        </row>
      </sheetData>
      <sheetData sheetId="733">
        <row r="1">
          <cell r="B1" t="str">
            <v>FIAT AUTO SUD AFRICA</v>
          </cell>
        </row>
      </sheetData>
      <sheetData sheetId="734">
        <row r="1">
          <cell r="B1" t="str">
            <v>FIAT AUTO SUD AFRICA</v>
          </cell>
        </row>
      </sheetData>
      <sheetData sheetId="735">
        <row r="1">
          <cell r="B1" t="str">
            <v>TOFAS BUSINESS UNIT</v>
          </cell>
        </row>
      </sheetData>
      <sheetData sheetId="736">
        <row r="1">
          <cell r="B1" t="str">
            <v>FIAT AUTO SUD AFRICA</v>
          </cell>
        </row>
      </sheetData>
      <sheetData sheetId="737">
        <row r="1">
          <cell r="B1" t="str">
            <v>TOFAS BUSINESS UNIT</v>
          </cell>
        </row>
      </sheetData>
      <sheetData sheetId="738">
        <row r="1">
          <cell r="B1" t="str">
            <v>FIAT AUTO SUD AFRICA</v>
          </cell>
        </row>
      </sheetData>
      <sheetData sheetId="739">
        <row r="1">
          <cell r="B1" t="str">
            <v>FIAT AUTO SUD AFRICA</v>
          </cell>
        </row>
      </sheetData>
      <sheetData sheetId="740">
        <row r="1">
          <cell r="B1" t="str">
            <v>FIAT AUTO SUD AFRICA</v>
          </cell>
        </row>
      </sheetData>
      <sheetData sheetId="741">
        <row r="1">
          <cell r="B1" t="str">
            <v>FIAT AUTO SUD AFRICA</v>
          </cell>
        </row>
      </sheetData>
      <sheetData sheetId="742">
        <row r="1">
          <cell r="B1" t="str">
            <v>FIAT AUTO SUD AFRICA</v>
          </cell>
        </row>
      </sheetData>
      <sheetData sheetId="743">
        <row r="1">
          <cell r="B1" t="str">
            <v>FIAT AUTO SUD AFRICA</v>
          </cell>
        </row>
      </sheetData>
      <sheetData sheetId="744">
        <row r="1">
          <cell r="B1" t="str">
            <v>FIAT AUTO SUD AFRICA</v>
          </cell>
        </row>
      </sheetData>
      <sheetData sheetId="745">
        <row r="1">
          <cell r="B1" t="str">
            <v>FIAT AUTO SUD AFRICA</v>
          </cell>
        </row>
      </sheetData>
      <sheetData sheetId="746">
        <row r="1">
          <cell r="B1" t="str">
            <v>FIAT AUTO SUD AFRICA</v>
          </cell>
        </row>
      </sheetData>
      <sheetData sheetId="747">
        <row r="1">
          <cell r="B1" t="str">
            <v>FIAT AUTO SUD AFRICA</v>
          </cell>
        </row>
      </sheetData>
      <sheetData sheetId="748">
        <row r="1">
          <cell r="B1" t="str">
            <v>FIAT AUTO SUD AFRICA</v>
          </cell>
        </row>
      </sheetData>
      <sheetData sheetId="749">
        <row r="1">
          <cell r="B1" t="str">
            <v>FIAT AUTO SUD AFRICA</v>
          </cell>
        </row>
      </sheetData>
      <sheetData sheetId="750">
        <row r="1">
          <cell r="B1" t="str">
            <v>FIAT AUTO SUD AFRICA</v>
          </cell>
        </row>
      </sheetData>
      <sheetData sheetId="751">
        <row r="1">
          <cell r="B1" t="str">
            <v>FIAT AUTO SUD AFRICA</v>
          </cell>
        </row>
      </sheetData>
      <sheetData sheetId="752">
        <row r="1">
          <cell r="B1" t="str">
            <v>FIAT AUTO SUD AFRICA</v>
          </cell>
        </row>
      </sheetData>
      <sheetData sheetId="753">
        <row r="1">
          <cell r="B1" t="str">
            <v>TOFAS BUSINESS UNIT</v>
          </cell>
        </row>
      </sheetData>
      <sheetData sheetId="754">
        <row r="1">
          <cell r="B1" t="str">
            <v>TOFAS BUSINESS UNIT</v>
          </cell>
        </row>
      </sheetData>
      <sheetData sheetId="755">
        <row r="1">
          <cell r="B1" t="str">
            <v>FIAT AUTO SUD AFRICA</v>
          </cell>
        </row>
      </sheetData>
      <sheetData sheetId="756">
        <row r="1">
          <cell r="B1" t="str">
            <v>TOFAS BUSINESS UNIT</v>
          </cell>
        </row>
      </sheetData>
      <sheetData sheetId="757">
        <row r="1">
          <cell r="B1" t="str">
            <v>FIAT AUTO SUD AFRICA</v>
          </cell>
        </row>
      </sheetData>
      <sheetData sheetId="758">
        <row r="1">
          <cell r="B1" t="str">
            <v>TOFAS BUSINESS UNIT</v>
          </cell>
        </row>
      </sheetData>
      <sheetData sheetId="759">
        <row r="1">
          <cell r="B1" t="str">
            <v>FIAT AUTO SUD AFRICA</v>
          </cell>
        </row>
      </sheetData>
      <sheetData sheetId="760">
        <row r="1">
          <cell r="B1" t="str">
            <v>TOFAS BUSINESS UNIT</v>
          </cell>
        </row>
      </sheetData>
      <sheetData sheetId="761">
        <row r="1">
          <cell r="B1" t="str">
            <v>FIAT AUTO SUD AFRICA</v>
          </cell>
        </row>
      </sheetData>
      <sheetData sheetId="762">
        <row r="1">
          <cell r="B1" t="str">
            <v>TOFAS BUSINESS UNIT</v>
          </cell>
        </row>
      </sheetData>
      <sheetData sheetId="763">
        <row r="1">
          <cell r="B1" t="str">
            <v>TOFAS BUSINESS UNIT</v>
          </cell>
        </row>
      </sheetData>
      <sheetData sheetId="764">
        <row r="1">
          <cell r="B1" t="str">
            <v>TOFAS BUSINESS UNIT</v>
          </cell>
        </row>
      </sheetData>
      <sheetData sheetId="765">
        <row r="1">
          <cell r="B1" t="str">
            <v>TOFAS BUSINESS UNIT</v>
          </cell>
        </row>
      </sheetData>
      <sheetData sheetId="766">
        <row r="1">
          <cell r="B1" t="str">
            <v>TOFAS BUSINESS UNIT</v>
          </cell>
        </row>
      </sheetData>
      <sheetData sheetId="767">
        <row r="1">
          <cell r="B1" t="str">
            <v>TOFAS BUSINESS UNIT</v>
          </cell>
        </row>
      </sheetData>
      <sheetData sheetId="768">
        <row r="1">
          <cell r="B1" t="str">
            <v>FIAT AUTO SUD AFRICA</v>
          </cell>
        </row>
      </sheetData>
      <sheetData sheetId="769">
        <row r="1">
          <cell r="B1" t="str">
            <v>TOFAS BUSINESS UNIT</v>
          </cell>
        </row>
      </sheetData>
      <sheetData sheetId="770">
        <row r="1">
          <cell r="B1" t="str">
            <v>FIAT AUTO SUD AFRICA</v>
          </cell>
        </row>
      </sheetData>
      <sheetData sheetId="771">
        <row r="1">
          <cell r="B1" t="str">
            <v>TOFAS BUSINESS UNIT</v>
          </cell>
        </row>
      </sheetData>
      <sheetData sheetId="772">
        <row r="1">
          <cell r="B1" t="str">
            <v>FIAT AUTO SUD AFRICA</v>
          </cell>
        </row>
      </sheetData>
      <sheetData sheetId="773">
        <row r="1">
          <cell r="B1" t="str">
            <v>FIAT AUTO SUD AFRICA</v>
          </cell>
        </row>
      </sheetData>
      <sheetData sheetId="774">
        <row r="1">
          <cell r="B1" t="str">
            <v>FIAT AUTO SUD AFRICA</v>
          </cell>
        </row>
      </sheetData>
      <sheetData sheetId="775">
        <row r="1">
          <cell r="B1" t="str">
            <v>FIAT AUTO SUD AFRICA</v>
          </cell>
        </row>
      </sheetData>
      <sheetData sheetId="776">
        <row r="1">
          <cell r="B1" t="str">
            <v>FIAT AUTO SUD AFRICA</v>
          </cell>
        </row>
      </sheetData>
      <sheetData sheetId="777">
        <row r="1">
          <cell r="B1" t="str">
            <v>FIAT AUTO SUD AFRICA</v>
          </cell>
        </row>
      </sheetData>
      <sheetData sheetId="778">
        <row r="1">
          <cell r="B1" t="str">
            <v>FIAT AUTO SUD AFRICA</v>
          </cell>
        </row>
      </sheetData>
      <sheetData sheetId="779">
        <row r="1">
          <cell r="B1" t="str">
            <v>FIAT AUTO SUD AFRICA</v>
          </cell>
        </row>
      </sheetData>
      <sheetData sheetId="780">
        <row r="1">
          <cell r="B1" t="str">
            <v>FIAT AUTO SUD AFRICA</v>
          </cell>
        </row>
      </sheetData>
      <sheetData sheetId="781">
        <row r="1">
          <cell r="B1" t="str">
            <v>FIAT AUTO SUD AFRICA</v>
          </cell>
        </row>
      </sheetData>
      <sheetData sheetId="782">
        <row r="1">
          <cell r="B1" t="str">
            <v>FIAT AUTO SUD AFRICA</v>
          </cell>
        </row>
      </sheetData>
      <sheetData sheetId="783">
        <row r="1">
          <cell r="B1" t="str">
            <v>FIAT AUTO SUD AFRICA</v>
          </cell>
        </row>
      </sheetData>
      <sheetData sheetId="784">
        <row r="1">
          <cell r="B1" t="str">
            <v>FIAT AUTO SUD AFRICA</v>
          </cell>
        </row>
      </sheetData>
      <sheetData sheetId="785">
        <row r="1">
          <cell r="B1" t="str">
            <v>FIAT AUTO SUD AFRICA</v>
          </cell>
        </row>
      </sheetData>
      <sheetData sheetId="786">
        <row r="1">
          <cell r="B1" t="str">
            <v>FIAT AUTO SUD AFRICA</v>
          </cell>
        </row>
      </sheetData>
      <sheetData sheetId="787">
        <row r="1">
          <cell r="B1" t="str">
            <v>FIAT AUTO SUD AFRICA</v>
          </cell>
        </row>
      </sheetData>
      <sheetData sheetId="788">
        <row r="1">
          <cell r="B1" t="str">
            <v>FIAT AUTO SUD AFRICA</v>
          </cell>
        </row>
      </sheetData>
      <sheetData sheetId="789">
        <row r="1">
          <cell r="B1" t="str">
            <v>FIAT AUTO SUD AFRICA</v>
          </cell>
        </row>
      </sheetData>
      <sheetData sheetId="790">
        <row r="1">
          <cell r="B1" t="str">
            <v>FIAT AUTO SUD AFRICA</v>
          </cell>
        </row>
      </sheetData>
      <sheetData sheetId="791">
        <row r="1">
          <cell r="B1" t="str">
            <v>FIAT AUTO SUD AFRICA</v>
          </cell>
        </row>
      </sheetData>
      <sheetData sheetId="792">
        <row r="1">
          <cell r="B1" t="str">
            <v>FIAT AUTO SUD AFRICA</v>
          </cell>
        </row>
      </sheetData>
      <sheetData sheetId="793">
        <row r="1">
          <cell r="B1" t="str">
            <v>FIAT AUTO SUD AFRICA</v>
          </cell>
        </row>
      </sheetData>
      <sheetData sheetId="794">
        <row r="1">
          <cell r="B1" t="str">
            <v>TOFAS BUSINESS UNIT</v>
          </cell>
        </row>
      </sheetData>
      <sheetData sheetId="795">
        <row r="1">
          <cell r="B1" t="str">
            <v>TOFAS BUSINESS UNIT</v>
          </cell>
        </row>
      </sheetData>
      <sheetData sheetId="796">
        <row r="1">
          <cell r="B1" t="str">
            <v>FIAT AUTO SUD AFRICA</v>
          </cell>
        </row>
      </sheetData>
      <sheetData sheetId="797">
        <row r="1">
          <cell r="B1" t="str">
            <v>FIAT AUTO SUD AFRICA</v>
          </cell>
        </row>
      </sheetData>
      <sheetData sheetId="798">
        <row r="1">
          <cell r="B1" t="str">
            <v>FIAT AUTO SUD AFRICA</v>
          </cell>
        </row>
      </sheetData>
      <sheetData sheetId="799">
        <row r="1">
          <cell r="B1" t="str">
            <v>FIAT AUTO SUD AFRICA</v>
          </cell>
        </row>
      </sheetData>
      <sheetData sheetId="800">
        <row r="1">
          <cell r="B1" t="str">
            <v>FIAT AUTO SUD AFRICA</v>
          </cell>
        </row>
      </sheetData>
      <sheetData sheetId="801">
        <row r="1">
          <cell r="B1" t="str">
            <v>FIAT AUTO SUD AFRICA</v>
          </cell>
        </row>
      </sheetData>
      <sheetData sheetId="802">
        <row r="1">
          <cell r="B1" t="str">
            <v>TOFAS BUSINESS UNIT</v>
          </cell>
        </row>
      </sheetData>
      <sheetData sheetId="803">
        <row r="1">
          <cell r="B1" t="str">
            <v>TOFAS BUSINESS UNIT</v>
          </cell>
        </row>
      </sheetData>
      <sheetData sheetId="804">
        <row r="1">
          <cell r="B1" t="str">
            <v>TOFAS BUSINESS UNIT</v>
          </cell>
        </row>
      </sheetData>
      <sheetData sheetId="805">
        <row r="1">
          <cell r="B1" t="str">
            <v>TOFAS BUSINESS UNIT</v>
          </cell>
        </row>
      </sheetData>
      <sheetData sheetId="806">
        <row r="1">
          <cell r="B1" t="str">
            <v>TOFAS BUSINESS UNIT</v>
          </cell>
        </row>
      </sheetData>
      <sheetData sheetId="807">
        <row r="1">
          <cell r="B1" t="str">
            <v>TOFAS BUSINESS UNIT</v>
          </cell>
        </row>
      </sheetData>
      <sheetData sheetId="808">
        <row r="1">
          <cell r="B1" t="str">
            <v>TOFAS BUSINESS UNIT</v>
          </cell>
        </row>
      </sheetData>
      <sheetData sheetId="809">
        <row r="1">
          <cell r="B1" t="str">
            <v>TOFAS BUSINESS UNIT</v>
          </cell>
        </row>
      </sheetData>
      <sheetData sheetId="810">
        <row r="1">
          <cell r="B1" t="str">
            <v>TOFAS BUSINESS UNIT</v>
          </cell>
        </row>
      </sheetData>
      <sheetData sheetId="811">
        <row r="1">
          <cell r="B1" t="str">
            <v>TOFAS BUSINESS UNIT</v>
          </cell>
        </row>
      </sheetData>
      <sheetData sheetId="812">
        <row r="1">
          <cell r="B1" t="str">
            <v>TOFAS BUSINESS UNIT</v>
          </cell>
        </row>
      </sheetData>
      <sheetData sheetId="813">
        <row r="1">
          <cell r="B1" t="str">
            <v>TOFAS BUSINESS UNIT</v>
          </cell>
        </row>
      </sheetData>
      <sheetData sheetId="814">
        <row r="1">
          <cell r="B1" t="str">
            <v>TOFAS BUSINESS UNIT</v>
          </cell>
        </row>
      </sheetData>
      <sheetData sheetId="815">
        <row r="1">
          <cell r="B1" t="str">
            <v>TOFAS BUSINESS UNIT</v>
          </cell>
        </row>
      </sheetData>
      <sheetData sheetId="816">
        <row r="1">
          <cell r="B1" t="str">
            <v>TOFAS BUSINESS UNIT</v>
          </cell>
        </row>
      </sheetData>
      <sheetData sheetId="817">
        <row r="1">
          <cell r="B1" t="str">
            <v>TOFAS BUSINESS UNIT</v>
          </cell>
        </row>
      </sheetData>
      <sheetData sheetId="818">
        <row r="1">
          <cell r="B1" t="str">
            <v>TOFAS BUSINESS UNIT</v>
          </cell>
        </row>
      </sheetData>
      <sheetData sheetId="819">
        <row r="1">
          <cell r="B1" t="str">
            <v>TOFAS BUSINESS UNIT</v>
          </cell>
        </row>
      </sheetData>
      <sheetData sheetId="820">
        <row r="1">
          <cell r="B1" t="str">
            <v>TOFAS BUSINESS UNIT</v>
          </cell>
        </row>
      </sheetData>
      <sheetData sheetId="821">
        <row r="1">
          <cell r="B1" t="str">
            <v>TOFAS BUSINESS UNIT</v>
          </cell>
        </row>
      </sheetData>
      <sheetData sheetId="822">
        <row r="1">
          <cell r="B1" t="str">
            <v>TOFAS BUSINESS UNIT</v>
          </cell>
        </row>
      </sheetData>
      <sheetData sheetId="823">
        <row r="1">
          <cell r="B1" t="str">
            <v>TOFAS BUSINESS UNIT</v>
          </cell>
        </row>
      </sheetData>
      <sheetData sheetId="824">
        <row r="1">
          <cell r="B1" t="str">
            <v>TOFAS BUSINESS UNIT</v>
          </cell>
        </row>
      </sheetData>
      <sheetData sheetId="825">
        <row r="1">
          <cell r="B1" t="str">
            <v>TOFAS BUSINESS UNIT</v>
          </cell>
        </row>
      </sheetData>
      <sheetData sheetId="826">
        <row r="1">
          <cell r="B1" t="str">
            <v>TOFAS BUSINESS UNIT</v>
          </cell>
        </row>
      </sheetData>
      <sheetData sheetId="827">
        <row r="1">
          <cell r="B1" t="str">
            <v>TOFAS BUSINESS UNIT</v>
          </cell>
        </row>
      </sheetData>
      <sheetData sheetId="828">
        <row r="8">
          <cell r="B8" t="str">
            <v>ASPETTI COMMERCIALI</v>
          </cell>
        </row>
      </sheetData>
      <sheetData sheetId="829">
        <row r="8">
          <cell r="B8" t="str">
            <v>ASPETTI COMMERCIALI</v>
          </cell>
        </row>
      </sheetData>
      <sheetData sheetId="830">
        <row r="8">
          <cell r="B8" t="str">
            <v>ASPETTI COMMERCIALI</v>
          </cell>
        </row>
      </sheetData>
      <sheetData sheetId="831">
        <row r="8">
          <cell r="B8" t="str">
            <v>ASPETTI COMMERCIALI</v>
          </cell>
        </row>
      </sheetData>
      <sheetData sheetId="832">
        <row r="8">
          <cell r="B8" t="str">
            <v>ASPETTI COMMERCIALI</v>
          </cell>
        </row>
      </sheetData>
      <sheetData sheetId="833">
        <row r="8">
          <cell r="B8" t="str">
            <v>ASPETTI COMMERCIALI</v>
          </cell>
        </row>
      </sheetData>
      <sheetData sheetId="834">
        <row r="8">
          <cell r="B8" t="str">
            <v>ASPETTI COMMERCIALI</v>
          </cell>
        </row>
        <row r="18">
          <cell r="B18" t="str">
            <v>Giugno</v>
          </cell>
        </row>
      </sheetData>
      <sheetData sheetId="835"/>
      <sheetData sheetId="836">
        <row r="18">
          <cell r="B18" t="str">
            <v>Giugno</v>
          </cell>
        </row>
      </sheetData>
      <sheetData sheetId="837"/>
      <sheetData sheetId="838">
        <row r="18">
          <cell r="B18" t="str">
            <v>Giugno</v>
          </cell>
        </row>
      </sheetData>
      <sheetData sheetId="839"/>
      <sheetData sheetId="840">
        <row r="18">
          <cell r="B18" t="str">
            <v>Giugno</v>
          </cell>
        </row>
      </sheetData>
      <sheetData sheetId="841">
        <row r="8">
          <cell r="B8">
            <v>36312</v>
          </cell>
        </row>
      </sheetData>
      <sheetData sheetId="842">
        <row r="8">
          <cell r="B8" t="str">
            <v>ASPETTI COMMERCIALI</v>
          </cell>
        </row>
        <row r="18">
          <cell r="B18" t="str">
            <v>Giugno</v>
          </cell>
        </row>
      </sheetData>
      <sheetData sheetId="843" refreshError="1"/>
      <sheetData sheetId="844" refreshError="1">
        <row r="8">
          <cell r="B8" t="str">
            <v>ASPETTI COMMERCIALI</v>
          </cell>
        </row>
        <row r="18">
          <cell r="B18" t="str">
            <v>Giugno</v>
          </cell>
        </row>
      </sheetData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5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5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5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5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5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6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6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6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6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6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7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7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7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7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7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8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8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8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8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8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9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9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9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9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9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9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9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9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9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9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00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90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0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04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0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0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1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1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14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91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1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1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91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20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92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2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92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24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92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26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92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2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92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30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93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3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93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34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93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36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93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3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93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40" refreshError="1"/>
      <sheetData sheetId="94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42" refreshError="1"/>
      <sheetData sheetId="94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44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94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46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94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4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94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50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95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5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95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54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95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56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95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5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95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60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96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6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96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64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96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66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96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6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96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7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72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973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974" refreshError="1"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75" refreshError="1"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76" refreshError="1">
        <row r="19">
          <cell r="B19">
            <v>1999</v>
          </cell>
        </row>
      </sheetData>
      <sheetData sheetId="977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978">
        <row r="18">
          <cell r="B18" t="str">
            <v>ASPETTI PRODUTTIVI</v>
          </cell>
        </row>
      </sheetData>
      <sheetData sheetId="979">
        <row r="8">
          <cell r="B8" t="str">
            <v>ASPETTI COMMERCIALI</v>
          </cell>
        </row>
      </sheetData>
      <sheetData sheetId="980">
        <row r="18">
          <cell r="B18" t="str">
            <v>Giugno</v>
          </cell>
        </row>
      </sheetData>
      <sheetData sheetId="981">
        <row r="19">
          <cell r="B19" t="str">
            <v>BILANCIAMENTO PRODUZIONE / VENDITA</v>
          </cell>
        </row>
      </sheetData>
      <sheetData sheetId="982">
        <row r="18">
          <cell r="B18" t="str">
            <v>ASPETTI PRODUTTIVI</v>
          </cell>
        </row>
      </sheetData>
      <sheetData sheetId="983">
        <row r="18">
          <cell r="B18" t="str">
            <v>ASPETTI PRODUTTIVI</v>
          </cell>
        </row>
      </sheetData>
      <sheetData sheetId="984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98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88" refreshError="1"/>
      <sheetData sheetId="989" refreshError="1"/>
      <sheetData sheetId="99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4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9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99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00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100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0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1004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06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100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0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101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1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1013" refreshError="1"/>
      <sheetData sheetId="1014" refreshError="1"/>
      <sheetData sheetId="101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1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101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1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102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2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102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24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102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2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102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30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103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32" refreshError="1"/>
      <sheetData sheetId="1033" refreshError="1">
        <row r="8">
          <cell r="B8" t="str">
            <v>ASPETTI COMMERCIALI</v>
          </cell>
        </row>
        <row r="18">
          <cell r="B18" t="str">
            <v>Giugno</v>
          </cell>
        </row>
      </sheetData>
      <sheetData sheetId="103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35" refreshError="1"/>
      <sheetData sheetId="1036" refreshError="1">
        <row r="8">
          <cell r="B8" t="str">
            <v>ASPETTI COMMERCIALI</v>
          </cell>
        </row>
        <row r="18">
          <cell r="B18" t="str">
            <v>Giugno</v>
          </cell>
        </row>
      </sheetData>
      <sheetData sheetId="103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38" refreshError="1"/>
      <sheetData sheetId="1039" refreshError="1">
        <row r="8">
          <cell r="B8" t="str">
            <v>ASPETTI COMMERCIALI</v>
          </cell>
        </row>
        <row r="18">
          <cell r="B18" t="str">
            <v>Giugno</v>
          </cell>
        </row>
      </sheetData>
      <sheetData sheetId="104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41" refreshError="1"/>
      <sheetData sheetId="1042" refreshError="1">
        <row r="8">
          <cell r="B8" t="str">
            <v>ASPETTI COMMERCIALI</v>
          </cell>
        </row>
        <row r="18">
          <cell r="B18" t="str">
            <v>Giugno</v>
          </cell>
        </row>
      </sheetData>
      <sheetData sheetId="1043" refreshError="1">
        <row r="8">
          <cell r="B8" t="str">
            <v>ASPETTI COMMERCIALI</v>
          </cell>
        </row>
        <row r="18">
          <cell r="B18" t="str">
            <v>Giugno</v>
          </cell>
        </row>
      </sheetData>
      <sheetData sheetId="1044" refreshError="1">
        <row r="8">
          <cell r="B8" t="str">
            <v>ASPETTI COMMERCIALI</v>
          </cell>
        </row>
        <row r="18">
          <cell r="B18" t="str">
            <v>Giugno</v>
          </cell>
        </row>
      </sheetData>
      <sheetData sheetId="104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46" refreshError="1"/>
      <sheetData sheetId="104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48" refreshError="1"/>
      <sheetData sheetId="1049" refreshError="1">
        <row r="8">
          <cell r="B8" t="str">
            <v>ASPETTI COMMERCIALI</v>
          </cell>
        </row>
        <row r="18">
          <cell r="B18" t="str">
            <v>Giugno</v>
          </cell>
        </row>
      </sheetData>
      <sheetData sheetId="1050" refreshError="1">
        <row r="8">
          <cell r="B8" t="str">
            <v>ASPETTI COMMERCIALI</v>
          </cell>
        </row>
        <row r="18">
          <cell r="B18" t="str">
            <v>Giugno</v>
          </cell>
        </row>
      </sheetData>
      <sheetData sheetId="105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52" refreshError="1"/>
      <sheetData sheetId="105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4" refreshError="1">
        <row r="8">
          <cell r="B8" t="str">
            <v>ASPETTI COMMERCIALI</v>
          </cell>
        </row>
        <row r="18">
          <cell r="B18" t="str">
            <v>Giugno</v>
          </cell>
        </row>
      </sheetData>
      <sheetData sheetId="1055" refreshError="1">
        <row r="8">
          <cell r="B8" t="str">
            <v>ASPETTI COMMERCIALI</v>
          </cell>
        </row>
        <row r="18">
          <cell r="B18" t="str">
            <v>Giugno</v>
          </cell>
        </row>
      </sheetData>
      <sheetData sheetId="1056" refreshError="1">
        <row r="8">
          <cell r="B8" t="str">
            <v>ASPETTI COMMERCIALI</v>
          </cell>
        </row>
        <row r="18">
          <cell r="B18" t="str">
            <v>Giugno</v>
          </cell>
        </row>
      </sheetData>
      <sheetData sheetId="1057" refreshError="1">
        <row r="8">
          <cell r="B8" t="str">
            <v>ASPETTI COMMERCIALI</v>
          </cell>
        </row>
        <row r="18">
          <cell r="B18" t="str">
            <v>Giugno</v>
          </cell>
        </row>
      </sheetData>
      <sheetData sheetId="1058" refreshError="1">
        <row r="8">
          <cell r="B8" t="str">
            <v>ASPETTI COMMERCIALI</v>
          </cell>
        </row>
        <row r="18">
          <cell r="B18" t="str">
            <v>Giugno</v>
          </cell>
        </row>
      </sheetData>
      <sheetData sheetId="105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7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7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7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7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8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8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8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9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9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6" refreshError="1"/>
      <sheetData sheetId="1097" refreshError="1"/>
      <sheetData sheetId="109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9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0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0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0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0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0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1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1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1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1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2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2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24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2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3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3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3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3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4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4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7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lingtype"/>
      <sheetName val="Format"/>
      <sheetName val="Usag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V"/>
      <sheetName val="Atv tcell 89+15"/>
      <sheetName val="Kanal D  04cpp"/>
      <sheetName val="Kanal D  tcell 04cpp"/>
      <sheetName val="Kanal D YKB 04cpp"/>
      <sheetName val="KD04"/>
      <sheetName val="KD03"/>
      <sheetName val="KANAL7"/>
      <sheetName val="TGRT2004"/>
      <sheetName val="NTV-2004"/>
      <sheetName val="CNBC-e 04"/>
      <sheetName val="CNN 2004"/>
      <sheetName val="CINE 5"/>
      <sheetName val="sky türk"/>
      <sheetName val="DP fiyat"/>
      <sheetName val="TV 2004"/>
      <sheetName val="traj"/>
      <sheetName val="GAZETE 03-04"/>
      <sheetName val="GAZETE YKB 04"/>
      <sheetName val="YK FAKTORİNG TAHM 05"/>
      <sheetName val="GAZETE İLETİŞİM  04"/>
      <sheetName val="DOGAN GZ 04"/>
      <sheetName val="Hürriyet iletişim04"/>
      <sheetName val="Hürriyet Avrupa"/>
      <sheetName val="RADIO 2004"/>
      <sheetName val="RADIO 2005"/>
      <sheetName val="radyo ANALIZ"/>
      <sheetName val="Temel (Erişime Göre Sıralı)"/>
      <sheetName val="DERGİ FİYATLARI "/>
      <sheetName val="Dergi 2004"/>
      <sheetName val=" DBR"/>
      <sheetName val="DBR TARIFE farkları"/>
      <sheetName val="Medi Grup"/>
      <sheetName val="SINEMA "/>
      <sheetName val="FIDA 2004"/>
      <sheetName val="Outdoor"/>
      <sheetName val="Outdoor 05"/>
      <sheetName val="CampaignData"/>
      <sheetName val="Gazete teaser"/>
      <sheetName val="Copies"/>
      <sheetName val="1998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ss-Shop"/>
    </sheetNames>
    <sheetDataSet>
      <sheetData sheetId="0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-der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3C55D-256B-4994-8668-DEC68E3E6C6E}">
  <sheetPr>
    <tabColor rgb="FF002060"/>
  </sheetPr>
  <dimension ref="B1:O36"/>
  <sheetViews>
    <sheetView showGridLines="0" tabSelected="1" zoomScale="44" zoomScaleNormal="30" workbookViewId="0">
      <selection activeCell="E2" sqref="E2:F2"/>
    </sheetView>
  </sheetViews>
  <sheetFormatPr baseColWidth="10" defaultColWidth="9.1640625" defaultRowHeight="19"/>
  <cols>
    <col min="1" max="1" width="3" style="1" customWidth="1"/>
    <col min="2" max="2" width="34" style="1" customWidth="1"/>
    <col min="3" max="3" width="38.1640625" style="1" customWidth="1"/>
    <col min="4" max="4" width="43.6640625" style="1" customWidth="1"/>
    <col min="5" max="5" width="46.33203125" style="1" customWidth="1"/>
    <col min="6" max="6" width="51.6640625" style="1" customWidth="1"/>
    <col min="7" max="7" width="40.5" style="1" customWidth="1"/>
    <col min="8" max="8" width="47.6640625" style="1" customWidth="1"/>
    <col min="9" max="9" width="28.1640625" style="1" customWidth="1"/>
    <col min="10" max="10" width="36.33203125" style="1" customWidth="1"/>
    <col min="11" max="11" width="43.5" style="1" bestFit="1" customWidth="1"/>
    <col min="12" max="12" width="37.5" style="1" customWidth="1"/>
    <col min="13" max="15" width="37.5" style="2" customWidth="1"/>
    <col min="16" max="16384" width="9.1640625" style="1"/>
  </cols>
  <sheetData>
    <row r="1" spans="2:15" ht="20" thickBot="1"/>
    <row r="2" spans="2:15" ht="23.5" customHeight="1">
      <c r="B2" s="59" t="s">
        <v>3</v>
      </c>
      <c r="C2" s="60"/>
      <c r="D2" s="60"/>
      <c r="E2" s="61" t="s">
        <v>4</v>
      </c>
      <c r="F2" s="62"/>
      <c r="M2" s="1"/>
      <c r="N2" s="1"/>
      <c r="O2" s="1"/>
    </row>
    <row r="3" spans="2:15" ht="36.75" customHeight="1">
      <c r="B3" s="63" t="s">
        <v>5</v>
      </c>
      <c r="C3" s="64"/>
      <c r="D3" s="64"/>
      <c r="E3" s="65" t="s">
        <v>4</v>
      </c>
      <c r="F3" s="66"/>
      <c r="M3" s="1"/>
      <c r="N3" s="1"/>
      <c r="O3" s="1"/>
    </row>
    <row r="4" spans="2:15" ht="36.75" customHeight="1">
      <c r="B4" s="63" t="s">
        <v>6</v>
      </c>
      <c r="C4" s="64"/>
      <c r="D4" s="64"/>
      <c r="E4" s="3" t="s">
        <v>7</v>
      </c>
      <c r="F4" s="4"/>
      <c r="H4" s="5"/>
      <c r="I4" s="5"/>
      <c r="J4" s="5"/>
      <c r="K4" s="5"/>
      <c r="L4" s="5"/>
      <c r="M4" s="5"/>
      <c r="N4" s="5"/>
      <c r="O4" s="5"/>
    </row>
    <row r="5" spans="2:15" ht="36.75" customHeight="1">
      <c r="B5" s="47" t="s">
        <v>8</v>
      </c>
      <c r="C5" s="48"/>
      <c r="D5" s="48"/>
      <c r="E5" s="57">
        <v>5596406</v>
      </c>
      <c r="F5" s="58"/>
      <c r="G5" s="6"/>
      <c r="H5" s="7"/>
      <c r="I5"/>
      <c r="J5"/>
      <c r="K5"/>
      <c r="L5"/>
      <c r="M5"/>
      <c r="N5"/>
      <c r="O5"/>
    </row>
    <row r="6" spans="2:15" ht="36.75" customHeight="1">
      <c r="B6" s="47" t="s">
        <v>9</v>
      </c>
      <c r="C6" s="48"/>
      <c r="D6" s="48"/>
      <c r="E6" s="55">
        <f>E5-E7</f>
        <v>4541624.1567500001</v>
      </c>
      <c r="F6" s="56"/>
      <c r="G6" s="8"/>
      <c r="H6" s="6"/>
      <c r="M6" s="1"/>
      <c r="N6" s="1"/>
      <c r="O6" s="1"/>
    </row>
    <row r="7" spans="2:15" ht="36.75" customHeight="1">
      <c r="B7" s="47" t="s">
        <v>10</v>
      </c>
      <c r="C7" s="48"/>
      <c r="D7" s="48"/>
      <c r="E7" s="57">
        <f>E8+E9+E10+E11</f>
        <v>1054781.8432500002</v>
      </c>
      <c r="F7" s="58"/>
      <c r="H7" s="8"/>
      <c r="M7" s="1"/>
      <c r="N7" s="1"/>
      <c r="O7" s="1"/>
    </row>
    <row r="8" spans="2:15" ht="29">
      <c r="B8" s="47" t="s">
        <v>11</v>
      </c>
      <c r="C8" s="48"/>
      <c r="D8" s="48"/>
      <c r="E8" s="49">
        <f>M33</f>
        <v>992626.79</v>
      </c>
      <c r="F8" s="50"/>
      <c r="M8" s="1"/>
      <c r="N8" s="1"/>
      <c r="O8" s="1"/>
    </row>
    <row r="9" spans="2:15" ht="29">
      <c r="B9" s="47" t="s">
        <v>12</v>
      </c>
      <c r="C9" s="48"/>
      <c r="D9" s="48"/>
      <c r="E9" s="49">
        <f>SUM(H24:H32)/1.5/1000</f>
        <v>319.83199999999999</v>
      </c>
      <c r="F9" s="50"/>
      <c r="M9" s="1"/>
      <c r="N9" s="1"/>
      <c r="O9" s="1"/>
    </row>
    <row r="10" spans="2:15" ht="29">
      <c r="B10" s="47" t="s">
        <v>13</v>
      </c>
      <c r="C10" s="48"/>
      <c r="D10" s="48"/>
      <c r="E10" s="49">
        <f>N33</f>
        <v>35934.207649999997</v>
      </c>
      <c r="F10" s="50"/>
      <c r="M10"/>
      <c r="N10"/>
      <c r="O10"/>
    </row>
    <row r="11" spans="2:15" ht="30" thickBot="1">
      <c r="B11" s="51" t="s">
        <v>14</v>
      </c>
      <c r="C11" s="52"/>
      <c r="D11" s="52"/>
      <c r="E11" s="53">
        <f>(M17+M18)*0.08</f>
        <v>25901.013600000006</v>
      </c>
      <c r="F11" s="54"/>
      <c r="M11"/>
      <c r="N11"/>
      <c r="O11"/>
    </row>
    <row r="12" spans="2:15" ht="33" customHeight="1">
      <c r="B12" s="9"/>
      <c r="C12" s="9"/>
      <c r="D12" s="9"/>
      <c r="E12" s="9"/>
      <c r="F12" s="9"/>
      <c r="G12" s="9"/>
      <c r="H12" s="9"/>
      <c r="I12" s="9"/>
      <c r="J12" s="9"/>
      <c r="K12" s="9"/>
      <c r="M12" s="10"/>
      <c r="N12" s="10"/>
      <c r="O12" s="10"/>
    </row>
    <row r="13" spans="2:15" ht="29.25" customHeight="1" thickBot="1">
      <c r="B13" s="11" t="s">
        <v>15</v>
      </c>
      <c r="C13" s="9"/>
      <c r="D13" s="9"/>
      <c r="E13" s="9"/>
      <c r="F13" s="9"/>
      <c r="G13" s="46" t="s">
        <v>16</v>
      </c>
      <c r="H13" s="46"/>
      <c r="I13" s="46"/>
      <c r="J13" s="46" t="s">
        <v>17</v>
      </c>
      <c r="K13" s="46"/>
      <c r="L13" s="46" t="s">
        <v>18</v>
      </c>
      <c r="M13" s="46"/>
      <c r="N13" s="12"/>
      <c r="O13" s="1"/>
    </row>
    <row r="14" spans="2:15" s="2" customFormat="1" ht="81.5" customHeight="1">
      <c r="B14" s="13" t="s">
        <v>19</v>
      </c>
      <c r="C14" s="13" t="s">
        <v>2</v>
      </c>
      <c r="D14" s="13" t="s">
        <v>20</v>
      </c>
      <c r="E14" s="13" t="s">
        <v>21</v>
      </c>
      <c r="F14" s="13" t="s">
        <v>0</v>
      </c>
      <c r="G14" s="13" t="s">
        <v>22</v>
      </c>
      <c r="H14" s="13" t="s">
        <v>23</v>
      </c>
      <c r="I14" s="13" t="s">
        <v>24</v>
      </c>
      <c r="J14" s="14" t="s">
        <v>25</v>
      </c>
      <c r="K14" s="14" t="s">
        <v>26</v>
      </c>
      <c r="L14" s="13" t="s">
        <v>27</v>
      </c>
      <c r="M14" s="15" t="s">
        <v>28</v>
      </c>
      <c r="N14" s="15" t="s">
        <v>29</v>
      </c>
      <c r="O14" s="15" t="s">
        <v>30</v>
      </c>
    </row>
    <row r="15" spans="2:15" ht="65" customHeight="1">
      <c r="B15" s="16" t="s">
        <v>31</v>
      </c>
      <c r="C15" s="17" t="s">
        <v>32</v>
      </c>
      <c r="D15" s="18" t="s">
        <v>33</v>
      </c>
      <c r="E15" s="19" t="s">
        <v>34</v>
      </c>
      <c r="F15" s="16" t="s">
        <v>35</v>
      </c>
      <c r="G15" s="20">
        <v>10000</v>
      </c>
      <c r="H15" s="21">
        <v>1071</v>
      </c>
      <c r="I15" s="22">
        <f>H15/G15</f>
        <v>0.1071</v>
      </c>
      <c r="J15" s="23">
        <v>5</v>
      </c>
      <c r="K15" s="23">
        <f>J15</f>
        <v>5</v>
      </c>
      <c r="L15" s="24">
        <v>50000</v>
      </c>
      <c r="M15" s="24">
        <v>1290</v>
      </c>
      <c r="N15" s="24" t="s">
        <v>36</v>
      </c>
      <c r="O15" s="24">
        <f>L15-M15</f>
        <v>48710</v>
      </c>
    </row>
    <row r="16" spans="2:15" ht="65" customHeight="1">
      <c r="B16" s="16" t="s">
        <v>31</v>
      </c>
      <c r="C16" s="17" t="s">
        <v>37</v>
      </c>
      <c r="D16" s="18" t="s">
        <v>38</v>
      </c>
      <c r="E16" s="19" t="s">
        <v>34</v>
      </c>
      <c r="F16" s="16" t="s">
        <v>39</v>
      </c>
      <c r="G16" s="25">
        <v>11363636.363636363</v>
      </c>
      <c r="H16" s="26" t="s">
        <v>36</v>
      </c>
      <c r="I16" s="22">
        <v>0</v>
      </c>
      <c r="J16" s="23">
        <v>44</v>
      </c>
      <c r="K16" s="23">
        <v>0</v>
      </c>
      <c r="L16" s="24">
        <v>500000</v>
      </c>
      <c r="M16" s="24">
        <v>0</v>
      </c>
      <c r="N16" s="24">
        <f t="shared" ref="N16:N23" si="0">M16*0.055</f>
        <v>0</v>
      </c>
      <c r="O16" s="24">
        <f t="shared" ref="O16:O32" si="1">L16-M16</f>
        <v>500000</v>
      </c>
    </row>
    <row r="17" spans="2:15" ht="65" customHeight="1">
      <c r="B17" s="16" t="s">
        <v>31</v>
      </c>
      <c r="C17" s="17" t="s">
        <v>37</v>
      </c>
      <c r="D17" s="18" t="s">
        <v>38</v>
      </c>
      <c r="E17" s="19" t="s">
        <v>34</v>
      </c>
      <c r="F17" s="16" t="s">
        <v>40</v>
      </c>
      <c r="G17" s="25">
        <v>28571428.571428571</v>
      </c>
      <c r="H17" s="26">
        <v>4396180</v>
      </c>
      <c r="I17" s="22">
        <f t="shared" ref="I17:I32" si="2">H17/G17</f>
        <v>0.15386630000000001</v>
      </c>
      <c r="J17" s="23">
        <v>70</v>
      </c>
      <c r="K17" s="23">
        <f>M17/H17*1000</f>
        <v>67.676687487773492</v>
      </c>
      <c r="L17" s="24">
        <v>1822500</v>
      </c>
      <c r="M17" s="24">
        <v>297518.90000000002</v>
      </c>
      <c r="N17" s="24">
        <f t="shared" si="0"/>
        <v>16363.539500000001</v>
      </c>
      <c r="O17" s="24">
        <f t="shared" si="1"/>
        <v>1524981.1</v>
      </c>
    </row>
    <row r="18" spans="2:15" ht="65" customHeight="1">
      <c r="B18" s="16" t="s">
        <v>31</v>
      </c>
      <c r="C18" s="17" t="s">
        <v>37</v>
      </c>
      <c r="D18" s="18" t="s">
        <v>38</v>
      </c>
      <c r="E18" s="19" t="s">
        <v>34</v>
      </c>
      <c r="F18" s="16" t="s">
        <v>41</v>
      </c>
      <c r="G18" s="25">
        <v>1000000</v>
      </c>
      <c r="H18" s="26">
        <v>254171</v>
      </c>
      <c r="I18" s="22">
        <f t="shared" si="2"/>
        <v>0.25417099999999998</v>
      </c>
      <c r="J18" s="23">
        <v>100</v>
      </c>
      <c r="K18" s="23">
        <f>M18/H18*1000</f>
        <v>103.25241668010906</v>
      </c>
      <c r="L18" s="24">
        <v>85000</v>
      </c>
      <c r="M18" s="24">
        <v>26243.77</v>
      </c>
      <c r="N18" s="24">
        <f t="shared" si="0"/>
        <v>1443.40735</v>
      </c>
      <c r="O18" s="24">
        <f t="shared" si="1"/>
        <v>58756.229999999996</v>
      </c>
    </row>
    <row r="19" spans="2:15" ht="65" customHeight="1">
      <c r="B19" s="16" t="s">
        <v>31</v>
      </c>
      <c r="C19" s="17" t="s">
        <v>42</v>
      </c>
      <c r="D19" s="27" t="s">
        <v>43</v>
      </c>
      <c r="E19" s="19" t="s">
        <v>34</v>
      </c>
      <c r="F19" s="16" t="s">
        <v>44</v>
      </c>
      <c r="G19" s="25">
        <v>45000000</v>
      </c>
      <c r="H19" s="28">
        <v>25799959</v>
      </c>
      <c r="I19" s="22">
        <f t="shared" si="2"/>
        <v>0.57333242222222225</v>
      </c>
      <c r="J19" s="23">
        <v>20</v>
      </c>
      <c r="K19" s="29">
        <f>M19/H19*1000</f>
        <v>8.0056999315386523</v>
      </c>
      <c r="L19" s="24">
        <v>900000</v>
      </c>
      <c r="M19" s="30">
        <v>206546.73</v>
      </c>
      <c r="N19" s="24">
        <f t="shared" si="0"/>
        <v>11360.070150000001</v>
      </c>
      <c r="O19" s="24">
        <f t="shared" si="1"/>
        <v>693453.27</v>
      </c>
    </row>
    <row r="20" spans="2:15" ht="65" customHeight="1">
      <c r="B20" s="16" t="s">
        <v>31</v>
      </c>
      <c r="C20" s="17" t="s">
        <v>42</v>
      </c>
      <c r="D20" s="27" t="s">
        <v>43</v>
      </c>
      <c r="E20" s="19" t="s">
        <v>34</v>
      </c>
      <c r="F20" s="16" t="s">
        <v>45</v>
      </c>
      <c r="G20" s="20">
        <v>16666.666666666668</v>
      </c>
      <c r="H20" s="31">
        <v>4557</v>
      </c>
      <c r="I20" s="22">
        <f t="shared" si="2"/>
        <v>0.27342</v>
      </c>
      <c r="J20" s="23">
        <v>3</v>
      </c>
      <c r="K20" s="23">
        <f t="shared" ref="K20" si="3">M20/H20</f>
        <v>2.7203423304805794</v>
      </c>
      <c r="L20" s="24">
        <v>50000</v>
      </c>
      <c r="M20" s="24">
        <v>12396.6</v>
      </c>
      <c r="N20" s="24">
        <f t="shared" si="0"/>
        <v>681.81299999999999</v>
      </c>
      <c r="O20" s="24">
        <f t="shared" si="1"/>
        <v>37603.4</v>
      </c>
    </row>
    <row r="21" spans="2:15" ht="65" customHeight="1">
      <c r="B21" s="16" t="s">
        <v>31</v>
      </c>
      <c r="C21" s="17" t="s">
        <v>42</v>
      </c>
      <c r="D21" s="27" t="s">
        <v>43</v>
      </c>
      <c r="E21" s="19" t="s">
        <v>34</v>
      </c>
      <c r="F21" s="16" t="s">
        <v>46</v>
      </c>
      <c r="G21" s="25">
        <v>100000</v>
      </c>
      <c r="H21" s="28" t="s">
        <v>36</v>
      </c>
      <c r="I21" s="22">
        <v>0</v>
      </c>
      <c r="J21" s="23">
        <v>100</v>
      </c>
      <c r="K21" s="32">
        <v>0</v>
      </c>
      <c r="L21" s="24">
        <v>10000</v>
      </c>
      <c r="M21" s="24">
        <v>0</v>
      </c>
      <c r="N21" s="24">
        <f t="shared" si="0"/>
        <v>0</v>
      </c>
      <c r="O21" s="24">
        <f t="shared" si="1"/>
        <v>10000</v>
      </c>
    </row>
    <row r="22" spans="2:15" ht="65" customHeight="1">
      <c r="B22" s="16" t="s">
        <v>31</v>
      </c>
      <c r="C22" s="17" t="s">
        <v>47</v>
      </c>
      <c r="D22" s="27" t="s">
        <v>47</v>
      </c>
      <c r="E22" s="19" t="s">
        <v>34</v>
      </c>
      <c r="F22" s="16" t="s">
        <v>44</v>
      </c>
      <c r="G22" s="25">
        <v>32142857.142857142</v>
      </c>
      <c r="H22" s="28">
        <v>11238802</v>
      </c>
      <c r="I22" s="22">
        <f t="shared" si="2"/>
        <v>0.34965161777777781</v>
      </c>
      <c r="J22" s="23">
        <v>14</v>
      </c>
      <c r="K22" s="23">
        <f>M22/H22*1000</f>
        <v>8.8519043221866536</v>
      </c>
      <c r="L22" s="24">
        <v>450000</v>
      </c>
      <c r="M22" s="24">
        <v>99484.800000000003</v>
      </c>
      <c r="N22" s="24">
        <f t="shared" si="0"/>
        <v>5471.6639999999998</v>
      </c>
      <c r="O22" s="24">
        <f t="shared" si="1"/>
        <v>350515.20000000001</v>
      </c>
    </row>
    <row r="23" spans="2:15" ht="65" customHeight="1">
      <c r="B23" s="16" t="s">
        <v>31</v>
      </c>
      <c r="C23" s="17" t="s">
        <v>47</v>
      </c>
      <c r="D23" s="27" t="s">
        <v>47</v>
      </c>
      <c r="E23" s="19" t="s">
        <v>34</v>
      </c>
      <c r="F23" s="16" t="s">
        <v>45</v>
      </c>
      <c r="G23" s="20">
        <v>20000</v>
      </c>
      <c r="H23" s="31">
        <v>74307</v>
      </c>
      <c r="I23" s="22">
        <f t="shared" si="2"/>
        <v>3.7153499999999999</v>
      </c>
      <c r="J23" s="23">
        <v>2.5</v>
      </c>
      <c r="K23" s="23">
        <f t="shared" ref="K23" si="4">M23/H23</f>
        <v>0.15016660610709623</v>
      </c>
      <c r="L23" s="24">
        <v>50000</v>
      </c>
      <c r="M23" s="24">
        <v>11158.43</v>
      </c>
      <c r="N23" s="24">
        <f t="shared" si="0"/>
        <v>613.71365000000003</v>
      </c>
      <c r="O23" s="24">
        <f t="shared" si="1"/>
        <v>38841.57</v>
      </c>
    </row>
    <row r="24" spans="2:15" ht="65" customHeight="1">
      <c r="B24" s="16" t="s">
        <v>31</v>
      </c>
      <c r="C24" s="17" t="s">
        <v>48</v>
      </c>
      <c r="D24" s="18" t="s">
        <v>49</v>
      </c>
      <c r="E24" s="19" t="s">
        <v>34</v>
      </c>
      <c r="F24" s="16" t="s">
        <v>50</v>
      </c>
      <c r="G24" s="33">
        <v>117647.05882352941</v>
      </c>
      <c r="H24" s="34">
        <v>18105</v>
      </c>
      <c r="I24" s="22">
        <f t="shared" si="2"/>
        <v>0.15389249999999999</v>
      </c>
      <c r="J24" s="23">
        <v>1.7</v>
      </c>
      <c r="K24" s="23">
        <f>J24</f>
        <v>1.7</v>
      </c>
      <c r="L24" s="24">
        <v>200000</v>
      </c>
      <c r="M24" s="24">
        <f>J24*H24</f>
        <v>30778.5</v>
      </c>
      <c r="N24" s="24" t="s">
        <v>36</v>
      </c>
      <c r="O24" s="24">
        <f t="shared" si="1"/>
        <v>169221.5</v>
      </c>
    </row>
    <row r="25" spans="2:15" ht="65" customHeight="1">
      <c r="B25" s="16" t="s">
        <v>31</v>
      </c>
      <c r="C25" s="17" t="s">
        <v>51</v>
      </c>
      <c r="D25" s="18" t="s">
        <v>52</v>
      </c>
      <c r="E25" s="19" t="s">
        <v>34</v>
      </c>
      <c r="F25" s="16" t="s">
        <v>50</v>
      </c>
      <c r="G25" s="33">
        <v>117647.05882352941</v>
      </c>
      <c r="H25" s="34">
        <v>76097</v>
      </c>
      <c r="I25" s="22">
        <f t="shared" si="2"/>
        <v>0.64682450000000002</v>
      </c>
      <c r="J25" s="23">
        <v>1.7</v>
      </c>
      <c r="K25" s="23">
        <f t="shared" ref="K25:K32" si="5">J25</f>
        <v>1.7</v>
      </c>
      <c r="L25" s="24">
        <v>200000</v>
      </c>
      <c r="M25" s="24">
        <f t="shared" ref="M25:M31" si="6">J25*H25</f>
        <v>129364.9</v>
      </c>
      <c r="N25" s="24" t="s">
        <v>36</v>
      </c>
      <c r="O25" s="24">
        <f t="shared" si="1"/>
        <v>70635.100000000006</v>
      </c>
    </row>
    <row r="26" spans="2:15" ht="65" customHeight="1">
      <c r="B26" s="16" t="s">
        <v>31</v>
      </c>
      <c r="C26" s="17" t="s">
        <v>53</v>
      </c>
      <c r="D26" s="18" t="s">
        <v>54</v>
      </c>
      <c r="E26" s="19" t="s">
        <v>55</v>
      </c>
      <c r="F26" s="16" t="s">
        <v>50</v>
      </c>
      <c r="G26" s="33">
        <v>108695.65217391305</v>
      </c>
      <c r="H26" s="34">
        <v>21355</v>
      </c>
      <c r="I26" s="22">
        <f t="shared" si="2"/>
        <v>0.19646599999999997</v>
      </c>
      <c r="J26" s="23">
        <v>0.69</v>
      </c>
      <c r="K26" s="23">
        <f t="shared" si="5"/>
        <v>0.69</v>
      </c>
      <c r="L26" s="24">
        <v>75000</v>
      </c>
      <c r="M26" s="24">
        <f t="shared" si="6"/>
        <v>14734.949999999999</v>
      </c>
      <c r="N26" s="24" t="s">
        <v>36</v>
      </c>
      <c r="O26" s="24">
        <f t="shared" si="1"/>
        <v>60265.05</v>
      </c>
    </row>
    <row r="27" spans="2:15" ht="65" customHeight="1">
      <c r="B27" s="16" t="s">
        <v>31</v>
      </c>
      <c r="C27" s="17" t="s">
        <v>56</v>
      </c>
      <c r="D27" s="18" t="s">
        <v>57</v>
      </c>
      <c r="E27" s="19" t="s">
        <v>55</v>
      </c>
      <c r="F27" s="16" t="s">
        <v>50</v>
      </c>
      <c r="G27" s="33">
        <v>144927.53623188406</v>
      </c>
      <c r="H27" s="34">
        <v>44846</v>
      </c>
      <c r="I27" s="22">
        <f t="shared" si="2"/>
        <v>0.30943739999999997</v>
      </c>
      <c r="J27" s="23">
        <v>0.69</v>
      </c>
      <c r="K27" s="23">
        <f t="shared" si="5"/>
        <v>0.69</v>
      </c>
      <c r="L27" s="24">
        <v>100000</v>
      </c>
      <c r="M27" s="24">
        <f t="shared" si="6"/>
        <v>30943.739999999998</v>
      </c>
      <c r="N27" s="24" t="s">
        <v>36</v>
      </c>
      <c r="O27" s="24">
        <f t="shared" si="1"/>
        <v>69056.260000000009</v>
      </c>
    </row>
    <row r="28" spans="2:15" ht="65" customHeight="1">
      <c r="B28" s="16" t="s">
        <v>31</v>
      </c>
      <c r="C28" s="17" t="s">
        <v>58</v>
      </c>
      <c r="D28" s="18" t="s">
        <v>59</v>
      </c>
      <c r="E28" s="19" t="s">
        <v>55</v>
      </c>
      <c r="F28" s="16" t="s">
        <v>50</v>
      </c>
      <c r="G28" s="33">
        <v>115384.61538461538</v>
      </c>
      <c r="H28" s="34">
        <v>67639</v>
      </c>
      <c r="I28" s="22">
        <f t="shared" si="2"/>
        <v>0.58620466666666671</v>
      </c>
      <c r="J28" s="23">
        <v>0.65</v>
      </c>
      <c r="K28" s="23">
        <f t="shared" si="5"/>
        <v>0.65</v>
      </c>
      <c r="L28" s="24">
        <v>75000</v>
      </c>
      <c r="M28" s="24">
        <f t="shared" si="6"/>
        <v>43965.35</v>
      </c>
      <c r="N28" s="24" t="s">
        <v>36</v>
      </c>
      <c r="O28" s="24">
        <f t="shared" si="1"/>
        <v>31034.65</v>
      </c>
    </row>
    <row r="29" spans="2:15" ht="65" customHeight="1">
      <c r="B29" s="16" t="s">
        <v>31</v>
      </c>
      <c r="C29" s="17" t="s">
        <v>1</v>
      </c>
      <c r="D29" s="18" t="s">
        <v>60</v>
      </c>
      <c r="E29" s="19" t="s">
        <v>55</v>
      </c>
      <c r="F29" s="16" t="s">
        <v>50</v>
      </c>
      <c r="G29" s="33">
        <v>108695.65217391305</v>
      </c>
      <c r="H29" s="34">
        <v>34438</v>
      </c>
      <c r="I29" s="22">
        <f t="shared" si="2"/>
        <v>0.31682959999999999</v>
      </c>
      <c r="J29" s="23">
        <v>0.69</v>
      </c>
      <c r="K29" s="23">
        <f t="shared" si="5"/>
        <v>0.69</v>
      </c>
      <c r="L29" s="24">
        <v>75000</v>
      </c>
      <c r="M29" s="24">
        <f t="shared" si="6"/>
        <v>23762.219999999998</v>
      </c>
      <c r="N29" s="24" t="s">
        <v>36</v>
      </c>
      <c r="O29" s="24">
        <f t="shared" si="1"/>
        <v>51237.78</v>
      </c>
    </row>
    <row r="30" spans="2:15" ht="65" customHeight="1">
      <c r="B30" s="16" t="s">
        <v>31</v>
      </c>
      <c r="C30" s="17" t="s">
        <v>61</v>
      </c>
      <c r="D30" s="18" t="s">
        <v>62</v>
      </c>
      <c r="E30" s="19" t="s">
        <v>55</v>
      </c>
      <c r="F30" s="16" t="s">
        <v>50</v>
      </c>
      <c r="G30" s="33">
        <v>108695.65217391305</v>
      </c>
      <c r="H30" s="34">
        <v>35402</v>
      </c>
      <c r="I30" s="22">
        <f t="shared" si="2"/>
        <v>0.32569839999999994</v>
      </c>
      <c r="J30" s="23">
        <v>0.69</v>
      </c>
      <c r="K30" s="23">
        <f t="shared" si="5"/>
        <v>0.69</v>
      </c>
      <c r="L30" s="24">
        <v>75000</v>
      </c>
      <c r="M30" s="24">
        <f t="shared" si="6"/>
        <v>24427.379999999997</v>
      </c>
      <c r="N30" s="24" t="s">
        <v>36</v>
      </c>
      <c r="O30" s="24">
        <f t="shared" si="1"/>
        <v>50572.62</v>
      </c>
    </row>
    <row r="31" spans="2:15" ht="125.5" customHeight="1">
      <c r="B31" s="16" t="s">
        <v>31</v>
      </c>
      <c r="C31" s="17" t="s">
        <v>63</v>
      </c>
      <c r="D31" s="18" t="s">
        <v>64</v>
      </c>
      <c r="E31" s="19" t="s">
        <v>65</v>
      </c>
      <c r="F31" s="16" t="s">
        <v>66</v>
      </c>
      <c r="G31" s="33">
        <v>540540.54054054059</v>
      </c>
      <c r="H31" s="34"/>
      <c r="I31" s="22">
        <f t="shared" si="2"/>
        <v>0</v>
      </c>
      <c r="J31" s="23">
        <v>0.37</v>
      </c>
      <c r="K31" s="23">
        <f t="shared" si="5"/>
        <v>0.37</v>
      </c>
      <c r="L31" s="24">
        <v>200000</v>
      </c>
      <c r="M31" s="24">
        <f t="shared" si="6"/>
        <v>0</v>
      </c>
      <c r="N31" s="24" t="s">
        <v>36</v>
      </c>
      <c r="O31" s="24">
        <f t="shared" si="1"/>
        <v>200000</v>
      </c>
    </row>
    <row r="32" spans="2:15" ht="64.75" customHeight="1">
      <c r="B32" s="16" t="s">
        <v>31</v>
      </c>
      <c r="C32" s="17" t="s">
        <v>67</v>
      </c>
      <c r="D32" s="18" t="s">
        <v>67</v>
      </c>
      <c r="E32" s="19" t="s">
        <v>68</v>
      </c>
      <c r="F32" s="16" t="s">
        <v>68</v>
      </c>
      <c r="G32" s="25">
        <v>1363636.3636363638</v>
      </c>
      <c r="H32" s="26">
        <v>181866</v>
      </c>
      <c r="I32" s="22">
        <f t="shared" si="2"/>
        <v>0.1333684</v>
      </c>
      <c r="J32" s="23">
        <v>220</v>
      </c>
      <c r="K32" s="23">
        <f t="shared" si="5"/>
        <v>220</v>
      </c>
      <c r="L32" s="24">
        <v>300000</v>
      </c>
      <c r="M32" s="24">
        <f>J32*H32/1000</f>
        <v>40010.519999999997</v>
      </c>
      <c r="N32" s="24" t="s">
        <v>36</v>
      </c>
      <c r="O32" s="24">
        <f t="shared" si="1"/>
        <v>259989.48</v>
      </c>
    </row>
    <row r="33" spans="2:15" ht="33">
      <c r="B33" s="35"/>
      <c r="C33" s="35"/>
      <c r="D33" s="35"/>
      <c r="E33" s="35"/>
      <c r="F33" s="35"/>
      <c r="G33" s="36">
        <f>SUM(G16:G19,G21:G22)+G32</f>
        <v>119541558.44155844</v>
      </c>
      <c r="H33" s="36">
        <f>SUM(H17,H18,H19,H22)+H32</f>
        <v>41870978</v>
      </c>
      <c r="I33" s="37"/>
      <c r="J33" s="38"/>
      <c r="K33" s="37"/>
      <c r="L33" s="39">
        <f>SUM(L15:L32)</f>
        <v>5217500</v>
      </c>
      <c r="M33" s="39">
        <f>SUM(M15:M32)</f>
        <v>992626.79</v>
      </c>
      <c r="N33" s="39">
        <f>SUM(N15:N32)</f>
        <v>35934.207649999997</v>
      </c>
      <c r="O33" s="39">
        <f>SUM(O15:O32)</f>
        <v>4224873.21</v>
      </c>
    </row>
    <row r="34" spans="2:15" ht="33">
      <c r="B34" s="35"/>
      <c r="C34" s="35"/>
      <c r="D34" s="35"/>
      <c r="E34" s="35"/>
      <c r="F34" s="35"/>
      <c r="G34" s="40">
        <f>SUM(G24:G31)</f>
        <v>1362233.7663258379</v>
      </c>
      <c r="H34" s="40">
        <f>SUM(H24,H26:H30)</f>
        <v>221785</v>
      </c>
      <c r="I34" s="41"/>
      <c r="J34" s="42"/>
      <c r="K34" s="42"/>
      <c r="L34" s="42"/>
      <c r="M34" s="35"/>
      <c r="N34" s="35"/>
      <c r="O34" s="35"/>
    </row>
    <row r="35" spans="2:15" ht="33">
      <c r="B35" s="9"/>
      <c r="C35" s="9"/>
      <c r="D35" s="9"/>
      <c r="E35" s="9"/>
      <c r="F35" s="9"/>
      <c r="G35" s="43">
        <f>G15+G20+G23</f>
        <v>46666.666666666672</v>
      </c>
      <c r="H35" s="43">
        <f>SUM(H15,H20,H23)</f>
        <v>79935</v>
      </c>
      <c r="I35" s="44"/>
      <c r="J35" s="44"/>
      <c r="K35" s="44"/>
      <c r="L35" s="44"/>
      <c r="M35" s="9"/>
      <c r="N35" s="9"/>
      <c r="O35" s="9"/>
    </row>
    <row r="36" spans="2:15">
      <c r="G36" s="45"/>
      <c r="H36" s="45"/>
    </row>
  </sheetData>
  <mergeCells count="22">
    <mergeCell ref="B5:D5"/>
    <mergeCell ref="E5:F5"/>
    <mergeCell ref="B2:D2"/>
    <mergeCell ref="E2:F2"/>
    <mergeCell ref="B3:D3"/>
    <mergeCell ref="E3:F3"/>
    <mergeCell ref="B4:D4"/>
    <mergeCell ref="B6:D6"/>
    <mergeCell ref="E6:F6"/>
    <mergeCell ref="B7:D7"/>
    <mergeCell ref="E7:F7"/>
    <mergeCell ref="B8:D8"/>
    <mergeCell ref="E8:F8"/>
    <mergeCell ref="G13:I13"/>
    <mergeCell ref="J13:K13"/>
    <mergeCell ref="L13:M13"/>
    <mergeCell ref="B9:D9"/>
    <mergeCell ref="E9:F9"/>
    <mergeCell ref="B10:D10"/>
    <mergeCell ref="E10:F10"/>
    <mergeCell ref="B11:D11"/>
    <mergeCell ref="E11:F1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Haziran Gerçekleşen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Sari (TIME)</dc:creator>
  <cp:lastModifiedBy>Zafer Kılıç</cp:lastModifiedBy>
  <dcterms:created xsi:type="dcterms:W3CDTF">2026-07-21T11:11:59Z</dcterms:created>
  <dcterms:modified xsi:type="dcterms:W3CDTF">2026-08-03T17:57:51Z</dcterms:modified>
</cp:coreProperties>
</file>